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-Jul\Data Migration\RWB\2025-Apr\"/>
    </mc:Choice>
  </mc:AlternateContent>
  <xr:revisionPtr revIDLastSave="0" documentId="13_ncr:1_{748B7D11-437F-42BC-BAF8-CC61C4169FCB}" xr6:coauthVersionLast="47" xr6:coauthVersionMax="47" xr10:uidLastSave="{00000000-0000-0000-0000-000000000000}"/>
  <bookViews>
    <workbookView xWindow="28680" yWindow="-120" windowWidth="20730" windowHeight="11040" firstSheet="4" activeTab="8" xr2:uid="{00000000-000D-0000-FFFF-FFFF00000000}"/>
  </bookViews>
  <sheets>
    <sheet name="StorSheet-0" sheetId="4" r:id="rId1"/>
    <sheet name="ConsSheet-0" sheetId="5" r:id="rId2"/>
    <sheet name="Summary-0" sheetId="2" r:id="rId3"/>
    <sheet name="StorSheet-1" sheetId="6" r:id="rId4"/>
    <sheet name="ConsSheet-1" sheetId="8" r:id="rId5"/>
    <sheet name="Summary-1" sheetId="7" r:id="rId6"/>
    <sheet name="StorSheet-2" sheetId="9" r:id="rId7"/>
    <sheet name="ConsSheet-2" sheetId="11" r:id="rId8"/>
    <sheet name="Summary-2" sheetId="10" r:id="rId9"/>
    <sheet name="Sheet3" sheetId="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0" l="1"/>
  <c r="F55" i="10"/>
  <c r="E55" i="10"/>
  <c r="D55" i="10"/>
  <c r="G47" i="10"/>
  <c r="F47" i="10"/>
  <c r="E47" i="10"/>
  <c r="D47" i="10"/>
  <c r="G39" i="10"/>
  <c r="F39" i="10"/>
  <c r="E39" i="10"/>
  <c r="D39" i="10"/>
  <c r="E21" i="10"/>
  <c r="E23" i="10" s="1"/>
  <c r="D21" i="10"/>
  <c r="D23" i="10" s="1"/>
  <c r="E14" i="10"/>
  <c r="E16" i="10" s="1"/>
  <c r="E25" i="10" s="1"/>
  <c r="D14" i="10"/>
  <c r="D16" i="10" s="1"/>
  <c r="E7" i="10"/>
  <c r="E9" i="10" s="1"/>
  <c r="D7" i="10"/>
  <c r="D9" i="10" s="1"/>
  <c r="D25" i="10" l="1"/>
  <c r="G55" i="7"/>
  <c r="F55" i="7"/>
  <c r="E55" i="7"/>
  <c r="D55" i="7"/>
  <c r="G47" i="7"/>
  <c r="F47" i="7"/>
  <c r="E47" i="7"/>
  <c r="D47" i="7"/>
  <c r="G39" i="7"/>
  <c r="F39" i="7"/>
  <c r="E39" i="7"/>
  <c r="D39" i="7"/>
  <c r="E21" i="7"/>
  <c r="E23" i="7" s="1"/>
  <c r="D21" i="7"/>
  <c r="D23" i="7" s="1"/>
  <c r="E14" i="7"/>
  <c r="E16" i="7" s="1"/>
  <c r="D14" i="7"/>
  <c r="D16" i="7" s="1"/>
  <c r="E7" i="7"/>
  <c r="E9" i="7" s="1"/>
  <c r="D7" i="7"/>
  <c r="D9" i="7" s="1"/>
  <c r="E25" i="7" l="1"/>
  <c r="D25" i="7"/>
  <c r="G55" i="2"/>
  <c r="F55" i="2"/>
  <c r="E55" i="2"/>
  <c r="D55" i="2"/>
  <c r="G47" i="2"/>
  <c r="F47" i="2"/>
  <c r="E47" i="2"/>
  <c r="D47" i="2"/>
  <c r="G39" i="2"/>
  <c r="F39" i="2"/>
  <c r="E39" i="2"/>
  <c r="D39" i="2"/>
  <c r="E21" i="2"/>
  <c r="E23" i="2" s="1"/>
  <c r="D21" i="2"/>
  <c r="D23" i="2" s="1"/>
  <c r="E14" i="2"/>
  <c r="E16" i="2" s="1"/>
  <c r="D14" i="2"/>
  <c r="D16" i="2" s="1"/>
  <c r="E7" i="2"/>
  <c r="E9" i="2" s="1"/>
  <c r="D7" i="2"/>
  <c r="D9" i="2" s="1"/>
  <c r="D25" i="2" l="1"/>
  <c r="E25" i="2"/>
</calcChain>
</file>

<file path=xl/sharedStrings.xml><?xml version="1.0" encoding="utf-8"?>
<sst xmlns="http://schemas.openxmlformats.org/spreadsheetml/2006/main" count="22716" uniqueCount="1469">
  <si>
    <t>Region</t>
  </si>
  <si>
    <t>District</t>
  </si>
  <si>
    <t>Royalty Data</t>
  </si>
  <si>
    <t>Old
Royalty
%</t>
  </si>
  <si>
    <t>New
Royalty
%</t>
  </si>
  <si>
    <t>Royalty
Effect
Date</t>
  </si>
  <si>
    <t>Cluster</t>
  </si>
  <si>
    <t>Store</t>
  </si>
  <si>
    <t>Store Name</t>
  </si>
  <si>
    <t>Company</t>
  </si>
  <si>
    <t>BGC LMSF Invoice DocNum</t>
  </si>
  <si>
    <t>Actual Sales</t>
  </si>
  <si>
    <t>Estimated Sales</t>
  </si>
  <si>
    <t>Total EWT Amount</t>
  </si>
  <si>
    <t>BGC Roy Invoice DocNum</t>
  </si>
  <si>
    <t>Invoicing Amounts and Invoice Data</t>
  </si>
  <si>
    <t>Net Amounts - Used for Initial Invoices and (net) Adjustment Calculations</t>
  </si>
  <si>
    <t>Total Royalty Invoice Amt (VATEx)</t>
  </si>
  <si>
    <t>Total Royalty Invoice Amt (VATInc)</t>
  </si>
  <si>
    <t>Sales and Invoice Amounts - This Month</t>
  </si>
  <si>
    <t>Bread Royalty (VATEx)</t>
  </si>
  <si>
    <t>Non-Bread Royalty (VATEx)</t>
  </si>
  <si>
    <t>NMSF Amount (VATEx)</t>
  </si>
  <si>
    <t>Bread Sales Amount</t>
  </si>
  <si>
    <t>Non-Bread Sales Amount</t>
  </si>
  <si>
    <t>Total LMSF Invoice Amt</t>
  </si>
  <si>
    <t>Sales and Invoice Amounts - Last Month</t>
  </si>
  <si>
    <t>JFC Royalty Invoice/CM Number</t>
  </si>
  <si>
    <t>JFC LMSF Invoice/CM Number</t>
  </si>
  <si>
    <t>JFC Royalty Invoice/CM DocNum</t>
  </si>
  <si>
    <t>JFC LMSF Invoice/CM DocNum</t>
  </si>
  <si>
    <t>INVOICE AND PAYMENT RECONCILIATION SUMMARY</t>
  </si>
  <si>
    <t>Royalty Workbook Amounts</t>
  </si>
  <si>
    <t>VATInc</t>
  </si>
  <si>
    <t>VATEx</t>
  </si>
  <si>
    <t>Royalty Invoice Amounts</t>
  </si>
  <si>
    <t>LMSF Invoice Amounts</t>
  </si>
  <si>
    <t>EWT Withholdings</t>
  </si>
  <si>
    <t>JFC AR Invoices</t>
  </si>
  <si>
    <t>BGC AP Invoices</t>
  </si>
  <si>
    <t>BMI</t>
  </si>
  <si>
    <t>COM</t>
  </si>
  <si>
    <t>ESC</t>
  </si>
  <si>
    <t>KKM</t>
  </si>
  <si>
    <t>RMG</t>
  </si>
  <si>
    <t>Total (Gross) Invoice Amounts</t>
  </si>
  <si>
    <t>EWT</t>
  </si>
  <si>
    <t>Net Outgoing Payment</t>
  </si>
  <si>
    <t>Net Amount Due</t>
  </si>
  <si>
    <t>Creditable WT</t>
  </si>
  <si>
    <t>First Invoice Nbr</t>
  </si>
  <si>
    <t>Last   Invoice Nbr</t>
  </si>
  <si>
    <t>Net Amount Due from BGC</t>
  </si>
  <si>
    <t>Due From Franchisees</t>
  </si>
  <si>
    <t>Total Payments Due</t>
  </si>
  <si>
    <t>First Invoice DocNum</t>
  </si>
  <si>
    <t>Last Invoice DocNum</t>
  </si>
  <si>
    <t>Net Payment Posted</t>
  </si>
  <si>
    <t xml:space="preserve">Incoming Payments from BGC </t>
  </si>
  <si>
    <t>Total Due</t>
  </si>
  <si>
    <t>Total Payable</t>
  </si>
  <si>
    <t>Total Net Receivables</t>
  </si>
  <si>
    <t>Due from BGC Companies</t>
  </si>
  <si>
    <t>EWT Withheld</t>
  </si>
  <si>
    <t>JFC AR Credit Memos</t>
  </si>
  <si>
    <t>First CM Nbr</t>
  </si>
  <si>
    <t>Last   CM Nbr</t>
  </si>
  <si>
    <t>Due to BGC Companies</t>
  </si>
  <si>
    <t>Net Due to BGC Companies</t>
  </si>
  <si>
    <t>Due to Franchisees</t>
  </si>
  <si>
    <t>Total Payments/CMs Due</t>
  </si>
  <si>
    <t>Total Net Due (Invoices - CMs)</t>
  </si>
  <si>
    <t>JFC Incoming Payments (from Invoices)</t>
  </si>
  <si>
    <t>JFC Outgoing Payments (for CMs)</t>
  </si>
  <si>
    <t xml:space="preserve">Outgoing Payments to BGC </t>
  </si>
  <si>
    <t>BGC Incoming Payments (from CM)</t>
  </si>
  <si>
    <t>Total Payments Received</t>
  </si>
  <si>
    <t>BGC Outgoing Payments (for Invoices)</t>
  </si>
  <si>
    <t>First CM DocNum</t>
  </si>
  <si>
    <t>Last CM DocNum</t>
  </si>
  <si>
    <t>Net Incoming Payment</t>
  </si>
  <si>
    <t>BGC A/P Invoice/Inc. Paym. Date</t>
  </si>
  <si>
    <t>BGC Royalty Invoice/Inc. Paym. Nbr</t>
  </si>
  <si>
    <t>BGC LMSF Invoice/Inc. Paym. Nbr</t>
  </si>
  <si>
    <t xml:space="preserve">  JFC   Invoice/CM Date</t>
  </si>
  <si>
    <t>Warehouse Code</t>
  </si>
  <si>
    <t>B10013</t>
  </si>
  <si>
    <t>Wireless, Mandaue</t>
  </si>
  <si>
    <t>VIS</t>
  </si>
  <si>
    <t>DVSY12</t>
  </si>
  <si>
    <t>MDE</t>
  </si>
  <si>
    <t>B21994</t>
  </si>
  <si>
    <t>Hernan Cortes, Subangdaku, Mandaue City</t>
  </si>
  <si>
    <t>B10049</t>
  </si>
  <si>
    <t>Gorordo, Cebu</t>
  </si>
  <si>
    <t>ZZZ</t>
  </si>
  <si>
    <t>V04</t>
  </si>
  <si>
    <t>B18481</t>
  </si>
  <si>
    <t>Camputhaw, Cebu City</t>
  </si>
  <si>
    <t>B10052</t>
  </si>
  <si>
    <t>Banawa, Cebu</t>
  </si>
  <si>
    <t>DVSY07</t>
  </si>
  <si>
    <t>B10114</t>
  </si>
  <si>
    <t>Ompad, Lapulapu</t>
  </si>
  <si>
    <t>DVSY11</t>
  </si>
  <si>
    <t>B10138</t>
  </si>
  <si>
    <t>Minglanilla I (Public Market)</t>
  </si>
  <si>
    <t>DVSY09</t>
  </si>
  <si>
    <t>B18504</t>
  </si>
  <si>
    <t>Bacay, Minglanilla</t>
  </si>
  <si>
    <t>B21447</t>
  </si>
  <si>
    <t>Prince Hypermart Minglanilla, Cebu</t>
  </si>
  <si>
    <t>B10153</t>
  </si>
  <si>
    <t>Sanciangco, Cebu City</t>
  </si>
  <si>
    <t>DVSY05</t>
  </si>
  <si>
    <t>B10192</t>
  </si>
  <si>
    <t>San Fernando, Cebu</t>
  </si>
  <si>
    <t>DVSY10</t>
  </si>
  <si>
    <t>B10203</t>
  </si>
  <si>
    <t>C. Padilla, Cebu City</t>
  </si>
  <si>
    <t>B10281</t>
  </si>
  <si>
    <t>Dalaguete, Cebu</t>
  </si>
  <si>
    <t>B18531</t>
  </si>
  <si>
    <t>Dalaguete Market, Dalaguete</t>
  </si>
  <si>
    <t>B21055</t>
  </si>
  <si>
    <t>San Guillermo, Dalaguete</t>
  </si>
  <si>
    <t>B10304</t>
  </si>
  <si>
    <t>Villilia, Novaliches</t>
  </si>
  <si>
    <t>LUZ</t>
  </si>
  <si>
    <t>L04</t>
  </si>
  <si>
    <t>PSG</t>
  </si>
  <si>
    <t>B18543</t>
  </si>
  <si>
    <t>Quirino Highway, Talipapa</t>
  </si>
  <si>
    <t>B10379</t>
  </si>
  <si>
    <t>Laviña, Valencia, Bukidnon</t>
  </si>
  <si>
    <t>MIN</t>
  </si>
  <si>
    <t>M04</t>
  </si>
  <si>
    <t>CGY</t>
  </si>
  <si>
    <t>B18582</t>
  </si>
  <si>
    <t>Bonifacio, Bukidnon</t>
  </si>
  <si>
    <t>B25915</t>
  </si>
  <si>
    <t>Batangan, Valencia, Bukidnon</t>
  </si>
  <si>
    <t>B10394</t>
  </si>
  <si>
    <t>Gen. Aguinaldo, Iligan</t>
  </si>
  <si>
    <t>DMND05</t>
  </si>
  <si>
    <t>B10405</t>
  </si>
  <si>
    <t>Lopez Ave., Sucat, Parañaque City</t>
  </si>
  <si>
    <t>L05</t>
  </si>
  <si>
    <t>B18617</t>
  </si>
  <si>
    <t>UPS-5, Parañaque</t>
  </si>
  <si>
    <t>B22782</t>
  </si>
  <si>
    <t>Waltermart Sucat, Paranaque City</t>
  </si>
  <si>
    <t>B23629</t>
  </si>
  <si>
    <t>Festival Mall Alabang, Muntinlupa</t>
  </si>
  <si>
    <t>B26374</t>
  </si>
  <si>
    <t>Puregold Sucat, Paranaque</t>
  </si>
  <si>
    <t>B10417</t>
  </si>
  <si>
    <t>Cabreros, Cebu City</t>
  </si>
  <si>
    <t>B10468</t>
  </si>
  <si>
    <t>Minglanilla II (Ward 3 Nat'l Hiway)</t>
  </si>
  <si>
    <t>B18668</t>
  </si>
  <si>
    <t>Vito, Minglanilla</t>
  </si>
  <si>
    <t>B22274</t>
  </si>
  <si>
    <t>Gaisano Grand Mall Minglanilla, Cebu</t>
  </si>
  <si>
    <t>B10495</t>
  </si>
  <si>
    <t xml:space="preserve">Ibabao, Mandaue </t>
  </si>
  <si>
    <t>B18671</t>
  </si>
  <si>
    <t>Cortes, Mandaue</t>
  </si>
  <si>
    <t>B21233</t>
  </si>
  <si>
    <t>Estancia, Mandaue City</t>
  </si>
  <si>
    <t>B10518</t>
  </si>
  <si>
    <t>Pagsabungan, Mandaue</t>
  </si>
  <si>
    <t>B18695</t>
  </si>
  <si>
    <t>P. Sanchez, Pagsabungan</t>
  </si>
  <si>
    <t>B10545</t>
  </si>
  <si>
    <t xml:space="preserve">Mustang, Lapulapu </t>
  </si>
  <si>
    <t>B10673</t>
  </si>
  <si>
    <t>T. Padilla, Cebu City</t>
  </si>
  <si>
    <t>DVSY06</t>
  </si>
  <si>
    <t>B10851</t>
  </si>
  <si>
    <t>Basak I (Pardo-USJR), Cebu City</t>
  </si>
  <si>
    <t>DVSY08</t>
  </si>
  <si>
    <t>B18721</t>
  </si>
  <si>
    <t>Bontores, San Nicolas</t>
  </si>
  <si>
    <t>B18733</t>
  </si>
  <si>
    <t>Holy Cross, Basak, Pardo</t>
  </si>
  <si>
    <t>B10887</t>
  </si>
  <si>
    <t xml:space="preserve">Maguikay, Mandaue </t>
  </si>
  <si>
    <t>DVSY03</t>
  </si>
  <si>
    <t>B18745</t>
  </si>
  <si>
    <t>Casuntingan, Mandaue</t>
  </si>
  <si>
    <t>B10925</t>
  </si>
  <si>
    <t>Jamisola, Pagadian City</t>
  </si>
  <si>
    <t>M06</t>
  </si>
  <si>
    <t>B18757</t>
  </si>
  <si>
    <t>Rizal Avenue, Pagadian City</t>
  </si>
  <si>
    <t>B20561</t>
  </si>
  <si>
    <t>Upper Pulacan, Zamboanga del Sur</t>
  </si>
  <si>
    <t>B21916</t>
  </si>
  <si>
    <t>Balangasan, Pagadian City</t>
  </si>
  <si>
    <t>B22363</t>
  </si>
  <si>
    <t>B. Aquino, San Jose, Pagadian City</t>
  </si>
  <si>
    <t>B25295</t>
  </si>
  <si>
    <t>Tiguma 2, Pagadian City</t>
  </si>
  <si>
    <t>B10952</t>
  </si>
  <si>
    <t>Bulacao, Pardo, Cebu City</t>
  </si>
  <si>
    <t>B18772</t>
  </si>
  <si>
    <t>Poblacion, Pardo, Cebu City</t>
  </si>
  <si>
    <t>B10964</t>
  </si>
  <si>
    <t>Cogon, Pardo, Cebu City</t>
  </si>
  <si>
    <t>B18784</t>
  </si>
  <si>
    <t xml:space="preserve">Laray, San Roque, Talisay </t>
  </si>
  <si>
    <t>B22895</t>
  </si>
  <si>
    <t>A. Gabuya, Cogon Pardo, Cebu City</t>
  </si>
  <si>
    <t>B11078</t>
  </si>
  <si>
    <t xml:space="preserve">Maribago, Lapulapu </t>
  </si>
  <si>
    <t>B11128</t>
  </si>
  <si>
    <t>Oslob, Cebu</t>
  </si>
  <si>
    <t>V01</t>
  </si>
  <si>
    <t>B11155</t>
  </si>
  <si>
    <t>Simala, Sibonga, Cebu</t>
  </si>
  <si>
    <t>B18819</t>
  </si>
  <si>
    <t>Simala (Monghe), Cebu</t>
  </si>
  <si>
    <t>B11256</t>
  </si>
  <si>
    <t>Argao, Cebu</t>
  </si>
  <si>
    <t>B18822</t>
  </si>
  <si>
    <t>Prince Warehouse Argao, Cebu</t>
  </si>
  <si>
    <t>B18834</t>
  </si>
  <si>
    <t xml:space="preserve">Argao 2, Cebu </t>
  </si>
  <si>
    <t>B11271</t>
  </si>
  <si>
    <t>Marigondon, Lapulapu</t>
  </si>
  <si>
    <t>B11283</t>
  </si>
  <si>
    <t>Sunny Hills, Talamban, Cebu City</t>
  </si>
  <si>
    <t>B11321</t>
  </si>
  <si>
    <t>Fatima, Cebu City</t>
  </si>
  <si>
    <t>B11369</t>
  </si>
  <si>
    <t>Mambaling, Cebu City</t>
  </si>
  <si>
    <t>B11458</t>
  </si>
  <si>
    <t>Tubod, Lanao del Norte</t>
  </si>
  <si>
    <t>B11511</t>
  </si>
  <si>
    <t>Lutopan, Toledo City</t>
  </si>
  <si>
    <t>B18885</t>
  </si>
  <si>
    <t>Lutopan 2, Toledo City</t>
  </si>
  <si>
    <t>B18897</t>
  </si>
  <si>
    <t>Cantabaco, Toledo City</t>
  </si>
  <si>
    <t>B18908</t>
  </si>
  <si>
    <t>Das Market, Lutopan</t>
  </si>
  <si>
    <t>B11559</t>
  </si>
  <si>
    <t>Sugbuanon, Colon</t>
  </si>
  <si>
    <t>B11562</t>
  </si>
  <si>
    <t>Boljo-on, Cebu</t>
  </si>
  <si>
    <t>B18911</t>
  </si>
  <si>
    <t>Alcoy, Cebu</t>
  </si>
  <si>
    <t>B11586</t>
  </si>
  <si>
    <t>Terminal I (So. Terminal), Cebu City</t>
  </si>
  <si>
    <t>B11651</t>
  </si>
  <si>
    <t>Quezon, Valencia</t>
  </si>
  <si>
    <t>B18935</t>
  </si>
  <si>
    <t>Roxas, Valencia</t>
  </si>
  <si>
    <t>B18947</t>
  </si>
  <si>
    <t>Magsaysay, Valencia</t>
  </si>
  <si>
    <t>B11663</t>
  </si>
  <si>
    <t>Lipata, Minglanilla</t>
  </si>
  <si>
    <t>B25838</t>
  </si>
  <si>
    <t>Deca Homes, Tungkil</t>
  </si>
  <si>
    <t>B11675</t>
  </si>
  <si>
    <t>Carmen, Cebu</t>
  </si>
  <si>
    <t>DVSY01</t>
  </si>
  <si>
    <t>B26121</t>
  </si>
  <si>
    <t>Poblacion, Carmen, Cebu</t>
  </si>
  <si>
    <t>B11713</t>
  </si>
  <si>
    <t>Sangi, Lapulapu</t>
  </si>
  <si>
    <t>B11725</t>
  </si>
  <si>
    <t>V. Rama-Tres, Cebu City</t>
  </si>
  <si>
    <t>B11737</t>
  </si>
  <si>
    <t>Naga, Cebu</t>
  </si>
  <si>
    <t>B26196</t>
  </si>
  <si>
    <t>Naga City People's Market, Cebu</t>
  </si>
  <si>
    <t>B11776</t>
  </si>
  <si>
    <t>Tanjay, Negros Oriental</t>
  </si>
  <si>
    <t>B11814</t>
  </si>
  <si>
    <t>Pit-os, Cebu City</t>
  </si>
  <si>
    <t>B11877</t>
  </si>
  <si>
    <t>Maranding, Lanao del Norte</t>
  </si>
  <si>
    <t>B18974</t>
  </si>
  <si>
    <t>Kapatagan, Lanao del Norte</t>
  </si>
  <si>
    <t>B21637</t>
  </si>
  <si>
    <t>Kapatagan 2, Lanao del Norte</t>
  </si>
  <si>
    <t>B11889</t>
  </si>
  <si>
    <t>Aznar, Cebu City</t>
  </si>
  <si>
    <t>B11892</t>
  </si>
  <si>
    <t>V. Rama-Calamba, Cebu City</t>
  </si>
  <si>
    <t>B11903</t>
  </si>
  <si>
    <t>Tungkop, Minglanilla</t>
  </si>
  <si>
    <t>B18998</t>
  </si>
  <si>
    <t>Inayagan, Naga</t>
  </si>
  <si>
    <t>B22541</t>
  </si>
  <si>
    <t>Proper Tunghaan, Minglanilla, Cebu</t>
  </si>
  <si>
    <t>B12044</t>
  </si>
  <si>
    <t>Bais, Negros Oriental</t>
  </si>
  <si>
    <t>B12056</t>
  </si>
  <si>
    <t>Maramag, Bukidnon</t>
  </si>
  <si>
    <t>DVO</t>
  </si>
  <si>
    <t>B19013</t>
  </si>
  <si>
    <t>Quezon Avenue, Bukidnon</t>
  </si>
  <si>
    <t>B26335</t>
  </si>
  <si>
    <t>Centro Mall, Maramag, Bukidnon</t>
  </si>
  <si>
    <t>B12068</t>
  </si>
  <si>
    <t>Biñan, Laguna</t>
  </si>
  <si>
    <t>L07</t>
  </si>
  <si>
    <t>B19025</t>
  </si>
  <si>
    <t>BMP, Laguna</t>
  </si>
  <si>
    <t>B12095</t>
  </si>
  <si>
    <t>Mango, Cebu City</t>
  </si>
  <si>
    <t>B12121</t>
  </si>
  <si>
    <t>Polomolok, South Cotabato</t>
  </si>
  <si>
    <t>DMND03</t>
  </si>
  <si>
    <t>B25321</t>
  </si>
  <si>
    <t>Gaisano Grand Mall Polomolok, South Cotabato</t>
  </si>
  <si>
    <t>B12133</t>
  </si>
  <si>
    <t>Salinas, Lahug</t>
  </si>
  <si>
    <t>B20813</t>
  </si>
  <si>
    <t>Busay, Nivel Hills</t>
  </si>
  <si>
    <t>B12362</t>
  </si>
  <si>
    <t>Rajah Soliman, Baguio City</t>
  </si>
  <si>
    <t>L02</t>
  </si>
  <si>
    <t>PAM</t>
  </si>
  <si>
    <t>B12436</t>
  </si>
  <si>
    <t>Colon, Cebu City</t>
  </si>
  <si>
    <t>B12549</t>
  </si>
  <si>
    <t>Lipa, Batangas</t>
  </si>
  <si>
    <t>DLZN05</t>
  </si>
  <si>
    <t>B24572</t>
  </si>
  <si>
    <t>SM City Lipa Grand Terminal, Batangas</t>
  </si>
  <si>
    <t>B12591</t>
  </si>
  <si>
    <t>Talamban Proper, Cebu City</t>
  </si>
  <si>
    <t>B19076</t>
  </si>
  <si>
    <t>Tintay, Talamban, Cebu City</t>
  </si>
  <si>
    <t>B19088</t>
  </si>
  <si>
    <t>Kauswagan, Talamban</t>
  </si>
  <si>
    <t>B23264</t>
  </si>
  <si>
    <t>San Jose, Cebu City</t>
  </si>
  <si>
    <t>B12614</t>
  </si>
  <si>
    <t>Pateros, Manila</t>
  </si>
  <si>
    <t>B19091</t>
  </si>
  <si>
    <t>Pasig Market, Manila</t>
  </si>
  <si>
    <t>B12653</t>
  </si>
  <si>
    <t>Kauswagan, Cagayan de Oro</t>
  </si>
  <si>
    <t>M05</t>
  </si>
  <si>
    <t>B21296</t>
  </si>
  <si>
    <t>Patag, Cagayan de Oro</t>
  </si>
  <si>
    <t>B12727</t>
  </si>
  <si>
    <t>Don Jose Avila, Cebu City</t>
  </si>
  <si>
    <t>B12754</t>
  </si>
  <si>
    <t>Buendia, Pasay City</t>
  </si>
  <si>
    <t>L06</t>
  </si>
  <si>
    <t>B23947</t>
  </si>
  <si>
    <t>One Ayala Mall Bus Terminal, Makati City</t>
  </si>
  <si>
    <t>B25889</t>
  </si>
  <si>
    <t>Alphaland Southgate Mall, Makati City</t>
  </si>
  <si>
    <t>B12793</t>
  </si>
  <si>
    <t>Siniloan, Laguna</t>
  </si>
  <si>
    <t>B12894</t>
  </si>
  <si>
    <t>San Fernando City, La Union</t>
  </si>
  <si>
    <t>B23769</t>
  </si>
  <si>
    <t>Manna Mall, San Fernando, La Union</t>
  </si>
  <si>
    <t>B12932</t>
  </si>
  <si>
    <t>Hilltop Market, Baguio City</t>
  </si>
  <si>
    <t>B19203</t>
  </si>
  <si>
    <t>Kayang, Baguio City</t>
  </si>
  <si>
    <t>B12944</t>
  </si>
  <si>
    <t>Mindanao Ave-Tandang Sora, Quezon City</t>
  </si>
  <si>
    <t>DLZN01</t>
  </si>
  <si>
    <t>B22449</t>
  </si>
  <si>
    <t>Ever Gotesco, Commonwealth, Quezon City</t>
  </si>
  <si>
    <t>B22452</t>
  </si>
  <si>
    <t>Waltermart North Edsa, Quezon City</t>
  </si>
  <si>
    <t>B24025</t>
  </si>
  <si>
    <t>Wilcon City Center, Quezon City</t>
  </si>
  <si>
    <t>B12956</t>
  </si>
  <si>
    <t>Banilad, Cebu City</t>
  </si>
  <si>
    <t>B13147</t>
  </si>
  <si>
    <t>B. Rodriguez, Cebu City</t>
  </si>
  <si>
    <t>B13301</t>
  </si>
  <si>
    <t>Laoag City, Ilocos Norte</t>
  </si>
  <si>
    <t>DLZN03</t>
  </si>
  <si>
    <t>B13414</t>
  </si>
  <si>
    <t>A. Rodriguez, Rosario, Pasig</t>
  </si>
  <si>
    <t>B19304</t>
  </si>
  <si>
    <t>B22678</t>
  </si>
  <si>
    <t>Waltermart Taytay, Rizal</t>
  </si>
  <si>
    <t>B22681</t>
  </si>
  <si>
    <t>Waltermart Antipolo, Rizal</t>
  </si>
  <si>
    <t>B22743</t>
  </si>
  <si>
    <t>Napico Manggahan, Pasig City</t>
  </si>
  <si>
    <t>B13492</t>
  </si>
  <si>
    <t>Barili, Cebu</t>
  </si>
  <si>
    <t>B21839</t>
  </si>
  <si>
    <t>L. Abad, Barili, Cebu</t>
  </si>
  <si>
    <t>B13593</t>
  </si>
  <si>
    <t>Pacita Complex, San Pedro, Laguna</t>
  </si>
  <si>
    <t>L01</t>
  </si>
  <si>
    <t>B19331</t>
  </si>
  <si>
    <t>Landayan, San Pedro, Laguna</t>
  </si>
  <si>
    <t>B22603</t>
  </si>
  <si>
    <t>Central Mall, Binan, Laguna</t>
  </si>
  <si>
    <t>B22615</t>
  </si>
  <si>
    <t>Waltermart Carmona, Cavite</t>
  </si>
  <si>
    <t>B23858</t>
  </si>
  <si>
    <t>Sanjos Market, San Pedro, Laguna</t>
  </si>
  <si>
    <t>B24343</t>
  </si>
  <si>
    <t>Ayala South Park, Alabang</t>
  </si>
  <si>
    <t>B24762</t>
  </si>
  <si>
    <t>Waltermart Cabuyao, Laguna</t>
  </si>
  <si>
    <t>B13756</t>
  </si>
  <si>
    <t>Magsaysay, Baguio City</t>
  </si>
  <si>
    <t>B19405</t>
  </si>
  <si>
    <t>New Lucban, Baguio</t>
  </si>
  <si>
    <t>B13845</t>
  </si>
  <si>
    <t>Sudlon, Lahug, Cebu City</t>
  </si>
  <si>
    <t>B19417</t>
  </si>
  <si>
    <t>Purok 8, Kamputhaw</t>
  </si>
  <si>
    <t>B14036</t>
  </si>
  <si>
    <t>San Pedro Town Center, Laguna</t>
  </si>
  <si>
    <t>B14137</t>
  </si>
  <si>
    <t>Olongapo City, Zambales</t>
  </si>
  <si>
    <t>B19432</t>
  </si>
  <si>
    <t>Gordon, Pag-asa, Olongapo</t>
  </si>
  <si>
    <t>B19444</t>
  </si>
  <si>
    <t>SBMA, Olongapo City</t>
  </si>
  <si>
    <t>B14292</t>
  </si>
  <si>
    <t>Kinasang-an, Pardo, Cebu City</t>
  </si>
  <si>
    <t>V02</t>
  </si>
  <si>
    <t>B14303</t>
  </si>
  <si>
    <t>Ipil, Zamboanga Sibugay</t>
  </si>
  <si>
    <t>M07</t>
  </si>
  <si>
    <t>DPL</t>
  </si>
  <si>
    <t>B14378</t>
  </si>
  <si>
    <t>Ginatilan, Cebu</t>
  </si>
  <si>
    <t>B14393</t>
  </si>
  <si>
    <t>Cordova, Mactan</t>
  </si>
  <si>
    <t>V05</t>
  </si>
  <si>
    <t>B19495</t>
  </si>
  <si>
    <t>Pilipog, Cordova</t>
  </si>
  <si>
    <t>B19506</t>
  </si>
  <si>
    <t>Gabi, Cordova</t>
  </si>
  <si>
    <t>B14404</t>
  </si>
  <si>
    <t>Mabolo, Cebu City</t>
  </si>
  <si>
    <t>B14428</t>
  </si>
  <si>
    <t>Sucat Road, Parañaque</t>
  </si>
  <si>
    <t>B14482</t>
  </si>
  <si>
    <t>Calamba, Misamis Occidental</t>
  </si>
  <si>
    <t>B25624</t>
  </si>
  <si>
    <t>North Poblacion, Calamba, Misamis Occidental</t>
  </si>
  <si>
    <t>B14532</t>
  </si>
  <si>
    <t>Bacayan, Cebu City</t>
  </si>
  <si>
    <t>B19518</t>
  </si>
  <si>
    <t>Huyong-huyong, Bacayan</t>
  </si>
  <si>
    <t>B24619</t>
  </si>
  <si>
    <t>Bacayan 2, Cebu City</t>
  </si>
  <si>
    <t>B14556</t>
  </si>
  <si>
    <t>Matina Shrine, Davao City</t>
  </si>
  <si>
    <t>DMND01</t>
  </si>
  <si>
    <t>B19521</t>
  </si>
  <si>
    <t>Lapulapu, Davao City</t>
  </si>
  <si>
    <t>B25306</t>
  </si>
  <si>
    <t>Central Warehouse Agdao, Davao City</t>
  </si>
  <si>
    <t>DMND06</t>
  </si>
  <si>
    <t>B26347</t>
  </si>
  <si>
    <t>Great Wall Supermarket, Agdao, Davao City</t>
  </si>
  <si>
    <t>B14595</t>
  </si>
  <si>
    <t>Hagnaya, Cebu</t>
  </si>
  <si>
    <t>DVSY02</t>
  </si>
  <si>
    <t>B19545</t>
  </si>
  <si>
    <t>San Remegio, Cebu</t>
  </si>
  <si>
    <t>B14669</t>
  </si>
  <si>
    <t>Sibonga, Cebu</t>
  </si>
  <si>
    <t>B24483</t>
  </si>
  <si>
    <t>N. Bacalso, Sibonga, Cebu</t>
  </si>
  <si>
    <t>B14823</t>
  </si>
  <si>
    <t>Don Carlos, Bukidnon</t>
  </si>
  <si>
    <t>B25093</t>
  </si>
  <si>
    <t>Don Carlos Public Market, Bukidnon</t>
  </si>
  <si>
    <t>B14898</t>
  </si>
  <si>
    <t>Panabo, Davao</t>
  </si>
  <si>
    <t>M02</t>
  </si>
  <si>
    <t>B19596</t>
  </si>
  <si>
    <t>Carmen, Davao 2</t>
  </si>
  <si>
    <t>B25788</t>
  </si>
  <si>
    <t>Gaisano Grand Mall Panabo, Davao del Norte</t>
  </si>
  <si>
    <t>B14963</t>
  </si>
  <si>
    <t>Skyline, Davao</t>
  </si>
  <si>
    <t>B24153</t>
  </si>
  <si>
    <t>Ulha Village, Talomo, Davao City</t>
  </si>
  <si>
    <t>B15139</t>
  </si>
  <si>
    <t>Mantalungon, Dalaguete (2)</t>
  </si>
  <si>
    <t>B19622</t>
  </si>
  <si>
    <t>Caleriohan, Dalaguete</t>
  </si>
  <si>
    <t>B15154</t>
  </si>
  <si>
    <t>Jungquera cor. R. R. Landon, Cebu</t>
  </si>
  <si>
    <t>B15216</t>
  </si>
  <si>
    <t>Fatima, Gen. Santos City</t>
  </si>
  <si>
    <t>B15228</t>
  </si>
  <si>
    <t>Kawit, Medellin, Cebu</t>
  </si>
  <si>
    <t>B19634</t>
  </si>
  <si>
    <t>Mahawak, Medellin, Cebu</t>
  </si>
  <si>
    <t>B15231</t>
  </si>
  <si>
    <t>Daanbantayan, Cebu</t>
  </si>
  <si>
    <t>B20546</t>
  </si>
  <si>
    <t>Malinao, Daanbantayan</t>
  </si>
  <si>
    <t>B15282</t>
  </si>
  <si>
    <t>Siquijor, Siquijor</t>
  </si>
  <si>
    <t>B19646</t>
  </si>
  <si>
    <t>Lazi, Siquijor</t>
  </si>
  <si>
    <t>B22324</t>
  </si>
  <si>
    <t>Poblacion, San Juan, Siquijor</t>
  </si>
  <si>
    <t>B15294</t>
  </si>
  <si>
    <t>Bangued, Abra</t>
  </si>
  <si>
    <t>B15406</t>
  </si>
  <si>
    <t>Centro, Mandaue</t>
  </si>
  <si>
    <t>B19658</t>
  </si>
  <si>
    <t>Mabini-Plaridel</t>
  </si>
  <si>
    <t>B24293</t>
  </si>
  <si>
    <t>P. Ouano, Alang-alang, Mandaue</t>
  </si>
  <si>
    <t>B15418</t>
  </si>
  <si>
    <t>Olympus Arcade, Novaliches</t>
  </si>
  <si>
    <t>B23579</t>
  </si>
  <si>
    <t>SM Hypermarket Fairview, Quezon City</t>
  </si>
  <si>
    <t>B24836</t>
  </si>
  <si>
    <t>Robinsons Novaliches, Quezon City</t>
  </si>
  <si>
    <t>B25574</t>
  </si>
  <si>
    <t>SM City Fairview Terminal, Quezon City</t>
  </si>
  <si>
    <t>B15484</t>
  </si>
  <si>
    <t>Divisoria Dry, Cawayan, Masbate</t>
  </si>
  <si>
    <t>V06</t>
  </si>
  <si>
    <t>B15496</t>
  </si>
  <si>
    <t>Sangi, Toledo</t>
  </si>
  <si>
    <t>B19685</t>
  </si>
  <si>
    <t>Magdugo, Toledo</t>
  </si>
  <si>
    <t>B15507</t>
  </si>
  <si>
    <t>P. Montoya, Silang, Cavite</t>
  </si>
  <si>
    <t>B26032</t>
  </si>
  <si>
    <t>Waltermart Silang, Cavite</t>
  </si>
  <si>
    <t>B15519</t>
  </si>
  <si>
    <t>Sogod, Leyte</t>
  </si>
  <si>
    <t>V07</t>
  </si>
  <si>
    <t>TAC</t>
  </si>
  <si>
    <t>B19697</t>
  </si>
  <si>
    <t>Gaisano Capital Sogod, Sogod</t>
  </si>
  <si>
    <t>B25802</t>
  </si>
  <si>
    <t>Puregold Sogod, Leyte</t>
  </si>
  <si>
    <t>B15558</t>
  </si>
  <si>
    <t>Tangub, Mis. Occidental</t>
  </si>
  <si>
    <t>B19711</t>
  </si>
  <si>
    <t>Courtyard, Tangub City</t>
  </si>
  <si>
    <t>B15597</t>
  </si>
  <si>
    <t>Larena, Siquijor</t>
  </si>
  <si>
    <t>B15608</t>
  </si>
  <si>
    <t>Roxas, Tagum</t>
  </si>
  <si>
    <t>B15623</t>
  </si>
  <si>
    <t>Ancajas, Medellin</t>
  </si>
  <si>
    <t>B19759</t>
  </si>
  <si>
    <t>Medellin Public Market, Cebu</t>
  </si>
  <si>
    <t>B20787</t>
  </si>
  <si>
    <t>Curva, Medellin</t>
  </si>
  <si>
    <t>B21435</t>
  </si>
  <si>
    <t>Poblacion Medellin, Cebu (across Prince)</t>
  </si>
  <si>
    <t>B15662</t>
  </si>
  <si>
    <t>Agora, Lapasan, Cagayan de Oro</t>
  </si>
  <si>
    <t>B15698</t>
  </si>
  <si>
    <t>S. Osmeña, Lapu-lapu</t>
  </si>
  <si>
    <t>B15712</t>
  </si>
  <si>
    <t>Poblacion Muntinlupa Market, Muntinlupa</t>
  </si>
  <si>
    <t>B19798</t>
  </si>
  <si>
    <t>Putatan, Muntinlupa</t>
  </si>
  <si>
    <t>B15724</t>
  </si>
  <si>
    <t>Galas, Dipolog</t>
  </si>
  <si>
    <t>B15775</t>
  </si>
  <si>
    <t>Yati, Liloan</t>
  </si>
  <si>
    <t>B20041</t>
  </si>
  <si>
    <t>San Vicente, Yati</t>
  </si>
  <si>
    <t>B15801</t>
  </si>
  <si>
    <t>Mambajao, Camiguin</t>
  </si>
  <si>
    <t>DMND04</t>
  </si>
  <si>
    <t>B15849</t>
  </si>
  <si>
    <t>Turno, Dipolog</t>
  </si>
  <si>
    <t>B15888</t>
  </si>
  <si>
    <t>Canjulao, Lapulapu</t>
  </si>
  <si>
    <t>B15902</t>
  </si>
  <si>
    <t>Sindangan, Zamboanga del Norte</t>
  </si>
  <si>
    <t>B21459</t>
  </si>
  <si>
    <t>Sindangan Public Market, Zamboanga del Norte</t>
  </si>
  <si>
    <t>B15914</t>
  </si>
  <si>
    <t>Hinunangan, Southern Leyte</t>
  </si>
  <si>
    <t>B16004</t>
  </si>
  <si>
    <t>Bungtod, Bogo</t>
  </si>
  <si>
    <t>B20837</t>
  </si>
  <si>
    <t>Seaoil (Cogon) Taytayan, Bogo City</t>
  </si>
  <si>
    <t>B16105</t>
  </si>
  <si>
    <t>Damolog, Sogod</t>
  </si>
  <si>
    <t>B19863</t>
  </si>
  <si>
    <t>Sogod, Cebu</t>
  </si>
  <si>
    <t>B16129</t>
  </si>
  <si>
    <t>B15243</t>
  </si>
  <si>
    <t>Gov. Lim, Zamboanga</t>
  </si>
  <si>
    <t>P. Lorenzo, Zamboanga</t>
  </si>
  <si>
    <t>B17642</t>
  </si>
  <si>
    <t>Veterans Ave., Zamboanga City</t>
  </si>
  <si>
    <t>B16156</t>
  </si>
  <si>
    <t>Minaog, Dipolog</t>
  </si>
  <si>
    <t>B21625</t>
  </si>
  <si>
    <t>Poblacion, Manukan, Zamboanga del Norte</t>
  </si>
  <si>
    <t>B16183</t>
  </si>
  <si>
    <t>Tandang Sora, Quezon City</t>
  </si>
  <si>
    <t>B19887</t>
  </si>
  <si>
    <t>UP Technohub, Quezon City</t>
  </si>
  <si>
    <t>B19899</t>
  </si>
  <si>
    <t>TriNoma Mall, Quezon City</t>
  </si>
  <si>
    <t>B22996</t>
  </si>
  <si>
    <t>SM North Edsa Bus Terminal, Quezon City</t>
  </si>
  <si>
    <t>B26083</t>
  </si>
  <si>
    <t>Manulife, Quezon City</t>
  </si>
  <si>
    <t>B16218</t>
  </si>
  <si>
    <t>Bogo Market, Cebu</t>
  </si>
  <si>
    <t>B16272</t>
  </si>
  <si>
    <t>B19913</t>
  </si>
  <si>
    <t>Quiot 2, Pardo, Cebu City</t>
  </si>
  <si>
    <t>B16307</t>
  </si>
  <si>
    <t>Mintal, Davao</t>
  </si>
  <si>
    <t>B16361</t>
  </si>
  <si>
    <t>Pitogo, Consolacion</t>
  </si>
  <si>
    <t>B19952</t>
  </si>
  <si>
    <t>Consolacion, Cebu</t>
  </si>
  <si>
    <t>B24812</t>
  </si>
  <si>
    <t>Pitogo, Consolacion 2</t>
  </si>
  <si>
    <t>B16408</t>
  </si>
  <si>
    <t xml:space="preserve">Lanang, Davao City </t>
  </si>
  <si>
    <t>B16423</t>
  </si>
  <si>
    <t>Dumaguete, Negros Oriental</t>
  </si>
  <si>
    <t>DVSY15</t>
  </si>
  <si>
    <t>B16435</t>
  </si>
  <si>
    <t xml:space="preserve">Bayawan, Negros Oriental </t>
  </si>
  <si>
    <t>B16447</t>
  </si>
  <si>
    <t>Balamban, Cebu</t>
  </si>
  <si>
    <t>B16459</t>
  </si>
  <si>
    <t>Cabancalan, Mandaue City</t>
  </si>
  <si>
    <t>B19976</t>
  </si>
  <si>
    <t>Cabancalan 2, Mandaue City</t>
  </si>
  <si>
    <t>B16462</t>
  </si>
  <si>
    <t>V. Gullas - P. Burgos, Cebu City</t>
  </si>
  <si>
    <t>B16474</t>
  </si>
  <si>
    <t>Tuburan, Cebu</t>
  </si>
  <si>
    <t>B19988</t>
  </si>
  <si>
    <t>Tuburan Public Market, Cebu</t>
  </si>
  <si>
    <t>B24328</t>
  </si>
  <si>
    <t>Tuburan New Public Market, Cebu</t>
  </si>
  <si>
    <t>B16524</t>
  </si>
  <si>
    <t>Gen. Luis, Novaliches</t>
  </si>
  <si>
    <t>B16587</t>
  </si>
  <si>
    <t>San Francisco, Camotes</t>
  </si>
  <si>
    <t>B19991</t>
  </si>
  <si>
    <t>Poro, Camotes</t>
  </si>
  <si>
    <t>B16691</t>
  </si>
  <si>
    <t>Calbayog, Samar</t>
  </si>
  <si>
    <t>DVSY13</t>
  </si>
  <si>
    <t>B16738</t>
  </si>
  <si>
    <t>Kabankalan, Negros Occidental</t>
  </si>
  <si>
    <t>B16792</t>
  </si>
  <si>
    <t>Bantayan, Cebu</t>
  </si>
  <si>
    <t>B16815</t>
  </si>
  <si>
    <t>Tubigon, Bohol</t>
  </si>
  <si>
    <t>DVSY14</t>
  </si>
  <si>
    <t>B16827</t>
  </si>
  <si>
    <t>Solano, Nueva Vizcaya</t>
  </si>
  <si>
    <t>B16854</t>
  </si>
  <si>
    <t>Moalboal, Cebu</t>
  </si>
  <si>
    <t>B16893</t>
  </si>
  <si>
    <t>Borongan, Samar</t>
  </si>
  <si>
    <t>B16904</t>
  </si>
  <si>
    <t>Balibago, Sta. Rosa</t>
  </si>
  <si>
    <t>B23846</t>
  </si>
  <si>
    <t>Garden Villas, Sta. Rosa, Laguna</t>
  </si>
  <si>
    <t>B26068</t>
  </si>
  <si>
    <t>Unitown Center, Sta. Rosa, Laguna</t>
  </si>
  <si>
    <t>B16928</t>
  </si>
  <si>
    <t>Vigan, Ilocos Sur</t>
  </si>
  <si>
    <t>B16943</t>
  </si>
  <si>
    <t>Ilaya, Cagayan de Oro</t>
  </si>
  <si>
    <t>B17021</t>
  </si>
  <si>
    <t>Pico, La Trinidad</t>
  </si>
  <si>
    <t>B17107</t>
  </si>
  <si>
    <t>Prince Mall Guiuan, Samar</t>
  </si>
  <si>
    <t>B17161</t>
  </si>
  <si>
    <t>San Roque, Marikina</t>
  </si>
  <si>
    <t>B20216</t>
  </si>
  <si>
    <t>Marcos Highway, Pasig City</t>
  </si>
  <si>
    <t>B22829</t>
  </si>
  <si>
    <t>Karangalan Village, Manggahan, Pasig City</t>
  </si>
  <si>
    <t>B23098</t>
  </si>
  <si>
    <t>Marc Square, Taytay, Rizal</t>
  </si>
  <si>
    <t>B24899</t>
  </si>
  <si>
    <t>Graceland Plaza Marikina, Metro Manila</t>
  </si>
  <si>
    <t>B17173</t>
  </si>
  <si>
    <t>G.Y. dela Serna, Lapulapu City</t>
  </si>
  <si>
    <t>B17197</t>
  </si>
  <si>
    <t>Polanco, Zamboanga</t>
  </si>
  <si>
    <t>B17259</t>
  </si>
  <si>
    <t>Tres de Abril, Labangon</t>
  </si>
  <si>
    <t>B20243</t>
  </si>
  <si>
    <t>Tres de Abril 2, Punta Princesa</t>
  </si>
  <si>
    <t>B17274</t>
  </si>
  <si>
    <t>Baybay, Leyte</t>
  </si>
  <si>
    <t>B17312</t>
  </si>
  <si>
    <t>Marawi, Lanao del Sur</t>
  </si>
  <si>
    <t>B20267</t>
  </si>
  <si>
    <t>Marawi 2, Lanao del Sur</t>
  </si>
  <si>
    <t>B17387</t>
  </si>
  <si>
    <t>Tisa, Cebu City</t>
  </si>
  <si>
    <t>B17425</t>
  </si>
  <si>
    <t>Miputak, Dipolog City</t>
  </si>
  <si>
    <t>B17452</t>
  </si>
  <si>
    <t>Pating, Masbate City</t>
  </si>
  <si>
    <t>B20282</t>
  </si>
  <si>
    <t>Aroroy, Masbate City</t>
  </si>
  <si>
    <t>B24444</t>
  </si>
  <si>
    <t>Bagumbayan, Masbate City</t>
  </si>
  <si>
    <t>B24456</t>
  </si>
  <si>
    <t>Nursery, Masbate City</t>
  </si>
  <si>
    <t>B25116</t>
  </si>
  <si>
    <t>Zurbito, Pating, Masbate</t>
  </si>
  <si>
    <t>B25128</t>
  </si>
  <si>
    <t>Calumpang, Malinta, Masbate</t>
  </si>
  <si>
    <t>B26169</t>
  </si>
  <si>
    <t>Ibingay, Masbate</t>
  </si>
  <si>
    <t>B26246</t>
  </si>
  <si>
    <t>Poblacion District 1, Mobo, Masbate</t>
  </si>
  <si>
    <t>B26359</t>
  </si>
  <si>
    <t>Prince Hypermart Placer, Masbate</t>
  </si>
  <si>
    <t>B26362</t>
  </si>
  <si>
    <t>Aroroy Market, Masbate</t>
  </si>
  <si>
    <t>B17464</t>
  </si>
  <si>
    <t>F. Llamas, Punta Princesa</t>
  </si>
  <si>
    <t>B17514</t>
  </si>
  <si>
    <t>Panganiban, Cebu City</t>
  </si>
  <si>
    <t>B17526</t>
  </si>
  <si>
    <t>Lamacan, Argao</t>
  </si>
  <si>
    <t>B21322</t>
  </si>
  <si>
    <t>Argao Public Market, Cebu</t>
  </si>
  <si>
    <t>B17538</t>
  </si>
  <si>
    <t>Inoburan, Naga</t>
  </si>
  <si>
    <t>B17565</t>
  </si>
  <si>
    <t>Quezon Blvd., Kidapawan City</t>
  </si>
  <si>
    <t>DMND02</t>
  </si>
  <si>
    <t>B25422</t>
  </si>
  <si>
    <t>Gaisano Grand Mall Kidapawan, Cotabato</t>
  </si>
  <si>
    <t>B17603</t>
  </si>
  <si>
    <t xml:space="preserve">Pusok, Lapulapu City </t>
  </si>
  <si>
    <t>B17654</t>
  </si>
  <si>
    <t>Impalambong, Malaybalay</t>
  </si>
  <si>
    <t>B20368</t>
  </si>
  <si>
    <t>Fortich, Malaybalay</t>
  </si>
  <si>
    <t>B21803</t>
  </si>
  <si>
    <t>Casisang, Malaybalay, Bukidnon</t>
  </si>
  <si>
    <t>B17716</t>
  </si>
  <si>
    <t>Bogo North Town Ctr., Bogo</t>
  </si>
  <si>
    <t>B17728</t>
  </si>
  <si>
    <t>Guadalupe, Cebu City</t>
  </si>
  <si>
    <t>B17731</t>
  </si>
  <si>
    <t>Liloy, Zamboanga del Norte</t>
  </si>
  <si>
    <t>B21881</t>
  </si>
  <si>
    <t>Fatima, Liloy, Zamboanga del Norte</t>
  </si>
  <si>
    <t>B23718</t>
  </si>
  <si>
    <t>Baybay, Liloy, Zamboanga del Norte</t>
  </si>
  <si>
    <t>B17743</t>
  </si>
  <si>
    <t>Olivar, Danao City</t>
  </si>
  <si>
    <t>B24405</t>
  </si>
  <si>
    <t>Guinsay, Danao City, Cebu</t>
  </si>
  <si>
    <t>B17779</t>
  </si>
  <si>
    <t>Pakigne, Minglanilla</t>
  </si>
  <si>
    <t>B20395</t>
  </si>
  <si>
    <t>Calajoan, Minglanilla</t>
  </si>
  <si>
    <t>B17782</t>
  </si>
  <si>
    <t>Dulag, Leyte</t>
  </si>
  <si>
    <t>B21524</t>
  </si>
  <si>
    <t>Prince Hypermart Dulag, Leyte</t>
  </si>
  <si>
    <t>B17805</t>
  </si>
  <si>
    <t>Happy Homes, Magsaysay, Baguio</t>
  </si>
  <si>
    <t>B17832</t>
  </si>
  <si>
    <t>Tayud, Consolacion</t>
  </si>
  <si>
    <t>B20775</t>
  </si>
  <si>
    <t>Capulay, Tayud</t>
  </si>
  <si>
    <t>B17844</t>
  </si>
  <si>
    <t>Imelda, Zamboanga Sibugay</t>
  </si>
  <si>
    <t>B23187</t>
  </si>
  <si>
    <t>Alicia, Zamboanga Sibugay</t>
  </si>
  <si>
    <t>B17868</t>
  </si>
  <si>
    <t>Tibanban, Davao Oriental</t>
  </si>
  <si>
    <t>DMND08</t>
  </si>
  <si>
    <t>B20709</t>
  </si>
  <si>
    <t>Tibanban-Lavigan, Davao Oriental</t>
  </si>
  <si>
    <t>B17883</t>
  </si>
  <si>
    <t>Balirong, Naga</t>
  </si>
  <si>
    <t>B21789</t>
  </si>
  <si>
    <t>Lutac, Naga City, Cebu</t>
  </si>
  <si>
    <t>B17945</t>
  </si>
  <si>
    <t>Bolinao, Pangasinan</t>
  </si>
  <si>
    <t>B18008</t>
  </si>
  <si>
    <t>Dumlog, Talisay</t>
  </si>
  <si>
    <t>B18011</t>
  </si>
  <si>
    <t>Mauban, Quezon</t>
  </si>
  <si>
    <t>B18074</t>
  </si>
  <si>
    <t>Babag II, Lapulapu City</t>
  </si>
  <si>
    <t>B18112</t>
  </si>
  <si>
    <t>Maningcol, Ozamiz City</t>
  </si>
  <si>
    <t>B18136</t>
  </si>
  <si>
    <t>Ayungon, Negros Oriental</t>
  </si>
  <si>
    <t>B18151</t>
  </si>
  <si>
    <t>Madang, Mati, Davao</t>
  </si>
  <si>
    <t>B21346</t>
  </si>
  <si>
    <t>Rizal, Mati, Davao Oriental</t>
  </si>
  <si>
    <t>B18225</t>
  </si>
  <si>
    <t>Gaisano Capital San Carlos, Negros Occidental</t>
  </si>
  <si>
    <t>B18237</t>
  </si>
  <si>
    <t>Panubigan, Canlaon City, Negros Oriental</t>
  </si>
  <si>
    <t>B18249</t>
  </si>
  <si>
    <t>Mawab, Compostela Valley</t>
  </si>
  <si>
    <t>DMND07</t>
  </si>
  <si>
    <t>B18276</t>
  </si>
  <si>
    <t>Tapilon, Daanbantayan, Cebu</t>
  </si>
  <si>
    <t>B20445</t>
  </si>
  <si>
    <t>Maya, Daanbantayan</t>
  </si>
  <si>
    <t>B18377</t>
  </si>
  <si>
    <t>Singao, Kidapawan City</t>
  </si>
  <si>
    <t>B18415</t>
  </si>
  <si>
    <t>Ilagan Public Market, Ilagan City</t>
  </si>
  <si>
    <t>L03</t>
  </si>
  <si>
    <t>B18427</t>
  </si>
  <si>
    <t>Mohon, Talisay</t>
  </si>
  <si>
    <t>B20472</t>
  </si>
  <si>
    <t>Mohon 2, Talisay</t>
  </si>
  <si>
    <t>B20484</t>
  </si>
  <si>
    <t>Pooc, Talisay</t>
  </si>
  <si>
    <t>B18442</t>
  </si>
  <si>
    <t>Cabantan, Cebu City</t>
  </si>
  <si>
    <t>B18466</t>
  </si>
  <si>
    <t>Maigo, Lanao del Norte</t>
  </si>
  <si>
    <t>B18493</t>
  </si>
  <si>
    <t>Pajo, Lapulapu City</t>
  </si>
  <si>
    <t>DVSY17</t>
  </si>
  <si>
    <t>B18516</t>
  </si>
  <si>
    <t>Sangat, San Fernando</t>
  </si>
  <si>
    <t>B18629</t>
  </si>
  <si>
    <t>Tagunol, Mambaling</t>
  </si>
  <si>
    <t>DVSY16</t>
  </si>
  <si>
    <t>B18632</t>
  </si>
  <si>
    <t>Cabreros, Cebu City 2</t>
  </si>
  <si>
    <t>B18706</t>
  </si>
  <si>
    <t>Sewage, Lapulapu</t>
  </si>
  <si>
    <t>B18796</t>
  </si>
  <si>
    <t>H. Mall Mactan, Cebu</t>
  </si>
  <si>
    <t>B18807</t>
  </si>
  <si>
    <t>Taloot, Argao</t>
  </si>
  <si>
    <t>B18846</t>
  </si>
  <si>
    <t>Grand Mall, Lapulapu</t>
  </si>
  <si>
    <t>B18861</t>
  </si>
  <si>
    <t>San Roque, Mambaling, Cebu City</t>
  </si>
  <si>
    <t>B19126</t>
  </si>
  <si>
    <t>Capitol, Cebu City</t>
  </si>
  <si>
    <t>B19227</t>
  </si>
  <si>
    <t>Anagan, Apas</t>
  </si>
  <si>
    <t>B19619</t>
  </si>
  <si>
    <t>Guadalupe (Fooda), Cebu City</t>
  </si>
  <si>
    <t>B19723</t>
  </si>
  <si>
    <t>Paknaan, Mandaue</t>
  </si>
  <si>
    <t>B19735</t>
  </si>
  <si>
    <t>Paknaan 2, Mandaue</t>
  </si>
  <si>
    <t>B19747</t>
  </si>
  <si>
    <t>Paknaan Satellite Market, Mandaue</t>
  </si>
  <si>
    <t>B19762</t>
  </si>
  <si>
    <t>Rizal, Lapulapu</t>
  </si>
  <si>
    <t>B20228</t>
  </si>
  <si>
    <t>Gun-ob, Lapu-lapu</t>
  </si>
  <si>
    <t>B20294</t>
  </si>
  <si>
    <t>Punta Princesa, Cebu City</t>
  </si>
  <si>
    <t>B20406</t>
  </si>
  <si>
    <t>Tabada, Basak San Nicolas</t>
  </si>
  <si>
    <t>B20421</t>
  </si>
  <si>
    <t>Matiao Highway, Mati</t>
  </si>
  <si>
    <t>B20558</t>
  </si>
  <si>
    <t>Labason, Zamboanga del Norte</t>
  </si>
  <si>
    <t>B20623</t>
  </si>
  <si>
    <t>Mahayag, Zamboanga del Sur</t>
  </si>
  <si>
    <t>B20647</t>
  </si>
  <si>
    <t>Poblacion, Borbon, Cebu</t>
  </si>
  <si>
    <t>B21548</t>
  </si>
  <si>
    <t>Poblacion, Tabogon, Cebu</t>
  </si>
  <si>
    <t>B22069</t>
  </si>
  <si>
    <t>Ilihan, Tabogon, Cebu</t>
  </si>
  <si>
    <t>B20712</t>
  </si>
  <si>
    <t>Pan-Philippine Hiway, Tacloban City</t>
  </si>
  <si>
    <t>B23237</t>
  </si>
  <si>
    <t>Robinsons Place Terminal, Tacloban</t>
  </si>
  <si>
    <t>B23632</t>
  </si>
  <si>
    <t>SM Savemore Tacloban, Leyte</t>
  </si>
  <si>
    <t>B20748</t>
  </si>
  <si>
    <t>Rizal Avenue, Basak San Nicolas</t>
  </si>
  <si>
    <t>B20876</t>
  </si>
  <si>
    <t>Pier 3, Tinago, Cebu City</t>
  </si>
  <si>
    <t>B20891</t>
  </si>
  <si>
    <t>Torres, Tacloban City</t>
  </si>
  <si>
    <t>B20902</t>
  </si>
  <si>
    <t>Cagodoy, Lapulapu City</t>
  </si>
  <si>
    <t>B21004</t>
  </si>
  <si>
    <t>Molino 3, Bacoor, Cavite</t>
  </si>
  <si>
    <t>B21854</t>
  </si>
  <si>
    <t>RFC, Molino II, Cavite</t>
  </si>
  <si>
    <t>B22336</t>
  </si>
  <si>
    <t>Central Mall, Dasmarinas, Cavite</t>
  </si>
  <si>
    <t>B22401</t>
  </si>
  <si>
    <t>District Mall, Dasmarinas, Cavite</t>
  </si>
  <si>
    <t>B22553</t>
  </si>
  <si>
    <t>Waltermart Dasmarinas, Cavite</t>
  </si>
  <si>
    <t>B22627</t>
  </si>
  <si>
    <t>Puregold Anabu, Cavite</t>
  </si>
  <si>
    <t>B22817</t>
  </si>
  <si>
    <t>Waltermart Bacoor, Cavite</t>
  </si>
  <si>
    <t>B24976</t>
  </si>
  <si>
    <t>Robinsons Imus, Cavite</t>
  </si>
  <si>
    <t>B25535</t>
  </si>
  <si>
    <t>Waltermart Lotus Mall, Cavite</t>
  </si>
  <si>
    <t>B25725</t>
  </si>
  <si>
    <t>SM Hypermarket Imus, Cavite</t>
  </si>
  <si>
    <t>B26261</t>
  </si>
  <si>
    <t>De La Salle University, Dasmarinas, Cavite</t>
  </si>
  <si>
    <t>B26386</t>
  </si>
  <si>
    <t>BACEMCO, Bacoor, Cavite</t>
  </si>
  <si>
    <t>B21094</t>
  </si>
  <si>
    <t>Mercato de Mactan, Cebu</t>
  </si>
  <si>
    <t>B21132</t>
  </si>
  <si>
    <t>Poblacion 3, Tagbilaran City</t>
  </si>
  <si>
    <t>B25229</t>
  </si>
  <si>
    <t>Bantol, Dampas, Tagbilaran City</t>
  </si>
  <si>
    <t>B26258</t>
  </si>
  <si>
    <t>JA Clarin, Poblacion 1, Tagbilaran</t>
  </si>
  <si>
    <t>B21156</t>
  </si>
  <si>
    <t>B18109</t>
  </si>
  <si>
    <t>Biasong, Merida</t>
  </si>
  <si>
    <t>San Isidro, Ormoc City</t>
  </si>
  <si>
    <t>B25143</t>
  </si>
  <si>
    <t>SM Center Ormoc, Leyte</t>
  </si>
  <si>
    <t>B21269</t>
  </si>
  <si>
    <t>Gutalac, Zamboanga del Norte</t>
  </si>
  <si>
    <t>B21334</t>
  </si>
  <si>
    <t>B16346</t>
  </si>
  <si>
    <t>Kapalong, Davao Del Norte</t>
  </si>
  <si>
    <t>R. Magsaysay, Sto. Tomas, Davao Del Norte</t>
  </si>
  <si>
    <t>B21358</t>
  </si>
  <si>
    <t>Carajay, Lapulapu City</t>
  </si>
  <si>
    <t>B21373</t>
  </si>
  <si>
    <t>Jasaan, Misamis Oriental</t>
  </si>
  <si>
    <t>B21385</t>
  </si>
  <si>
    <t>Nabunturan, Compostela Valley</t>
  </si>
  <si>
    <t>B21512</t>
  </si>
  <si>
    <t>Andres Abellana, Guadalupe</t>
  </si>
  <si>
    <t>B21575</t>
  </si>
  <si>
    <t>Dumanjug Public Market, Poblacion, Dumanjug</t>
  </si>
  <si>
    <t>B21649</t>
  </si>
  <si>
    <t>Trece Public Market, Trece Martires, Cavite</t>
  </si>
  <si>
    <t>B22476</t>
  </si>
  <si>
    <t>Waltermart Trece Martires, Cavite</t>
  </si>
  <si>
    <t>B21688</t>
  </si>
  <si>
    <t>Piao, Manuel A. Roxas, Zamboanga del Norte</t>
  </si>
  <si>
    <t>B21702</t>
  </si>
  <si>
    <t>Go Mart Soong, Maribago, Lapulapu City</t>
  </si>
  <si>
    <t>B21815</t>
  </si>
  <si>
    <t>Poblacion 2, Oroquieta, Misamis Occidental</t>
  </si>
  <si>
    <t>B21827</t>
  </si>
  <si>
    <t>Lam an, Ozamis, Misamis Occidental</t>
  </si>
  <si>
    <t>B21866</t>
  </si>
  <si>
    <t>Apitong, Maranding, Lanao del Norte</t>
  </si>
  <si>
    <t>B21878</t>
  </si>
  <si>
    <t>Salug, Poblacion, Zamboanga del Norte</t>
  </si>
  <si>
    <t>B21893</t>
  </si>
  <si>
    <t>San Jose, Montevista, Davao de Oro</t>
  </si>
  <si>
    <t>B21943</t>
  </si>
  <si>
    <t>Juana Osmena, Cebu City</t>
  </si>
  <si>
    <t>B21982</t>
  </si>
  <si>
    <t>San Jose, Goa, Camarines Sur</t>
  </si>
  <si>
    <t>L08</t>
  </si>
  <si>
    <t>B22057</t>
  </si>
  <si>
    <t>Ylaya, Tondo, Manila</t>
  </si>
  <si>
    <t>B22096</t>
  </si>
  <si>
    <t>BF Resort, Talon 2, Las Pinas City</t>
  </si>
  <si>
    <t>B23136</t>
  </si>
  <si>
    <t>Suki Market Moonwalk, Las Pinas City</t>
  </si>
  <si>
    <t>B25217</t>
  </si>
  <si>
    <t>SM Southmall Terminal, Las Pinas City</t>
  </si>
  <si>
    <t>B25609</t>
  </si>
  <si>
    <t>SM Center Las Pinas, Metro Manila</t>
  </si>
  <si>
    <t>B22134</t>
  </si>
  <si>
    <t>B22122</t>
  </si>
  <si>
    <t>Rafael Rabaya, Cansojong, Talisay</t>
  </si>
  <si>
    <t>San Isidro Village, Talisay</t>
  </si>
  <si>
    <t>B23873</t>
  </si>
  <si>
    <t>VH Garces, Tangke, Talisay</t>
  </si>
  <si>
    <t>B22185</t>
  </si>
  <si>
    <t>Poblacion, Pinan, Zamboanga del Norte</t>
  </si>
  <si>
    <t>B22262</t>
  </si>
  <si>
    <t>Poblacion, Katipunan, Zamboanga del Norte</t>
  </si>
  <si>
    <t>B22286</t>
  </si>
  <si>
    <t>B20053</t>
  </si>
  <si>
    <t>Kabuloy, Catarman</t>
  </si>
  <si>
    <t>Catarman, Liloan, Cebu</t>
  </si>
  <si>
    <t>B22832</t>
  </si>
  <si>
    <t>Tayud, Liloan, Cebu</t>
  </si>
  <si>
    <t>B22298</t>
  </si>
  <si>
    <t>Moonwalk, Paranaque City</t>
  </si>
  <si>
    <t>B22589</t>
  </si>
  <si>
    <t>Waltermart Bicutan, Paranaque City</t>
  </si>
  <si>
    <t>B22309</t>
  </si>
  <si>
    <t>Cabel, Lagao, Gensan City</t>
  </si>
  <si>
    <t>B22348</t>
  </si>
  <si>
    <t>Blumentritt, Sta. Cruz, Manila</t>
  </si>
  <si>
    <t>B22755</t>
  </si>
  <si>
    <t>Trabajo Market, Sampaloc, Manila</t>
  </si>
  <si>
    <t>B23582</t>
  </si>
  <si>
    <t>SM Hypermarket Deca Mall, Manila</t>
  </si>
  <si>
    <t>B23974</t>
  </si>
  <si>
    <t>Gagalangin, Tondo</t>
  </si>
  <si>
    <t>B24281</t>
  </si>
  <si>
    <t>SM Supermarket Sangandaan, Caloocan City</t>
  </si>
  <si>
    <t>B24723</t>
  </si>
  <si>
    <t>Waltermart Caloocan, Caloocan City</t>
  </si>
  <si>
    <t>B22425</t>
  </si>
  <si>
    <t>Poblacion, Tampilisan, Zamboanga del Norte</t>
  </si>
  <si>
    <t>B22437</t>
  </si>
  <si>
    <t>Sergio Osmena, Zamboanga del Norte</t>
  </si>
  <si>
    <t>B22514</t>
  </si>
  <si>
    <t>South Mapang, Rizal, Zamboanga del Norte</t>
  </si>
  <si>
    <t>B22526</t>
  </si>
  <si>
    <t>Poblacion, Sapang Dalaga, Misamis Occidental</t>
  </si>
  <si>
    <t>B22538</t>
  </si>
  <si>
    <t>Sebac, Tudela, Misamis Occidental</t>
  </si>
  <si>
    <t>B22592</t>
  </si>
  <si>
    <t>Pittland, Cabuyao, Laguna</t>
  </si>
  <si>
    <t>B22639</t>
  </si>
  <si>
    <t>MacArthur, Marulas, Valenzuela City</t>
  </si>
  <si>
    <t>B26409</t>
  </si>
  <si>
    <t xml:space="preserve">Gen. T. de Leon, Valenzuela </t>
  </si>
  <si>
    <t>B22654</t>
  </si>
  <si>
    <t>Galvan, Dagupan City</t>
  </si>
  <si>
    <t>B22666</t>
  </si>
  <si>
    <t>Island Central Mactan, Lapulapu City</t>
  </si>
  <si>
    <t>B22693</t>
  </si>
  <si>
    <t>Palaris, San Carlos City, Pangasinan</t>
  </si>
  <si>
    <t>B22728</t>
  </si>
  <si>
    <t>V. Albano, Maguikay, Mandaue City</t>
  </si>
  <si>
    <t>B22794</t>
  </si>
  <si>
    <t>Oppra, Kalunasan, Cebu City</t>
  </si>
  <si>
    <t>B22805</t>
  </si>
  <si>
    <t>Mactan Breeze Center, Mactan, Lapulapu City</t>
  </si>
  <si>
    <t>B22844</t>
  </si>
  <si>
    <t>BF Homes, Buhisan, Cebu City</t>
  </si>
  <si>
    <t>B22868</t>
  </si>
  <si>
    <t>Poblacion, Margosatubig, Zamboanga del Sur</t>
  </si>
  <si>
    <t>B22871</t>
  </si>
  <si>
    <t>Poblacion, Leon Postigo, Zamboanga del Norte</t>
  </si>
  <si>
    <t>B22921</t>
  </si>
  <si>
    <t>Lucky, Lemery, Batangas</t>
  </si>
  <si>
    <t>B23008</t>
  </si>
  <si>
    <t>Gaisano Mactan Island Mall, Lapulapu City</t>
  </si>
  <si>
    <t>B23023</t>
  </si>
  <si>
    <t>Lower Camparang, Kalunasan, Cebu City</t>
  </si>
  <si>
    <t>B23035</t>
  </si>
  <si>
    <t>Caasinan, Cabadbaran City</t>
  </si>
  <si>
    <t>M01</t>
  </si>
  <si>
    <t>B23047</t>
  </si>
  <si>
    <t>San Nicolas, Washington, Surigao City</t>
  </si>
  <si>
    <t>B25675</t>
  </si>
  <si>
    <t>Sarvida, Taft, Surigao City</t>
  </si>
  <si>
    <t>B23074</t>
  </si>
  <si>
    <t>Talakag, Bukidnon</t>
  </si>
  <si>
    <t>B23086</t>
  </si>
  <si>
    <t>Poblacion, Buenavista, Agusan del Norte</t>
  </si>
  <si>
    <t>B23124</t>
  </si>
  <si>
    <t>Ocana, Carcar, Cebu</t>
  </si>
  <si>
    <t>B24064</t>
  </si>
  <si>
    <t>Savemore Carcar, Cebu</t>
  </si>
  <si>
    <t>B23163</t>
  </si>
  <si>
    <t>B21195</t>
  </si>
  <si>
    <t>SM City Rosario, Cavite</t>
  </si>
  <si>
    <t>B22918</t>
  </si>
  <si>
    <t>Puregold Tanza, Cavite</t>
  </si>
  <si>
    <t>Paliparan, Salawag, Dasmarinas City</t>
  </si>
  <si>
    <t>B23213</t>
  </si>
  <si>
    <t>Waltermart Gen. Trias, Cavite</t>
  </si>
  <si>
    <t>B23427</t>
  </si>
  <si>
    <t>SM Hypermarket Kadiwa, Cavite</t>
  </si>
  <si>
    <t>B23516</t>
  </si>
  <si>
    <t>SM Supermarket Tanza, Cavite</t>
  </si>
  <si>
    <t>B23617</t>
  </si>
  <si>
    <t>Robinsons Place Dasmarinas, Cavite</t>
  </si>
  <si>
    <t>B24848</t>
  </si>
  <si>
    <t>Puregold GMA, Cavite</t>
  </si>
  <si>
    <t>B25194</t>
  </si>
  <si>
    <t>Divimart Supermarket, Gen. Trias, Cavite</t>
  </si>
  <si>
    <t>B25598</t>
  </si>
  <si>
    <t>Robinsons Gen. Trias, Cavite</t>
  </si>
  <si>
    <t>B26044</t>
  </si>
  <si>
    <t>Waltermart Naic, Cavite</t>
  </si>
  <si>
    <t>B26118</t>
  </si>
  <si>
    <t>Lyceum, Gen. Luis, Cavite</t>
  </si>
  <si>
    <t>B26308</t>
  </si>
  <si>
    <t>Fortune King Mall, Naic, Cavite</t>
  </si>
  <si>
    <t>B26398</t>
  </si>
  <si>
    <t>Cityking Town Center, Naic, Cavite</t>
  </si>
  <si>
    <t>B23175</t>
  </si>
  <si>
    <t>Poblacion East, Milagros, Masbate</t>
  </si>
  <si>
    <t>B23199</t>
  </si>
  <si>
    <t>Mabuhay, Zamboanga Sibugay</t>
  </si>
  <si>
    <t>B23252</t>
  </si>
  <si>
    <t>New Paco Market, Manila</t>
  </si>
  <si>
    <t>B23288</t>
  </si>
  <si>
    <t>Gaisano Saversmart, Basak, Lapulapu City</t>
  </si>
  <si>
    <t>B23291</t>
  </si>
  <si>
    <t>Graceland 1, Buaya, Lapulapu City</t>
  </si>
  <si>
    <t>B23314</t>
  </si>
  <si>
    <t>P. Tuazon, Project 4, Quezon City</t>
  </si>
  <si>
    <t>B24521</t>
  </si>
  <si>
    <t>SM Supermarket North Edsa, Quezon City</t>
  </si>
  <si>
    <t>B24685</t>
  </si>
  <si>
    <t>Savemore Market, P. Tuazon, Quezon City</t>
  </si>
  <si>
    <t>B23326</t>
  </si>
  <si>
    <t>Kalentong, Mandaluyong City</t>
  </si>
  <si>
    <t>B23605</t>
  </si>
  <si>
    <t>SM Hypermarket Mandaluyong, Metro Manila</t>
  </si>
  <si>
    <t>B23745</t>
  </si>
  <si>
    <t>SM Cherry Shaw, Mandaluyong City</t>
  </si>
  <si>
    <t>B23757</t>
  </si>
  <si>
    <t>SM Megamall Bus Terminal, Mandaluyong City</t>
  </si>
  <si>
    <t>B23365</t>
  </si>
  <si>
    <t>Halapitan, San Fernando, Bukidnon</t>
  </si>
  <si>
    <t>B23377</t>
  </si>
  <si>
    <t>Tubod, Iligan City</t>
  </si>
  <si>
    <t>B23389</t>
  </si>
  <si>
    <t>Suarez, Iligan City</t>
  </si>
  <si>
    <t>B23392</t>
  </si>
  <si>
    <t>Consunji, Iligan City</t>
  </si>
  <si>
    <t>B23403</t>
  </si>
  <si>
    <t>Tambo Public Market, Iligan City</t>
  </si>
  <si>
    <t>B23481</t>
  </si>
  <si>
    <t>Poblacion, Tabuelan, Cebu</t>
  </si>
  <si>
    <t>B23493</t>
  </si>
  <si>
    <t>Urgello-Uytengsu, Cebu City</t>
  </si>
  <si>
    <t>B23504</t>
  </si>
  <si>
    <t>Candon, Ilocos Sur</t>
  </si>
  <si>
    <t>B23531</t>
  </si>
  <si>
    <t>Polo, Dapitan, Zamboanga del Norte</t>
  </si>
  <si>
    <t>B23543</t>
  </si>
  <si>
    <t>Plaridel, Misamis Occidental</t>
  </si>
  <si>
    <t>B23555</t>
  </si>
  <si>
    <t>Tamontaka, Maguindanao</t>
  </si>
  <si>
    <t>B23656</t>
  </si>
  <si>
    <t>Rizal, Don Carlos, Bukidnon</t>
  </si>
  <si>
    <t>B23668</t>
  </si>
  <si>
    <t>Poblacion, Guipos, Zamboanga del Sur</t>
  </si>
  <si>
    <t>B23683</t>
  </si>
  <si>
    <t>Bagumbayan 2, Maribago, Lapulapu City</t>
  </si>
  <si>
    <t>B23695</t>
  </si>
  <si>
    <t>St. Joseph Center, San Jose de Buenavista, Antique</t>
  </si>
  <si>
    <t>V09</t>
  </si>
  <si>
    <t>B23706</t>
  </si>
  <si>
    <t>Esprutingkle Bus. Hotel, San Jose de Buenavista, Antique</t>
  </si>
  <si>
    <t>B23721</t>
  </si>
  <si>
    <t>Burgos, Rodriguez, Rizal</t>
  </si>
  <si>
    <t>B23772</t>
  </si>
  <si>
    <t>Visayan Village, Tagum City, Davao del Norte</t>
  </si>
  <si>
    <t>B23807</t>
  </si>
  <si>
    <t>Poblacion, Kabasalan, Zamboanga Sibugay</t>
  </si>
  <si>
    <t>B23819</t>
  </si>
  <si>
    <t>RT Lim, Zamboanga Sibugay</t>
  </si>
  <si>
    <t>B23834</t>
  </si>
  <si>
    <t>Poblacion, San Pablo, Laguna</t>
  </si>
  <si>
    <t>B23861</t>
  </si>
  <si>
    <t>Aglayan, Malaybalay, Bukidnon</t>
  </si>
  <si>
    <t>B23885</t>
  </si>
  <si>
    <t>B22464</t>
  </si>
  <si>
    <t>Waltermart E. Rodriguez, Quezon City</t>
  </si>
  <si>
    <t>B23594</t>
  </si>
  <si>
    <t>SM Hypermarket Sun Residences, Quezon City</t>
  </si>
  <si>
    <t>Balic-Balic, Sampaloc, Manila</t>
  </si>
  <si>
    <t>B24711</t>
  </si>
  <si>
    <t>SM Supermarket Manila, Manila</t>
  </si>
  <si>
    <t>B23908</t>
  </si>
  <si>
    <t>Sta. Cruz, Laguna</t>
  </si>
  <si>
    <t>B24138</t>
  </si>
  <si>
    <t>Sun Star Mall, Sta. Cruz, Laguna</t>
  </si>
  <si>
    <t>B24203</t>
  </si>
  <si>
    <t>Metro Central Mall, Sta. Cruz, Laguna</t>
  </si>
  <si>
    <t>B23923</t>
  </si>
  <si>
    <t>National Highway, Tibungco, Davao City</t>
  </si>
  <si>
    <t>B23962</t>
  </si>
  <si>
    <t>Quirino Avenue, Baclaran, Paranaque</t>
  </si>
  <si>
    <t>B23986</t>
  </si>
  <si>
    <t>Cogon, Tagbilaran, Bohol</t>
  </si>
  <si>
    <t>B25927</t>
  </si>
  <si>
    <t>Globalport Bohol, Tagbilaran City</t>
  </si>
  <si>
    <t>B23998</t>
  </si>
  <si>
    <t>B20317</t>
  </si>
  <si>
    <t>Damilag, Bukidnon</t>
  </si>
  <si>
    <t>Tankulan, Manolo Fortich, Bukidnon</t>
  </si>
  <si>
    <t>B24013</t>
  </si>
  <si>
    <t>Mabitangen, Coron, Palawan</t>
  </si>
  <si>
    <t>B24545</t>
  </si>
  <si>
    <t>Sinamay, Coron, Palawan</t>
  </si>
  <si>
    <t>B26005</t>
  </si>
  <si>
    <t>Poblacion 3, Coron, Palawan</t>
  </si>
  <si>
    <t>B24037</t>
  </si>
  <si>
    <t>Jagna, Bohol</t>
  </si>
  <si>
    <t>B24049</t>
  </si>
  <si>
    <t>UB, Tagbilaran, Bohol</t>
  </si>
  <si>
    <t>B24052</t>
  </si>
  <si>
    <t>B20573</t>
  </si>
  <si>
    <t>Naga City People's Mall, Camarines Sur</t>
  </si>
  <si>
    <t>Dayangdang, Naga City, Camarines Sur</t>
  </si>
  <si>
    <t>B24851</t>
  </si>
  <si>
    <t>Nagaland E-Mall, Naga City, Camarines Sur</t>
  </si>
  <si>
    <t>B24076</t>
  </si>
  <si>
    <t>San Vicente, Carcar, Cebu</t>
  </si>
  <si>
    <t>B24091</t>
  </si>
  <si>
    <t>Rizal, Bukidnon</t>
  </si>
  <si>
    <t>B24102</t>
  </si>
  <si>
    <t>Quezon, Bukidnon</t>
  </si>
  <si>
    <t>B24126</t>
  </si>
  <si>
    <t>B24114</t>
  </si>
  <si>
    <t>SM Megacenter, Cabanatuan City</t>
  </si>
  <si>
    <t>Cabanatuan Central Terminal, Cabanatuan City</t>
  </si>
  <si>
    <t>B24215</t>
  </si>
  <si>
    <t>NE Pacific Mall, Cabanatuan City</t>
  </si>
  <si>
    <t xml:space="preserve">PAM </t>
  </si>
  <si>
    <t>B24242</t>
  </si>
  <si>
    <t>Waltermart Cabanatuan, Cabanatuan City</t>
  </si>
  <si>
    <t>B24379</t>
  </si>
  <si>
    <t>SM Supermarket Cabanatuan, Nueva Ecija</t>
  </si>
  <si>
    <t>B24177</t>
  </si>
  <si>
    <t>Principe, San Jose de Buenavista, Antique</t>
  </si>
  <si>
    <t>B24189</t>
  </si>
  <si>
    <t>Ligtasan, Tarlac</t>
  </si>
  <si>
    <t>B24227</t>
  </si>
  <si>
    <t>My Metro Town Mall, Tarlac City</t>
  </si>
  <si>
    <t>B24239</t>
  </si>
  <si>
    <t>Market City, Tarlac City</t>
  </si>
  <si>
    <t>B24254</t>
  </si>
  <si>
    <t>Poblacion Sur, Rizal, Nueva Ecija</t>
  </si>
  <si>
    <t>B24266</t>
  </si>
  <si>
    <t>C. Padilla - T. Abella, Cebu City</t>
  </si>
  <si>
    <t>B24304</t>
  </si>
  <si>
    <t>Iba, Meycauayan City</t>
  </si>
  <si>
    <t>B24786</t>
  </si>
  <si>
    <t>El Camino Real, Meycauayan City</t>
  </si>
  <si>
    <t>B24316</t>
  </si>
  <si>
    <t>Litex, Commonwealth, Quezon City</t>
  </si>
  <si>
    <t>B25737</t>
  </si>
  <si>
    <t>North Fairview, Quezon City</t>
  </si>
  <si>
    <t>B24331</t>
  </si>
  <si>
    <t>Olutanga, Zamboanga Sibugay</t>
  </si>
  <si>
    <t>B24355</t>
  </si>
  <si>
    <t>Poblacion, Marilao, Bulacan</t>
  </si>
  <si>
    <t>B24382</t>
  </si>
  <si>
    <t>J. A. Santos, Digos City</t>
  </si>
  <si>
    <t>B25333</t>
  </si>
  <si>
    <t>Gaisano Grand Mall Digos, Davao del Sur</t>
  </si>
  <si>
    <t>B24394</t>
  </si>
  <si>
    <t>Tambongon, San Remigio, Cebu</t>
  </si>
  <si>
    <t>B24417</t>
  </si>
  <si>
    <t>Sto. Nino, Gapan, Nueva Ecija</t>
  </si>
  <si>
    <t>B24468</t>
  </si>
  <si>
    <t>Waltermart Gapan, Gapan City</t>
  </si>
  <si>
    <t>B24432</t>
  </si>
  <si>
    <t>San Pedro, Pagadian City</t>
  </si>
  <si>
    <t>B24495</t>
  </si>
  <si>
    <t>Centro Sur, Culasi, Antique</t>
  </si>
  <si>
    <t>B24506</t>
  </si>
  <si>
    <t>Ubay, Bohol</t>
  </si>
  <si>
    <t>B24518</t>
  </si>
  <si>
    <t>Claveria, Misamis Oriental</t>
  </si>
  <si>
    <t>B24533</t>
  </si>
  <si>
    <t>Lower Ipil Heights, Zamboanga Sibugay</t>
  </si>
  <si>
    <t>B24557</t>
  </si>
  <si>
    <t>B19456</t>
  </si>
  <si>
    <t>Rizal Triangle, Olongapo</t>
  </si>
  <si>
    <t>B19468</t>
  </si>
  <si>
    <t>Rizal Avenue, Olongapo</t>
  </si>
  <si>
    <t>New Cabalan, Olongapo City</t>
  </si>
  <si>
    <t>B25993</t>
  </si>
  <si>
    <t>Kalapati, New Cabalan, Olongapo</t>
  </si>
  <si>
    <t>B24584</t>
  </si>
  <si>
    <t>Carbon Market Interim, Cebu City</t>
  </si>
  <si>
    <t>B24596</t>
  </si>
  <si>
    <t>Freedom Park, Carbon, Cebu</t>
  </si>
  <si>
    <t>B24622</t>
  </si>
  <si>
    <t>Lopez Jaena Sur, Jaro, Iloilo City</t>
  </si>
  <si>
    <t>B24913</t>
  </si>
  <si>
    <t>SM Hypermarket Jaro, Iloilo City</t>
  </si>
  <si>
    <t>B24658</t>
  </si>
  <si>
    <t>Poblacion 2, Hamtic, Antique</t>
  </si>
  <si>
    <t>B24673</t>
  </si>
  <si>
    <t>Project 6, Quezon City</t>
  </si>
  <si>
    <t>B24735</t>
  </si>
  <si>
    <t>Rosario Public Market, Batangas</t>
  </si>
  <si>
    <t>B25372</t>
  </si>
  <si>
    <t>SM Hypermarket Rosario Batangas, Batangas</t>
  </si>
  <si>
    <t>B24747</t>
  </si>
  <si>
    <t>Purok Bombshell, Lapulapu City</t>
  </si>
  <si>
    <t>B24759</t>
  </si>
  <si>
    <t>Lopez Jaena, Lapulapu City</t>
  </si>
  <si>
    <t>B24809</t>
  </si>
  <si>
    <t>Poblacion 5, Balayan, Batangas</t>
  </si>
  <si>
    <t>B24991</t>
  </si>
  <si>
    <t>Sibulan, Negros Oriental</t>
  </si>
  <si>
    <t>B25003</t>
  </si>
  <si>
    <t>Laray, Inayawan, Cebu City</t>
  </si>
  <si>
    <t>B25027</t>
  </si>
  <si>
    <t>Lawaan Banonong, Dapitan City</t>
  </si>
  <si>
    <t>B25651</t>
  </si>
  <si>
    <t>Bagting, Dapitan City</t>
  </si>
  <si>
    <t>B25039</t>
  </si>
  <si>
    <t>Milan Buhangin, Davao City</t>
  </si>
  <si>
    <t>B25042</t>
  </si>
  <si>
    <t>NCCC Mall Buhangin, Davao City</t>
  </si>
  <si>
    <t>B25318</t>
  </si>
  <si>
    <t>NCCC Mall Bajada, Davao City</t>
  </si>
  <si>
    <t>B26234</t>
  </si>
  <si>
    <t>NCCC Mall R. Magsaysay, Davao City</t>
  </si>
  <si>
    <t>B25054</t>
  </si>
  <si>
    <t>Recodo, Zamboanga City</t>
  </si>
  <si>
    <t>B25066</t>
  </si>
  <si>
    <t>Pendatun Avenue, Gensan City</t>
  </si>
  <si>
    <t>B25131</t>
  </si>
  <si>
    <t>B24569</t>
  </si>
  <si>
    <t>CLA Town Center Mall, Pagsanjan</t>
  </si>
  <si>
    <t>Poblacion, Pagsanjan</t>
  </si>
  <si>
    <t>B25232</t>
  </si>
  <si>
    <t>Totolan, Dauis, Bohol</t>
  </si>
  <si>
    <t>B25244</t>
  </si>
  <si>
    <t>Legaspi, Roxas City, Capiz</t>
  </si>
  <si>
    <t>B25271</t>
  </si>
  <si>
    <t>Poblacion Ilaya, Passi, Iloilo</t>
  </si>
  <si>
    <t>V10</t>
  </si>
  <si>
    <t>B25283</t>
  </si>
  <si>
    <t>Siayan, Zamboanga Del Norte</t>
  </si>
  <si>
    <t>B25345</t>
  </si>
  <si>
    <t>Laguindingan, Misamis Oriental</t>
  </si>
  <si>
    <t>B25357</t>
  </si>
  <si>
    <t>Balingasag, Misamis Oriental</t>
  </si>
  <si>
    <t>B25396</t>
  </si>
  <si>
    <t>Rosillos, Nasipit, Talamban</t>
  </si>
  <si>
    <t>B26172</t>
  </si>
  <si>
    <t>Sto. Nino Village, Banilad</t>
  </si>
  <si>
    <t>B25419</t>
  </si>
  <si>
    <t>Naga, Zamboanga Sibugay</t>
  </si>
  <si>
    <t>B25508</t>
  </si>
  <si>
    <t>B19138</t>
  </si>
  <si>
    <t>SM Mall of Asia, Pasay City</t>
  </si>
  <si>
    <t>B19141</t>
  </si>
  <si>
    <t>Mapua, Intramuros</t>
  </si>
  <si>
    <t>B19153</t>
  </si>
  <si>
    <t>Adamson University, Manila</t>
  </si>
  <si>
    <t>B19165</t>
  </si>
  <si>
    <t>Letran College, Intramuros</t>
  </si>
  <si>
    <t>B20142</t>
  </si>
  <si>
    <t>Empire Centre Mall, Pasay</t>
  </si>
  <si>
    <t>B24278</t>
  </si>
  <si>
    <t>Halina Hotel, Pasay City</t>
  </si>
  <si>
    <t>Buendia - Taft, Pasay City</t>
  </si>
  <si>
    <t>B25511</t>
  </si>
  <si>
    <t>B22972</t>
  </si>
  <si>
    <t>Harmony Hills, San Jose Del Monte, Bulacan</t>
  </si>
  <si>
    <t>Buenamar, Novaliches</t>
  </si>
  <si>
    <t>B25523</t>
  </si>
  <si>
    <t>B25078</t>
  </si>
  <si>
    <t>Ororama Supercenter Cogon, Cagayan de Oro</t>
  </si>
  <si>
    <t>B25081</t>
  </si>
  <si>
    <t>Ororama Supercenter Carmen, Cagayan de Oro</t>
  </si>
  <si>
    <t>Upper Balulang, Cagayan de Oro</t>
  </si>
  <si>
    <t>B25559</t>
  </si>
  <si>
    <t>Catmon, Cebu</t>
  </si>
  <si>
    <t>B25562</t>
  </si>
  <si>
    <t>Catmondaan, Catmon, Cebu</t>
  </si>
  <si>
    <t>B25636</t>
  </si>
  <si>
    <t>Campo Filipino, Baguio City</t>
  </si>
  <si>
    <t>B25648</t>
  </si>
  <si>
    <t>Poblacion, Santander, Cebu</t>
  </si>
  <si>
    <t>B25663</t>
  </si>
  <si>
    <t>KM 4, Luna, Surigao City</t>
  </si>
  <si>
    <t>B25687</t>
  </si>
  <si>
    <t>C. Tirona, Poblacion, Batangas City</t>
  </si>
  <si>
    <t>B25699</t>
  </si>
  <si>
    <t>Waltermart Batangas, Batangas City</t>
  </si>
  <si>
    <t>B25701</t>
  </si>
  <si>
    <t>Waltermart San Pascual, Batangas</t>
  </si>
  <si>
    <t>B25877</t>
  </si>
  <si>
    <t>Nuciti Central Mall, Batangas</t>
  </si>
  <si>
    <t>B25713</t>
  </si>
  <si>
    <t>Mabalacat, Pampanga</t>
  </si>
  <si>
    <t>B25749</t>
  </si>
  <si>
    <t>Rosary Heights XII, Cotabato City</t>
  </si>
  <si>
    <t>B25814</t>
  </si>
  <si>
    <t>Notre Dame, Cotabato City</t>
  </si>
  <si>
    <t>B25752</t>
  </si>
  <si>
    <t>The Cabanas, Malolos, Bulacan</t>
  </si>
  <si>
    <t>B25791</t>
  </si>
  <si>
    <t>Poblacion, Tagoloan, Misamis Oriental</t>
  </si>
  <si>
    <t>B26207</t>
  </si>
  <si>
    <t>Poblacion 1, Villanueva, Misamis Oriental</t>
  </si>
  <si>
    <t>B25892</t>
  </si>
  <si>
    <t>Balagtas, Bulacan</t>
  </si>
  <si>
    <t>B25903</t>
  </si>
  <si>
    <t>Bagontaas, Valencia, Bukidnon</t>
  </si>
  <si>
    <t>B25939</t>
  </si>
  <si>
    <t>Opao, Mandaue City</t>
  </si>
  <si>
    <t>B25942</t>
  </si>
  <si>
    <t>Delpan, Tondo, Manila</t>
  </si>
  <si>
    <t>B26056</t>
  </si>
  <si>
    <t>QQ Mall Quiapo, Manila</t>
  </si>
  <si>
    <t>B25954</t>
  </si>
  <si>
    <t>Panglao, Bohol</t>
  </si>
  <si>
    <t>B25978</t>
  </si>
  <si>
    <t>Marcelo Dablo, Pagadian City</t>
  </si>
  <si>
    <t>B25981</t>
  </si>
  <si>
    <t>Poblacion, Asturias, Cebu</t>
  </si>
  <si>
    <t>B26017</t>
  </si>
  <si>
    <t>Deca Indangan, Davao City</t>
  </si>
  <si>
    <t>B26071</t>
  </si>
  <si>
    <t>Iyam, Lucena City</t>
  </si>
  <si>
    <t>B26095</t>
  </si>
  <si>
    <t>Bogo (Main), Cebu</t>
  </si>
  <si>
    <t>B26106</t>
  </si>
  <si>
    <t>Poblacion Mother, Cotabato City</t>
  </si>
  <si>
    <t>B26133</t>
  </si>
  <si>
    <t>Lucky Homes, Handumanan, Bacolod City</t>
  </si>
  <si>
    <t>B26145</t>
  </si>
  <si>
    <t>Felisa Handumanan, Bacolod City</t>
  </si>
  <si>
    <t xml:space="preserve">                                                     </t>
  </si>
  <si>
    <t>B26157</t>
  </si>
  <si>
    <t>SM Hypermarket Handumanan, Bacolod City</t>
  </si>
  <si>
    <t>B26184</t>
  </si>
  <si>
    <t>Punta, Calamba, Laguna</t>
  </si>
  <si>
    <t>B26219</t>
  </si>
  <si>
    <t>Quiot, Pardo, Cebu City</t>
  </si>
  <si>
    <t>B26222</t>
  </si>
  <si>
    <t>B26273</t>
  </si>
  <si>
    <t>Pres. Quezon, Liloan, Southern Leyte</t>
  </si>
  <si>
    <t>B26285</t>
  </si>
  <si>
    <t>Estaka, Dipolog City</t>
  </si>
  <si>
    <t>B26297</t>
  </si>
  <si>
    <t>Bogo City Centrum, Cebu</t>
  </si>
  <si>
    <t>B26311</t>
  </si>
  <si>
    <t>Sogo Banawe, Quezon City</t>
  </si>
  <si>
    <t>B26323</t>
  </si>
  <si>
    <t>Pitogo, Zamboanga del Sur</t>
  </si>
  <si>
    <t>B26412</t>
  </si>
  <si>
    <t>Mano, San Remigio, Cebu</t>
  </si>
  <si>
    <t>B26424</t>
  </si>
  <si>
    <t>Poblacion, San Remigio, Cebu</t>
  </si>
  <si>
    <t>B26436</t>
  </si>
  <si>
    <t>Pandac, Pavia, Iloilo</t>
  </si>
  <si>
    <t>B26448</t>
  </si>
  <si>
    <t>Deca Homes, Pavia, Iloilo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</si>
</sst>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21" xfId="1" applyFont="1" applyBorder="1"/>
    <xf numFmtId="43" fontId="0" fillId="0" borderId="0" xfId="1" applyFont="1" applyAlignment="1">
      <alignment horizontal="center"/>
    </xf>
    <xf numFmtId="43" fontId="0" fillId="0" borderId="21" xfId="1" applyFon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1" xfId="0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0" fillId="0" borderId="51" xfId="1" applyFont="1" applyBorder="1"/>
    <xf numFmtId="0" fontId="0" fillId="0" borderId="0" xfId="0" applyAlignment="1">
      <alignment horizontal="left" indent="1"/>
    </xf>
    <xf numFmtId="43" fontId="2" fillId="0" borderId="0" xfId="1" applyFont="1"/>
    <xf numFmtId="43" fontId="2" fillId="0" borderId="0" xfId="1" applyFont="1" applyAlignment="1">
      <alignment horizontal="center"/>
    </xf>
    <xf numFmtId="43" fontId="2" fillId="0" borderId="0" xfId="1" applyFont="1" applyAlignment="1">
      <alignment horizontal="center" wrapText="1"/>
    </xf>
    <xf numFmtId="43" fontId="2" fillId="0" borderId="51" xfId="1" applyFont="1" applyBorder="1"/>
    <xf numFmtId="43" fontId="2" fillId="0" borderId="0" xfId="1" applyFont="1" applyBorder="1"/>
    <xf numFmtId="164" fontId="0" fillId="0" borderId="0" xfId="1" applyNumberFormat="1" applyFont="1"/>
    <xf numFmtId="164" fontId="2" fillId="0" borderId="0" xfId="1" applyNumberFormat="1" applyFont="1"/>
    <xf numFmtId="43" fontId="2" fillId="0" borderId="0" xfId="1" applyFont="1" applyBorder="1" applyAlignment="1">
      <alignment horizontal="center"/>
    </xf>
    <xf numFmtId="0" fontId="5" fillId="0" borderId="0" xfId="0" applyFont="1"/>
    <xf numFmtId="164" fontId="2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164" fontId="2" fillId="0" borderId="36" xfId="1" applyNumberFormat="1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43" fontId="2" fillId="0" borderId="36" xfId="1" applyFont="1" applyBorder="1" applyAlignment="1">
      <alignment horizontal="center"/>
    </xf>
    <xf numFmtId="43" fontId="2" fillId="0" borderId="36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43" fontId="2" fillId="2" borderId="51" xfId="1" applyFont="1" applyFill="1" applyBorder="1"/>
    <xf numFmtId="43" fontId="2" fillId="3" borderId="51" xfId="1" applyFont="1" applyFill="1" applyBorder="1"/>
    <xf numFmtId="43" fontId="2" fillId="4" borderId="51" xfId="1" applyFont="1" applyFill="1" applyBorder="1"/>
    <xf numFmtId="43" fontId="2" fillId="5" borderId="51" xfId="1" applyFont="1" applyFill="1" applyBorder="1"/>
    <xf numFmtId="43" fontId="2" fillId="6" borderId="51" xfId="1" applyFont="1" applyFill="1" applyBorder="1"/>
    <xf numFmtId="43" fontId="0" fillId="7" borderId="51" xfId="1" applyFont="1" applyFill="1" applyBorder="1"/>
    <xf numFmtId="43" fontId="2" fillId="7" borderId="51" xfId="1" applyFont="1" applyFill="1" applyBorder="1"/>
    <xf numFmtId="43" fontId="0" fillId="8" borderId="51" xfId="1" applyFont="1" applyFill="1" applyBorder="1"/>
    <xf numFmtId="43" fontId="2" fillId="8" borderId="51" xfId="1" applyFont="1" applyFill="1" applyBorder="1"/>
    <xf numFmtId="43" fontId="0" fillId="5" borderId="0" xfId="1" applyFont="1" applyFill="1"/>
    <xf numFmtId="0" fontId="2" fillId="0" borderId="52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53" xfId="0" applyFont="1" applyBorder="1" applyAlignment="1">
      <alignment horizontal="center" wrapText="1"/>
    </xf>
    <xf numFmtId="0" fontId="2" fillId="0" borderId="54" xfId="0" applyFont="1" applyBorder="1" applyAlignment="1">
      <alignment horizontal="center" wrapText="1"/>
    </xf>
    <xf numFmtId="43" fontId="2" fillId="0" borderId="7" xfId="1" applyFont="1" applyBorder="1" applyAlignment="1">
      <alignment horizontal="center" wrapText="1"/>
    </xf>
    <xf numFmtId="43" fontId="2" fillId="0" borderId="5" xfId="1" applyFont="1" applyBorder="1" applyAlignment="1">
      <alignment horizontal="center" wrapText="1"/>
    </xf>
    <xf numFmtId="43" fontId="3" fillId="0" borderId="32" xfId="1" applyFont="1" applyBorder="1" applyAlignment="1">
      <alignment horizontal="center"/>
    </xf>
    <xf numFmtId="43" fontId="3" fillId="0" borderId="33" xfId="1" applyFont="1" applyBorder="1" applyAlignment="1">
      <alignment horizontal="center"/>
    </xf>
    <xf numFmtId="43" fontId="3" fillId="0" borderId="34" xfId="1" applyFont="1" applyBorder="1" applyAlignment="1">
      <alignment horizontal="center"/>
    </xf>
    <xf numFmtId="43" fontId="2" fillId="0" borderId="35" xfId="1" applyFont="1" applyBorder="1" applyAlignment="1">
      <alignment horizontal="center"/>
    </xf>
    <xf numFmtId="43" fontId="2" fillId="0" borderId="36" xfId="1" applyFont="1" applyBorder="1" applyAlignment="1">
      <alignment horizontal="center"/>
    </xf>
    <xf numFmtId="43" fontId="2" fillId="0" borderId="37" xfId="1" applyFont="1" applyBorder="1" applyAlignment="1">
      <alignment horizontal="center"/>
    </xf>
    <xf numFmtId="43" fontId="2" fillId="0" borderId="36" xfId="1" applyFont="1" applyBorder="1" applyAlignment="1">
      <alignment horizontal="center" wrapText="1"/>
    </xf>
    <xf numFmtId="43" fontId="2" fillId="0" borderId="43" xfId="1" applyFont="1" applyBorder="1" applyAlignment="1">
      <alignment horizontal="center" wrapText="1"/>
    </xf>
    <xf numFmtId="43" fontId="2" fillId="0" borderId="44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43" fontId="2" fillId="0" borderId="45" xfId="1" applyFont="1" applyBorder="1" applyAlignment="1">
      <alignment horizontal="center" wrapText="1"/>
    </xf>
    <xf numFmtId="43" fontId="2" fillId="0" borderId="29" xfId="1" applyFont="1" applyBorder="1" applyAlignment="1">
      <alignment horizontal="center" wrapText="1"/>
    </xf>
    <xf numFmtId="43" fontId="2" fillId="0" borderId="10" xfId="1" applyFont="1" applyBorder="1" applyAlignment="1">
      <alignment horizontal="center" wrapText="1"/>
    </xf>
    <xf numFmtId="43" fontId="2" fillId="0" borderId="11" xfId="1" applyFont="1" applyBorder="1" applyAlignment="1">
      <alignment horizontal="center" wrapText="1"/>
    </xf>
    <xf numFmtId="43" fontId="2" fillId="0" borderId="31" xfId="1" applyFont="1" applyBorder="1" applyAlignment="1">
      <alignment horizontal="center" wrapText="1"/>
    </xf>
    <xf numFmtId="43" fontId="2" fillId="0" borderId="9" xfId="1" applyFont="1" applyBorder="1" applyAlignment="1">
      <alignment horizontal="center" wrapText="1"/>
    </xf>
    <xf numFmtId="43" fontId="2" fillId="0" borderId="6" xfId="1" applyFont="1" applyBorder="1" applyAlignment="1">
      <alignment horizontal="center" wrapText="1"/>
    </xf>
    <xf numFmtId="43" fontId="2" fillId="0" borderId="15" xfId="1" applyFont="1" applyBorder="1" applyAlignment="1">
      <alignment horizontal="center" wrapText="1"/>
    </xf>
    <xf numFmtId="43" fontId="2" fillId="0" borderId="17" xfId="1" applyFont="1" applyBorder="1" applyAlignment="1">
      <alignment horizontal="center" wrapText="1"/>
    </xf>
    <xf numFmtId="43" fontId="2" fillId="0" borderId="27" xfId="1" applyFont="1" applyBorder="1" applyAlignment="1">
      <alignment horizontal="center" wrapText="1"/>
    </xf>
    <xf numFmtId="43" fontId="2" fillId="0" borderId="28" xfId="1" applyFont="1" applyBorder="1" applyAlignment="1">
      <alignment horizontal="center" wrapText="1"/>
    </xf>
    <xf numFmtId="43" fontId="2" fillId="0" borderId="23" xfId="1" applyFont="1" applyBorder="1" applyAlignment="1">
      <alignment horizontal="center" wrapText="1"/>
    </xf>
    <xf numFmtId="43" fontId="2" fillId="0" borderId="20" xfId="1" applyFont="1" applyBorder="1" applyAlignment="1">
      <alignment horizontal="center" wrapText="1"/>
    </xf>
    <xf numFmtId="43" fontId="2" fillId="0" borderId="42" xfId="1" applyFont="1" applyBorder="1" applyAlignment="1">
      <alignment horizontal="center" wrapText="1"/>
    </xf>
    <xf numFmtId="43" fontId="2" fillId="0" borderId="26" xfId="1" applyFont="1" applyBorder="1" applyAlignment="1">
      <alignment horizontal="center" wrapText="1"/>
    </xf>
    <xf numFmtId="43" fontId="3" fillId="0" borderId="48" xfId="1" applyFont="1" applyBorder="1" applyAlignment="1">
      <alignment horizontal="center"/>
    </xf>
    <xf numFmtId="43" fontId="3" fillId="0" borderId="49" xfId="1" applyFont="1" applyBorder="1" applyAlignment="1">
      <alignment horizontal="center"/>
    </xf>
    <xf numFmtId="43" fontId="3" fillId="0" borderId="50" xfId="1" applyFont="1" applyBorder="1" applyAlignment="1">
      <alignment horizontal="center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43" fontId="2" fillId="0" borderId="35" xfId="1" applyFont="1" applyBorder="1" applyAlignment="1">
      <alignment horizontal="center" wrapText="1"/>
    </xf>
    <xf numFmtId="43" fontId="2" fillId="0" borderId="46" xfId="1" applyFont="1" applyBorder="1" applyAlignment="1">
      <alignment horizontal="center" wrapText="1"/>
    </xf>
    <xf numFmtId="43" fontId="2" fillId="0" borderId="47" xfId="1" applyFont="1" applyBorder="1" applyAlignment="1">
      <alignment horizontal="center" wrapText="1"/>
    </xf>
    <xf numFmtId="43" fontId="2" fillId="0" borderId="38" xfId="1" applyFont="1" applyBorder="1" applyAlignment="1">
      <alignment horizontal="center" wrapText="1"/>
    </xf>
    <xf numFmtId="43" fontId="2" fillId="0" borderId="13" xfId="1" applyFont="1" applyBorder="1" applyAlignment="1">
      <alignment horizontal="center" wrapText="1"/>
    </xf>
    <xf numFmtId="43" fontId="2" fillId="0" borderId="14" xfId="1" applyFont="1" applyBorder="1" applyAlignment="1">
      <alignment horizontal="center" wrapText="1"/>
    </xf>
    <xf numFmtId="43" fontId="2" fillId="0" borderId="30" xfId="1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3" fontId="3" fillId="0" borderId="39" xfId="1" applyFont="1" applyBorder="1" applyAlignment="1">
      <alignment horizontal="center"/>
    </xf>
    <xf numFmtId="43" fontId="3" fillId="0" borderId="40" xfId="1" applyFont="1" applyBorder="1" applyAlignment="1">
      <alignment horizontal="center"/>
    </xf>
    <xf numFmtId="43" fontId="3" fillId="0" borderId="41" xfId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2" fillId="0" borderId="29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31" xfId="0" applyNumberFormat="1" applyFont="1" applyBorder="1" applyAlignment="1">
      <alignment horizontal="center" wrapText="1"/>
    </xf>
    <xf numFmtId="14" fontId="2" fillId="0" borderId="9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L666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1" max="1" width="9.109375"/>
    <col min="2" max="2" width="10.6640625" style="1" customWidth="1"/>
    <col min="3" max="3" width="37.44140625" style="9" customWidth="1"/>
    <col min="4" max="5" width="9.109375" style="1"/>
    <col min="6" max="6" width="9.109375" style="10"/>
    <col min="7" max="8" width="9.1093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555416</v>
      </c>
      <c r="K6" s="6">
        <v>221941</v>
      </c>
      <c r="L6" s="6">
        <v>9918.14</v>
      </c>
      <c r="M6" s="6">
        <v>3963.23</v>
      </c>
      <c r="N6" s="7">
        <v>6940.69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23320.71</v>
      </c>
      <c r="U6" s="6">
        <v>20822.059999999998</v>
      </c>
      <c r="V6" s="6">
        <v>416.44</v>
      </c>
      <c r="AI6" s="2">
        <v>555416</v>
      </c>
      <c r="AJ6" s="2">
        <v>221941</v>
      </c>
      <c r="AK6" s="2">
        <v>9918.14</v>
      </c>
      <c r="AL6" s="2">
        <v>3963.23</v>
      </c>
      <c r="AM6" s="5">
        <v>6940.69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23320.71</v>
      </c>
      <c r="AT6" s="12">
        <v>20822.059999999998</v>
      </c>
      <c r="AU6" s="2">
        <v>416.44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130150</v>
      </c>
      <c r="K7" s="6">
        <v>49924</v>
      </c>
      <c r="L7" s="6">
        <v>2324.11</v>
      </c>
      <c r="M7" s="6">
        <v>891.5</v>
      </c>
      <c r="N7" s="7">
        <v>1607.8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5402.22</v>
      </c>
      <c r="U7" s="6">
        <v>4823.41</v>
      </c>
      <c r="V7" s="6">
        <v>96.47</v>
      </c>
      <c r="AI7" s="2">
        <v>130150</v>
      </c>
      <c r="AJ7" s="2">
        <v>49924</v>
      </c>
      <c r="AK7" s="2">
        <v>2324.11</v>
      </c>
      <c r="AL7" s="2">
        <v>891.5</v>
      </c>
      <c r="AM7" s="5">
        <v>1607.8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5402.22</v>
      </c>
      <c r="AT7" s="12">
        <v>4823.41</v>
      </c>
      <c r="AU7" s="2">
        <v>96.47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317200.75</v>
      </c>
      <c r="K8" s="6">
        <v>86592</v>
      </c>
      <c r="L8" s="6">
        <v>5664.3</v>
      </c>
      <c r="M8" s="6">
        <v>1546.29</v>
      </c>
      <c r="N8" s="7">
        <v>3605.29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12113.79</v>
      </c>
      <c r="U8" s="6">
        <v>10815.880000000001</v>
      </c>
      <c r="V8" s="6">
        <v>216.32</v>
      </c>
      <c r="AI8" s="2">
        <v>317200.75</v>
      </c>
      <c r="AJ8" s="2">
        <v>86592</v>
      </c>
      <c r="AK8" s="2">
        <v>5664.3</v>
      </c>
      <c r="AL8" s="2">
        <v>1546.29</v>
      </c>
      <c r="AM8" s="5">
        <v>3605.29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12113.79</v>
      </c>
      <c r="AT8" s="12">
        <v>10815.880000000001</v>
      </c>
      <c r="AU8" s="2">
        <v>216.32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865606</v>
      </c>
      <c r="K9" s="6">
        <v>167742</v>
      </c>
      <c r="L9" s="6">
        <v>15457.25</v>
      </c>
      <c r="M9" s="6">
        <v>2995.39</v>
      </c>
      <c r="N9" s="7">
        <v>9226.32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31000.44</v>
      </c>
      <c r="U9" s="6">
        <v>27678.959999999999</v>
      </c>
      <c r="V9" s="6">
        <v>553.58000000000004</v>
      </c>
      <c r="AI9" s="2">
        <v>865606</v>
      </c>
      <c r="AJ9" s="2">
        <v>167742</v>
      </c>
      <c r="AK9" s="2">
        <v>15457.25</v>
      </c>
      <c r="AL9" s="2">
        <v>2995.39</v>
      </c>
      <c r="AM9" s="5">
        <v>9226.32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31000.44</v>
      </c>
      <c r="AT9" s="12">
        <v>27678.959999999999</v>
      </c>
      <c r="AU9" s="2">
        <v>553.58000000000004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708732</v>
      </c>
      <c r="K10" s="6">
        <v>236450</v>
      </c>
      <c r="L10" s="6">
        <v>12655.93</v>
      </c>
      <c r="M10" s="6">
        <v>4222.32</v>
      </c>
      <c r="N10" s="7">
        <v>8439.1200000000008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28355.45</v>
      </c>
      <c r="U10" s="6">
        <v>25317.370000000003</v>
      </c>
      <c r="V10" s="6">
        <v>506.35</v>
      </c>
      <c r="AI10" s="2">
        <v>708732</v>
      </c>
      <c r="AJ10" s="2">
        <v>236450</v>
      </c>
      <c r="AK10" s="2">
        <v>12655.93</v>
      </c>
      <c r="AL10" s="2">
        <v>4222.32</v>
      </c>
      <c r="AM10" s="5">
        <v>8439.1200000000008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28355.45</v>
      </c>
      <c r="AT10" s="12">
        <v>25317.370000000003</v>
      </c>
      <c r="AU10" s="2">
        <v>506.35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581820</v>
      </c>
      <c r="K11" s="6">
        <v>182153</v>
      </c>
      <c r="L11" s="6">
        <v>10389.64</v>
      </c>
      <c r="M11" s="6">
        <v>3252.73</v>
      </c>
      <c r="N11" s="7">
        <v>6821.19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22919.19</v>
      </c>
      <c r="U11" s="6">
        <v>20463.559999999998</v>
      </c>
      <c r="V11" s="6">
        <v>409.27</v>
      </c>
      <c r="AI11" s="2">
        <v>581820</v>
      </c>
      <c r="AJ11" s="2">
        <v>182153</v>
      </c>
      <c r="AK11" s="2">
        <v>10389.64</v>
      </c>
      <c r="AL11" s="2">
        <v>3252.73</v>
      </c>
      <c r="AM11" s="5">
        <v>6821.19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22919.19</v>
      </c>
      <c r="AT11" s="12">
        <v>20463.559999999998</v>
      </c>
      <c r="AU11" s="2">
        <v>409.27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18857</v>
      </c>
      <c r="K12" s="6">
        <v>14304</v>
      </c>
      <c r="L12" s="6">
        <v>336.73</v>
      </c>
      <c r="M12" s="6">
        <v>255.43</v>
      </c>
      <c r="N12" s="7">
        <v>296.08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994.83</v>
      </c>
      <c r="U12" s="6">
        <v>888.24</v>
      </c>
      <c r="V12" s="6">
        <v>17.760000000000002</v>
      </c>
      <c r="AI12" s="2">
        <v>18857</v>
      </c>
      <c r="AJ12" s="2">
        <v>14304</v>
      </c>
      <c r="AK12" s="2">
        <v>336.73</v>
      </c>
      <c r="AL12" s="2">
        <v>255.43</v>
      </c>
      <c r="AM12" s="5">
        <v>296.08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994.83</v>
      </c>
      <c r="AT12" s="12">
        <v>888.24</v>
      </c>
      <c r="AU12" s="2">
        <v>17.760000000000002</v>
      </c>
      <c r="BL12" s="1" t="s">
        <v>90</v>
      </c>
    </row>
    <row r="13" spans="1:64" x14ac:dyDescent="0.3">
      <c r="A13" t="s">
        <v>158</v>
      </c>
      <c r="B13" s="1" t="s">
        <v>158</v>
      </c>
      <c r="C13" s="9" t="s">
        <v>159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335520.5</v>
      </c>
      <c r="K13" s="6">
        <v>99974</v>
      </c>
      <c r="L13" s="6">
        <v>5991.44</v>
      </c>
      <c r="M13" s="6">
        <v>1785.25</v>
      </c>
      <c r="N13" s="7">
        <v>3888.34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13064.83</v>
      </c>
      <c r="U13" s="6">
        <v>11665.029999999999</v>
      </c>
      <c r="V13" s="6">
        <v>233.3</v>
      </c>
      <c r="AI13" s="2">
        <v>335520.5</v>
      </c>
      <c r="AJ13" s="2">
        <v>99974</v>
      </c>
      <c r="AK13" s="2">
        <v>5991.44</v>
      </c>
      <c r="AL13" s="2">
        <v>1785.25</v>
      </c>
      <c r="AM13" s="5">
        <v>3888.34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13064.83</v>
      </c>
      <c r="AT13" s="12">
        <v>11665.029999999999</v>
      </c>
      <c r="AU13" s="2">
        <v>233.3</v>
      </c>
      <c r="BL13" s="1" t="s">
        <v>90</v>
      </c>
    </row>
    <row r="14" spans="1:64" x14ac:dyDescent="0.3">
      <c r="A14" t="s">
        <v>158</v>
      </c>
      <c r="B14" s="1" t="s">
        <v>160</v>
      </c>
      <c r="C14" s="9" t="s">
        <v>161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227607</v>
      </c>
      <c r="K14" s="6">
        <v>83923</v>
      </c>
      <c r="L14" s="6">
        <v>4064.41</v>
      </c>
      <c r="M14" s="6">
        <v>1498.62</v>
      </c>
      <c r="N14" s="7">
        <v>2781.52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9345.9</v>
      </c>
      <c r="U14" s="6">
        <v>8344.5499999999993</v>
      </c>
      <c r="V14" s="6">
        <v>166.89</v>
      </c>
      <c r="AI14" s="2">
        <v>227607</v>
      </c>
      <c r="AJ14" s="2">
        <v>83923</v>
      </c>
      <c r="AK14" s="2">
        <v>4064.41</v>
      </c>
      <c r="AL14" s="2">
        <v>1498.62</v>
      </c>
      <c r="AM14" s="5">
        <v>2781.52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9345.9</v>
      </c>
      <c r="AT14" s="12">
        <v>8344.5499999999993</v>
      </c>
      <c r="AU14" s="2">
        <v>166.89</v>
      </c>
      <c r="BL14" s="1" t="s">
        <v>90</v>
      </c>
    </row>
    <row r="15" spans="1:64" x14ac:dyDescent="0.3">
      <c r="A15" t="s">
        <v>158</v>
      </c>
      <c r="B15" s="1" t="s">
        <v>162</v>
      </c>
      <c r="C15" s="9" t="s">
        <v>163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79040</v>
      </c>
      <c r="K15" s="6">
        <v>44097</v>
      </c>
      <c r="L15" s="6">
        <v>1411.43</v>
      </c>
      <c r="M15" s="6">
        <v>787.45</v>
      </c>
      <c r="N15" s="7">
        <v>1099.44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3694.12</v>
      </c>
      <c r="U15" s="6">
        <v>3298.32</v>
      </c>
      <c r="V15" s="6">
        <v>65.97</v>
      </c>
      <c r="AI15" s="2">
        <v>79040</v>
      </c>
      <c r="AJ15" s="2">
        <v>44097</v>
      </c>
      <c r="AK15" s="2">
        <v>1411.43</v>
      </c>
      <c r="AL15" s="2">
        <v>787.45</v>
      </c>
      <c r="AM15" s="5">
        <v>1099.44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3694.12</v>
      </c>
      <c r="AT15" s="12">
        <v>3298.32</v>
      </c>
      <c r="AU15" s="2">
        <v>65.97</v>
      </c>
      <c r="BL15" s="1" t="s">
        <v>90</v>
      </c>
    </row>
    <row r="16" spans="1:64" x14ac:dyDescent="0.3">
      <c r="A16" t="s">
        <v>219</v>
      </c>
      <c r="B16" s="1" t="s">
        <v>219</v>
      </c>
      <c r="C16" s="9" t="s">
        <v>220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AI16" s="2">
        <v>0</v>
      </c>
      <c r="AJ16" s="2">
        <v>0</v>
      </c>
      <c r="AK16" s="2">
        <v>0</v>
      </c>
      <c r="AL16" s="2">
        <v>0</v>
      </c>
      <c r="AM16" s="5">
        <v>0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0</v>
      </c>
      <c r="AT16" s="12">
        <v>0</v>
      </c>
      <c r="AU16" s="2">
        <v>0</v>
      </c>
      <c r="BL16" s="1" t="s">
        <v>90</v>
      </c>
    </row>
    <row r="17" spans="1:64" x14ac:dyDescent="0.3">
      <c r="A17" t="s">
        <v>219</v>
      </c>
      <c r="B17" s="1" t="s">
        <v>221</v>
      </c>
      <c r="C17" s="9" t="s">
        <v>222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47085</v>
      </c>
      <c r="K17" s="6">
        <v>14951</v>
      </c>
      <c r="L17" s="6">
        <v>840.8</v>
      </c>
      <c r="M17" s="6">
        <v>266.98</v>
      </c>
      <c r="N17" s="7">
        <v>553.89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1861.07</v>
      </c>
      <c r="U17" s="6">
        <v>1661.67</v>
      </c>
      <c r="V17" s="6">
        <v>33.229999999999997</v>
      </c>
      <c r="AI17" s="2">
        <v>47085</v>
      </c>
      <c r="AJ17" s="2">
        <v>14951</v>
      </c>
      <c r="AK17" s="2">
        <v>840.8</v>
      </c>
      <c r="AL17" s="2">
        <v>266.98</v>
      </c>
      <c r="AM17" s="5">
        <v>553.89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1861.07</v>
      </c>
      <c r="AT17" s="12">
        <v>1661.67</v>
      </c>
      <c r="AU17" s="2">
        <v>33.229999999999997</v>
      </c>
      <c r="BL17" s="1" t="s">
        <v>90</v>
      </c>
    </row>
    <row r="18" spans="1:64" x14ac:dyDescent="0.3">
      <c r="A18" t="s">
        <v>223</v>
      </c>
      <c r="B18" s="1" t="s">
        <v>223</v>
      </c>
      <c r="C18" s="9" t="s">
        <v>224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769938.14000000013</v>
      </c>
      <c r="K18" s="6">
        <v>109256.11</v>
      </c>
      <c r="L18" s="6">
        <v>13748.89</v>
      </c>
      <c r="M18" s="6">
        <v>1951</v>
      </c>
      <c r="N18" s="7">
        <v>7849.95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26375.82</v>
      </c>
      <c r="U18" s="6">
        <v>23549.84</v>
      </c>
      <c r="V18" s="6">
        <v>471</v>
      </c>
      <c r="AI18" s="2">
        <v>769938.14000000013</v>
      </c>
      <c r="AJ18" s="2">
        <v>109256.11</v>
      </c>
      <c r="AK18" s="2">
        <v>13748.89</v>
      </c>
      <c r="AL18" s="2">
        <v>1951</v>
      </c>
      <c r="AM18" s="5">
        <v>7849.95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26375.82</v>
      </c>
      <c r="AT18" s="12">
        <v>23549.84</v>
      </c>
      <c r="AU18" s="2">
        <v>471</v>
      </c>
      <c r="BL18" s="1" t="s">
        <v>90</v>
      </c>
    </row>
    <row r="19" spans="1:64" x14ac:dyDescent="0.3">
      <c r="A19" t="s">
        <v>223</v>
      </c>
      <c r="B19" s="1" t="s">
        <v>225</v>
      </c>
      <c r="C19" s="9" t="s">
        <v>226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467945.4</v>
      </c>
      <c r="K19" s="6">
        <v>134865</v>
      </c>
      <c r="L19" s="6">
        <v>8356.17</v>
      </c>
      <c r="M19" s="6">
        <v>2408.3000000000002</v>
      </c>
      <c r="N19" s="7">
        <v>5382.23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18084.3</v>
      </c>
      <c r="U19" s="6">
        <v>16146.7</v>
      </c>
      <c r="V19" s="6">
        <v>322.93</v>
      </c>
      <c r="AI19" s="2">
        <v>467945.4</v>
      </c>
      <c r="AJ19" s="2">
        <v>134865</v>
      </c>
      <c r="AK19" s="2">
        <v>8356.17</v>
      </c>
      <c r="AL19" s="2">
        <v>2408.3000000000002</v>
      </c>
      <c r="AM19" s="5">
        <v>5382.23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18084.3</v>
      </c>
      <c r="AT19" s="12">
        <v>16146.7</v>
      </c>
      <c r="AU19" s="2">
        <v>322.93</v>
      </c>
      <c r="BL19" s="1" t="s">
        <v>90</v>
      </c>
    </row>
    <row r="20" spans="1:64" x14ac:dyDescent="0.3">
      <c r="A20" t="s">
        <v>223</v>
      </c>
      <c r="B20" s="1" t="s">
        <v>227</v>
      </c>
      <c r="C20" s="9" t="s">
        <v>228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BL20" s="1" t="s">
        <v>90</v>
      </c>
    </row>
    <row r="21" spans="1:64" x14ac:dyDescent="0.3">
      <c r="A21" t="s">
        <v>239</v>
      </c>
      <c r="B21" s="1" t="s">
        <v>239</v>
      </c>
      <c r="C21" s="9" t="s">
        <v>240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409979.8</v>
      </c>
      <c r="K21" s="6">
        <v>209281</v>
      </c>
      <c r="L21" s="6">
        <v>7321.07</v>
      </c>
      <c r="M21" s="6">
        <v>3737.16</v>
      </c>
      <c r="N21" s="7">
        <v>5529.12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18577.830000000002</v>
      </c>
      <c r="U21" s="6">
        <v>16587.349999999999</v>
      </c>
      <c r="V21" s="6">
        <v>331.75</v>
      </c>
      <c r="AI21" s="2">
        <v>409979.8</v>
      </c>
      <c r="AJ21" s="2">
        <v>209281</v>
      </c>
      <c r="AK21" s="2">
        <v>7321.07</v>
      </c>
      <c r="AL21" s="2">
        <v>3737.16</v>
      </c>
      <c r="AM21" s="5">
        <v>5529.12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18577.830000000002</v>
      </c>
      <c r="AT21" s="12">
        <v>16587.349999999999</v>
      </c>
      <c r="AU21" s="2">
        <v>331.75</v>
      </c>
      <c r="BL21" s="1" t="s">
        <v>90</v>
      </c>
    </row>
    <row r="22" spans="1:64" x14ac:dyDescent="0.3">
      <c r="A22" t="s">
        <v>239</v>
      </c>
      <c r="B22" s="1" t="s">
        <v>241</v>
      </c>
      <c r="C22" s="9" t="s">
        <v>242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57434</v>
      </c>
      <c r="K22" s="6">
        <v>37311</v>
      </c>
      <c r="L22" s="6">
        <v>1025.6099999999999</v>
      </c>
      <c r="M22" s="6">
        <v>666.27</v>
      </c>
      <c r="N22" s="7">
        <v>845.94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2842.36</v>
      </c>
      <c r="U22" s="6">
        <v>2537.8199999999997</v>
      </c>
      <c r="V22" s="6">
        <v>50.76</v>
      </c>
      <c r="AI22" s="2">
        <v>57434</v>
      </c>
      <c r="AJ22" s="2">
        <v>37311</v>
      </c>
      <c r="AK22" s="2">
        <v>1025.6099999999999</v>
      </c>
      <c r="AL22" s="2">
        <v>666.27</v>
      </c>
      <c r="AM22" s="5">
        <v>845.94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2842.36</v>
      </c>
      <c r="AT22" s="12">
        <v>2537.8199999999997</v>
      </c>
      <c r="AU22" s="2">
        <v>50.76</v>
      </c>
      <c r="BL22" s="1" t="s">
        <v>90</v>
      </c>
    </row>
    <row r="23" spans="1:64" x14ac:dyDescent="0.3">
      <c r="A23" t="s">
        <v>239</v>
      </c>
      <c r="B23" s="1" t="s">
        <v>243</v>
      </c>
      <c r="C23" s="9" t="s">
        <v>244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191748</v>
      </c>
      <c r="K23" s="6">
        <v>80619</v>
      </c>
      <c r="L23" s="6">
        <v>3424.07</v>
      </c>
      <c r="M23" s="6">
        <v>1439.62</v>
      </c>
      <c r="N23" s="7">
        <v>2431.85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8171</v>
      </c>
      <c r="U23" s="6">
        <v>7295.5400000000009</v>
      </c>
      <c r="V23" s="6">
        <v>145.91</v>
      </c>
      <c r="AI23" s="2">
        <v>191748</v>
      </c>
      <c r="AJ23" s="2">
        <v>80619</v>
      </c>
      <c r="AK23" s="2">
        <v>3424.07</v>
      </c>
      <c r="AL23" s="2">
        <v>1439.62</v>
      </c>
      <c r="AM23" s="5">
        <v>2431.85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8171</v>
      </c>
      <c r="AT23" s="12">
        <v>7295.5400000000009</v>
      </c>
      <c r="AU23" s="2">
        <v>145.91</v>
      </c>
      <c r="BL23" s="1" t="s">
        <v>90</v>
      </c>
    </row>
    <row r="24" spans="1:64" x14ac:dyDescent="0.3">
      <c r="A24" t="s">
        <v>239</v>
      </c>
      <c r="B24" s="1" t="s">
        <v>245</v>
      </c>
      <c r="C24" s="9" t="s">
        <v>246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97179</v>
      </c>
      <c r="K24" s="6">
        <v>60359</v>
      </c>
      <c r="L24" s="6">
        <v>1735.34</v>
      </c>
      <c r="M24" s="6">
        <v>1077.8399999999999</v>
      </c>
      <c r="N24" s="7">
        <v>1406.59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4726.1400000000003</v>
      </c>
      <c r="U24" s="6">
        <v>4219.7699999999995</v>
      </c>
      <c r="V24" s="6">
        <v>84.4</v>
      </c>
      <c r="AI24" s="2">
        <v>97179</v>
      </c>
      <c r="AJ24" s="2">
        <v>60359</v>
      </c>
      <c r="AK24" s="2">
        <v>1735.34</v>
      </c>
      <c r="AL24" s="2">
        <v>1077.8399999999999</v>
      </c>
      <c r="AM24" s="5">
        <v>1406.59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4726.1400000000003</v>
      </c>
      <c r="AT24" s="12">
        <v>4219.7699999999995</v>
      </c>
      <c r="AU24" s="2">
        <v>84.4</v>
      </c>
      <c r="BL24" s="1" t="s">
        <v>90</v>
      </c>
    </row>
    <row r="25" spans="1:64" x14ac:dyDescent="0.3">
      <c r="A25" t="s">
        <v>261</v>
      </c>
      <c r="B25" s="1" t="s">
        <v>261</v>
      </c>
      <c r="C25" s="9" t="s">
        <v>262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355634</v>
      </c>
      <c r="K25" s="6">
        <v>133563</v>
      </c>
      <c r="L25" s="6">
        <v>6350.61</v>
      </c>
      <c r="M25" s="6">
        <v>2385.0500000000002</v>
      </c>
      <c r="N25" s="7">
        <v>4367.83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14675.91</v>
      </c>
      <c r="U25" s="6">
        <v>13103.49</v>
      </c>
      <c r="V25" s="6">
        <v>262.07</v>
      </c>
      <c r="AI25" s="2">
        <v>355634</v>
      </c>
      <c r="AJ25" s="2">
        <v>133563</v>
      </c>
      <c r="AK25" s="2">
        <v>6350.61</v>
      </c>
      <c r="AL25" s="2">
        <v>2385.0500000000002</v>
      </c>
      <c r="AM25" s="5">
        <v>4367.83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14675.91</v>
      </c>
      <c r="AT25" s="12">
        <v>13103.49</v>
      </c>
      <c r="AU25" s="2">
        <v>262.07</v>
      </c>
      <c r="BL25" s="1" t="s">
        <v>90</v>
      </c>
    </row>
    <row r="26" spans="1:64" x14ac:dyDescent="0.3">
      <c r="A26" t="s">
        <v>261</v>
      </c>
      <c r="B26" s="1" t="s">
        <v>263</v>
      </c>
      <c r="C26" s="9" t="s">
        <v>264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126476</v>
      </c>
      <c r="K26" s="6">
        <v>12685</v>
      </c>
      <c r="L26" s="6">
        <v>2258.5</v>
      </c>
      <c r="M26" s="6">
        <v>226.52</v>
      </c>
      <c r="N26" s="7">
        <v>1242.51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4174.83</v>
      </c>
      <c r="U26" s="6">
        <v>3727.5299999999997</v>
      </c>
      <c r="V26" s="6">
        <v>74.55</v>
      </c>
      <c r="AI26" s="2">
        <v>126476</v>
      </c>
      <c r="AJ26" s="2">
        <v>12685</v>
      </c>
      <c r="AK26" s="2">
        <v>2258.5</v>
      </c>
      <c r="AL26" s="2">
        <v>226.52</v>
      </c>
      <c r="AM26" s="5">
        <v>1242.51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4174.83</v>
      </c>
      <c r="AT26" s="12">
        <v>3727.5299999999997</v>
      </c>
      <c r="AU26" s="2">
        <v>74.55</v>
      </c>
      <c r="BL26" s="1" t="s">
        <v>90</v>
      </c>
    </row>
    <row r="27" spans="1:64" x14ac:dyDescent="0.3">
      <c r="A27" t="s">
        <v>274</v>
      </c>
      <c r="B27" s="1" t="s">
        <v>274</v>
      </c>
      <c r="C27" s="9" t="s">
        <v>275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551808.29</v>
      </c>
      <c r="K27" s="6">
        <v>251626.75</v>
      </c>
      <c r="L27" s="6">
        <v>9853.7199999999993</v>
      </c>
      <c r="M27" s="6">
        <v>4493.34</v>
      </c>
      <c r="N27" s="7">
        <v>7173.53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24103.06</v>
      </c>
      <c r="U27" s="6">
        <v>21520.59</v>
      </c>
      <c r="V27" s="6">
        <v>430.41</v>
      </c>
      <c r="AI27" s="2">
        <v>551808.29</v>
      </c>
      <c r="AJ27" s="2">
        <v>251626.75</v>
      </c>
      <c r="AK27" s="2">
        <v>9853.7199999999993</v>
      </c>
      <c r="AL27" s="2">
        <v>4493.34</v>
      </c>
      <c r="AM27" s="5">
        <v>7173.53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24103.06</v>
      </c>
      <c r="AT27" s="12">
        <v>21520.59</v>
      </c>
      <c r="AU27" s="2">
        <v>430.41</v>
      </c>
      <c r="BL27" s="1" t="s">
        <v>90</v>
      </c>
    </row>
    <row r="28" spans="1:64" x14ac:dyDescent="0.3">
      <c r="A28" t="s">
        <v>274</v>
      </c>
      <c r="B28" s="1" t="s">
        <v>276</v>
      </c>
      <c r="C28" s="9" t="s">
        <v>277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52987</v>
      </c>
      <c r="K28" s="6">
        <v>12313</v>
      </c>
      <c r="L28" s="6">
        <v>2365.4899999999998</v>
      </c>
      <c r="M28" s="6">
        <v>549.69000000000005</v>
      </c>
      <c r="N28" s="7">
        <v>583.04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3918.01</v>
      </c>
      <c r="U28" s="6">
        <v>3498.22</v>
      </c>
      <c r="V28" s="6">
        <v>69.959999999999994</v>
      </c>
      <c r="AI28" s="2">
        <v>52987</v>
      </c>
      <c r="AJ28" s="2">
        <v>12313</v>
      </c>
      <c r="AK28" s="2">
        <v>2365.4899999999998</v>
      </c>
      <c r="AL28" s="2">
        <v>549.69000000000005</v>
      </c>
      <c r="AM28" s="5">
        <v>583.04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3918.01</v>
      </c>
      <c r="AT28" s="12">
        <v>3498.22</v>
      </c>
      <c r="AU28" s="2">
        <v>69.959999999999994</v>
      </c>
      <c r="BL28" s="1" t="s">
        <v>90</v>
      </c>
    </row>
    <row r="29" spans="1:64" x14ac:dyDescent="0.3">
      <c r="A29" t="s">
        <v>292</v>
      </c>
      <c r="B29" s="1" t="s">
        <v>292</v>
      </c>
      <c r="C29" s="9" t="s">
        <v>293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419651.88</v>
      </c>
      <c r="K29" s="6">
        <v>103796.87</v>
      </c>
      <c r="L29" s="6">
        <v>7493.79</v>
      </c>
      <c r="M29" s="6">
        <v>1853.52</v>
      </c>
      <c r="N29" s="7">
        <v>4673.6499999999996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15703.48</v>
      </c>
      <c r="U29" s="6">
        <v>14020.96</v>
      </c>
      <c r="V29" s="6">
        <v>280.42</v>
      </c>
      <c r="AI29" s="2">
        <v>419651.88</v>
      </c>
      <c r="AJ29" s="2">
        <v>103796.87</v>
      </c>
      <c r="AK29" s="2">
        <v>7493.79</v>
      </c>
      <c r="AL29" s="2">
        <v>1853.52</v>
      </c>
      <c r="AM29" s="5">
        <v>4673.6499999999996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15703.48</v>
      </c>
      <c r="AT29" s="12">
        <v>14020.96</v>
      </c>
      <c r="AU29" s="2">
        <v>280.42</v>
      </c>
      <c r="BL29" s="1" t="s">
        <v>90</v>
      </c>
    </row>
    <row r="30" spans="1:64" x14ac:dyDescent="0.3">
      <c r="A30" t="s">
        <v>292</v>
      </c>
      <c r="B30" s="1" t="s">
        <v>294</v>
      </c>
      <c r="C30" s="9" t="s">
        <v>295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569256</v>
      </c>
      <c r="K30" s="6">
        <v>215597</v>
      </c>
      <c r="L30" s="6">
        <v>10165.290000000001</v>
      </c>
      <c r="M30" s="6">
        <v>3849.95</v>
      </c>
      <c r="N30" s="7">
        <v>7007.62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23545.599999999999</v>
      </c>
      <c r="U30" s="6">
        <v>21022.86</v>
      </c>
      <c r="V30" s="6">
        <v>420.46</v>
      </c>
      <c r="AI30" s="2">
        <v>569256</v>
      </c>
      <c r="AJ30" s="2">
        <v>215597</v>
      </c>
      <c r="AK30" s="2">
        <v>10165.290000000001</v>
      </c>
      <c r="AL30" s="2">
        <v>3849.95</v>
      </c>
      <c r="AM30" s="5">
        <v>7007.62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23545.599999999999</v>
      </c>
      <c r="AT30" s="12">
        <v>21022.86</v>
      </c>
      <c r="AU30" s="2">
        <v>420.46</v>
      </c>
      <c r="BL30" s="1" t="s">
        <v>90</v>
      </c>
    </row>
    <row r="31" spans="1:64" x14ac:dyDescent="0.3">
      <c r="A31" t="s">
        <v>292</v>
      </c>
      <c r="B31" s="1" t="s">
        <v>296</v>
      </c>
      <c r="C31" s="9" t="s">
        <v>297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115093</v>
      </c>
      <c r="K31" s="6">
        <v>46152</v>
      </c>
      <c r="L31" s="6">
        <v>2055.23</v>
      </c>
      <c r="M31" s="6">
        <v>824.14</v>
      </c>
      <c r="N31" s="7">
        <v>1439.69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4837.3500000000004</v>
      </c>
      <c r="U31" s="6">
        <v>4319.0599999999995</v>
      </c>
      <c r="V31" s="6">
        <v>86.38</v>
      </c>
      <c r="AI31" s="2">
        <v>115093</v>
      </c>
      <c r="AJ31" s="2">
        <v>46152</v>
      </c>
      <c r="AK31" s="2">
        <v>2055.23</v>
      </c>
      <c r="AL31" s="2">
        <v>824.14</v>
      </c>
      <c r="AM31" s="5">
        <v>1439.69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4837.3500000000004</v>
      </c>
      <c r="AT31" s="12">
        <v>4319.0599999999995</v>
      </c>
      <c r="AU31" s="2">
        <v>86.38</v>
      </c>
      <c r="BL31" s="1" t="s">
        <v>90</v>
      </c>
    </row>
    <row r="32" spans="1:64" x14ac:dyDescent="0.3">
      <c r="A32" t="s">
        <v>395</v>
      </c>
      <c r="B32" s="1" t="s">
        <v>395</v>
      </c>
      <c r="C32" s="9" t="s">
        <v>396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845637.39999999991</v>
      </c>
      <c r="K32" s="6">
        <v>281719</v>
      </c>
      <c r="L32" s="6">
        <v>15100.67</v>
      </c>
      <c r="M32" s="6">
        <v>5030.7</v>
      </c>
      <c r="N32" s="7">
        <v>10065.68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33820.699999999997</v>
      </c>
      <c r="U32" s="6">
        <v>30197.05</v>
      </c>
      <c r="V32" s="6">
        <v>603.94000000000005</v>
      </c>
      <c r="AI32" s="2">
        <v>845637.39999999991</v>
      </c>
      <c r="AJ32" s="2">
        <v>281719</v>
      </c>
      <c r="AK32" s="2">
        <v>15100.67</v>
      </c>
      <c r="AL32" s="2">
        <v>5030.7</v>
      </c>
      <c r="AM32" s="5">
        <v>10065.68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33820.699999999997</v>
      </c>
      <c r="AT32" s="12">
        <v>30197.05</v>
      </c>
      <c r="AU32" s="2">
        <v>603.94000000000005</v>
      </c>
      <c r="BL32" s="1" t="s">
        <v>90</v>
      </c>
    </row>
    <row r="33" spans="1:64" x14ac:dyDescent="0.3">
      <c r="A33" t="s">
        <v>395</v>
      </c>
      <c r="B33" s="1" t="s">
        <v>397</v>
      </c>
      <c r="C33" s="9" t="s">
        <v>398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201224</v>
      </c>
      <c r="K33" s="6">
        <v>23766</v>
      </c>
      <c r="L33" s="6">
        <v>3593.29</v>
      </c>
      <c r="M33" s="6">
        <v>424.39</v>
      </c>
      <c r="N33" s="7">
        <v>2008.84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6749.7</v>
      </c>
      <c r="U33" s="6">
        <v>6026.5199999999995</v>
      </c>
      <c r="V33" s="6">
        <v>120.53</v>
      </c>
      <c r="AI33" s="2">
        <v>201224</v>
      </c>
      <c r="AJ33" s="2">
        <v>23766</v>
      </c>
      <c r="AK33" s="2">
        <v>3593.29</v>
      </c>
      <c r="AL33" s="2">
        <v>424.39</v>
      </c>
      <c r="AM33" s="5">
        <v>2008.84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6749.7</v>
      </c>
      <c r="AT33" s="12">
        <v>6026.5199999999995</v>
      </c>
      <c r="AU33" s="2">
        <v>120.53</v>
      </c>
      <c r="BL33" s="1" t="s">
        <v>90</v>
      </c>
    </row>
    <row r="34" spans="1:64" x14ac:dyDescent="0.3">
      <c r="A34" t="s">
        <v>494</v>
      </c>
      <c r="B34" s="1" t="s">
        <v>494</v>
      </c>
      <c r="C34" s="9" t="s">
        <v>495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1093821.45</v>
      </c>
      <c r="K34" s="6">
        <v>394074.55</v>
      </c>
      <c r="L34" s="6">
        <v>19532.53</v>
      </c>
      <c r="M34" s="6">
        <v>7037.04</v>
      </c>
      <c r="N34" s="7">
        <v>13284.79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44636.88</v>
      </c>
      <c r="U34" s="6">
        <v>39854.36</v>
      </c>
      <c r="V34" s="6">
        <v>797.09</v>
      </c>
      <c r="AI34" s="2">
        <v>1093821.45</v>
      </c>
      <c r="AJ34" s="2">
        <v>394074.55</v>
      </c>
      <c r="AK34" s="2">
        <v>19532.53</v>
      </c>
      <c r="AL34" s="2">
        <v>7037.04</v>
      </c>
      <c r="AM34" s="5">
        <v>13284.79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44636.88</v>
      </c>
      <c r="AT34" s="12">
        <v>39854.36</v>
      </c>
      <c r="AU34" s="2">
        <v>797.09</v>
      </c>
      <c r="BL34" s="1" t="s">
        <v>90</v>
      </c>
    </row>
    <row r="35" spans="1:64" x14ac:dyDescent="0.3">
      <c r="A35" t="s">
        <v>494</v>
      </c>
      <c r="B35" s="1" t="s">
        <v>496</v>
      </c>
      <c r="C35" s="9" t="s">
        <v>497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80054</v>
      </c>
      <c r="K35" s="6">
        <v>66914</v>
      </c>
      <c r="L35" s="6">
        <v>1429.54</v>
      </c>
      <c r="M35" s="6">
        <v>1194.8900000000001</v>
      </c>
      <c r="N35" s="7">
        <v>1312.21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4409.04</v>
      </c>
      <c r="U35" s="6">
        <v>3936.6400000000003</v>
      </c>
      <c r="V35" s="6">
        <v>78.73</v>
      </c>
      <c r="AI35" s="2">
        <v>80054</v>
      </c>
      <c r="AJ35" s="2">
        <v>66914</v>
      </c>
      <c r="AK35" s="2">
        <v>1429.54</v>
      </c>
      <c r="AL35" s="2">
        <v>1194.8900000000001</v>
      </c>
      <c r="AM35" s="5">
        <v>1312.21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4409.04</v>
      </c>
      <c r="AT35" s="12">
        <v>3936.6400000000003</v>
      </c>
      <c r="AU35" s="2">
        <v>78.73</v>
      </c>
      <c r="BL35" s="1" t="s">
        <v>90</v>
      </c>
    </row>
    <row r="36" spans="1:64" x14ac:dyDescent="0.3">
      <c r="A36" t="s">
        <v>642</v>
      </c>
      <c r="B36" s="1" t="s">
        <v>642</v>
      </c>
      <c r="C36" s="9" t="s">
        <v>643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364154.75</v>
      </c>
      <c r="K36" s="6">
        <v>70148</v>
      </c>
      <c r="L36" s="6">
        <v>6502.77</v>
      </c>
      <c r="M36" s="6">
        <v>1252.6400000000001</v>
      </c>
      <c r="N36" s="7">
        <v>3877.71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13029.09</v>
      </c>
      <c r="U36" s="6">
        <v>11633.12</v>
      </c>
      <c r="V36" s="6">
        <v>232.66</v>
      </c>
      <c r="AI36" s="2">
        <v>364154.75</v>
      </c>
      <c r="AJ36" s="2">
        <v>70148</v>
      </c>
      <c r="AK36" s="2">
        <v>6502.77</v>
      </c>
      <c r="AL36" s="2">
        <v>1252.6400000000001</v>
      </c>
      <c r="AM36" s="5">
        <v>3877.71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13029.09</v>
      </c>
      <c r="AT36" s="12">
        <v>11633.12</v>
      </c>
      <c r="AU36" s="2">
        <v>232.66</v>
      </c>
      <c r="BL36" s="1" t="s">
        <v>90</v>
      </c>
    </row>
    <row r="37" spans="1:64" x14ac:dyDescent="0.3">
      <c r="A37" t="s">
        <v>744</v>
      </c>
      <c r="B37" s="1" t="s">
        <v>744</v>
      </c>
      <c r="C37" s="9" t="s">
        <v>745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804436.29</v>
      </c>
      <c r="K37" s="6">
        <v>171947</v>
      </c>
      <c r="L37" s="6">
        <v>14364.94</v>
      </c>
      <c r="M37" s="6">
        <v>3070.48</v>
      </c>
      <c r="N37" s="7">
        <v>8717.7099999999991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29291.51</v>
      </c>
      <c r="U37" s="6">
        <v>26153.13</v>
      </c>
      <c r="V37" s="6">
        <v>523.05999999999995</v>
      </c>
      <c r="AI37" s="2">
        <v>804436.29</v>
      </c>
      <c r="AJ37" s="2">
        <v>171947</v>
      </c>
      <c r="AK37" s="2">
        <v>14364.94</v>
      </c>
      <c r="AL37" s="2">
        <v>3070.48</v>
      </c>
      <c r="AM37" s="5">
        <v>8717.7099999999991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29291.51</v>
      </c>
      <c r="AT37" s="12">
        <v>26153.13</v>
      </c>
      <c r="AU37" s="2">
        <v>523.05999999999995</v>
      </c>
      <c r="BL37" s="1" t="s">
        <v>90</v>
      </c>
    </row>
    <row r="38" spans="1:64" x14ac:dyDescent="0.3">
      <c r="A38" t="s">
        <v>744</v>
      </c>
      <c r="B38" s="1" t="s">
        <v>746</v>
      </c>
      <c r="C38" s="9" t="s">
        <v>747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60883</v>
      </c>
      <c r="K38" s="6">
        <v>17411</v>
      </c>
      <c r="L38" s="6">
        <v>1087.2</v>
      </c>
      <c r="M38" s="6">
        <v>310.91000000000003</v>
      </c>
      <c r="N38" s="7">
        <v>699.05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2348.8200000000002</v>
      </c>
      <c r="U38" s="6">
        <v>2097.16</v>
      </c>
      <c r="V38" s="6">
        <v>41.94</v>
      </c>
      <c r="AI38" s="2">
        <v>60883</v>
      </c>
      <c r="AJ38" s="2">
        <v>17411</v>
      </c>
      <c r="AK38" s="2">
        <v>1087.2</v>
      </c>
      <c r="AL38" s="2">
        <v>310.91000000000003</v>
      </c>
      <c r="AM38" s="5">
        <v>699.05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2348.8200000000002</v>
      </c>
      <c r="AT38" s="12">
        <v>2097.16</v>
      </c>
      <c r="AU38" s="2">
        <v>41.94</v>
      </c>
      <c r="BL38" s="1" t="s">
        <v>90</v>
      </c>
    </row>
    <row r="39" spans="1:64" x14ac:dyDescent="0.3">
      <c r="A39" t="s">
        <v>748</v>
      </c>
      <c r="B39" s="1" t="s">
        <v>748</v>
      </c>
      <c r="C39" s="9" t="s">
        <v>749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736781</v>
      </c>
      <c r="K39" s="6">
        <v>227673</v>
      </c>
      <c r="L39" s="6">
        <v>13156.8</v>
      </c>
      <c r="M39" s="6">
        <v>4065.59</v>
      </c>
      <c r="N39" s="7">
        <v>8611.2000000000007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28933.62</v>
      </c>
      <c r="U39" s="6">
        <v>25833.59</v>
      </c>
      <c r="V39" s="6">
        <v>516.66999999999996</v>
      </c>
      <c r="AI39" s="2">
        <v>736781</v>
      </c>
      <c r="AJ39" s="2">
        <v>227673</v>
      </c>
      <c r="AK39" s="2">
        <v>13156.8</v>
      </c>
      <c r="AL39" s="2">
        <v>4065.59</v>
      </c>
      <c r="AM39" s="5">
        <v>8611.2000000000007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28933.62</v>
      </c>
      <c r="AT39" s="12">
        <v>25833.59</v>
      </c>
      <c r="AU39" s="2">
        <v>516.66999999999996</v>
      </c>
      <c r="BL39" s="1" t="s">
        <v>90</v>
      </c>
    </row>
    <row r="40" spans="1:64" x14ac:dyDescent="0.3">
      <c r="A40" t="s">
        <v>777</v>
      </c>
      <c r="B40" s="1" t="s">
        <v>777</v>
      </c>
      <c r="C40" s="9" t="s">
        <v>778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234819</v>
      </c>
      <c r="K40" s="6">
        <v>65820</v>
      </c>
      <c r="L40" s="6">
        <v>4193.2</v>
      </c>
      <c r="M40" s="6">
        <v>1175.3599999999999</v>
      </c>
      <c r="N40" s="7">
        <v>2684.28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9019.18</v>
      </c>
      <c r="U40" s="6">
        <v>8052.84</v>
      </c>
      <c r="V40" s="6">
        <v>161.06</v>
      </c>
      <c r="AI40" s="2">
        <v>234819</v>
      </c>
      <c r="AJ40" s="2">
        <v>65820</v>
      </c>
      <c r="AK40" s="2">
        <v>4193.2</v>
      </c>
      <c r="AL40" s="2">
        <v>1175.3599999999999</v>
      </c>
      <c r="AM40" s="5">
        <v>2684.28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9019.18</v>
      </c>
      <c r="AT40" s="12">
        <v>8052.84</v>
      </c>
      <c r="AU40" s="2">
        <v>161.06</v>
      </c>
      <c r="BL40" s="1" t="s">
        <v>90</v>
      </c>
    </row>
    <row r="41" spans="1:64" x14ac:dyDescent="0.3">
      <c r="A41" t="s">
        <v>777</v>
      </c>
      <c r="B41" s="1" t="s">
        <v>779</v>
      </c>
      <c r="C41" s="9" t="s">
        <v>780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299293</v>
      </c>
      <c r="K41" s="6">
        <v>105819</v>
      </c>
      <c r="L41" s="6">
        <v>5344.52</v>
      </c>
      <c r="M41" s="6">
        <v>1889.62</v>
      </c>
      <c r="N41" s="7">
        <v>3617.07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12153.36</v>
      </c>
      <c r="U41" s="6">
        <v>10851.210000000001</v>
      </c>
      <c r="V41" s="6">
        <v>217.02</v>
      </c>
      <c r="AI41" s="2">
        <v>299293</v>
      </c>
      <c r="AJ41" s="2">
        <v>105819</v>
      </c>
      <c r="AK41" s="2">
        <v>5344.52</v>
      </c>
      <c r="AL41" s="2">
        <v>1889.62</v>
      </c>
      <c r="AM41" s="5">
        <v>3617.07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12153.36</v>
      </c>
      <c r="AT41" s="12">
        <v>10851.210000000001</v>
      </c>
      <c r="AU41" s="2">
        <v>217.02</v>
      </c>
      <c r="BL41" s="1" t="s">
        <v>90</v>
      </c>
    </row>
    <row r="42" spans="1:64" x14ac:dyDescent="0.3">
      <c r="A42" t="s">
        <v>800</v>
      </c>
      <c r="B42" s="1" t="s">
        <v>800</v>
      </c>
      <c r="C42" s="9" t="s">
        <v>801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531353</v>
      </c>
      <c r="K42" s="6">
        <v>154028</v>
      </c>
      <c r="L42" s="6">
        <v>9488.4500000000007</v>
      </c>
      <c r="M42" s="6">
        <v>2750.5</v>
      </c>
      <c r="N42" s="7">
        <v>6119.47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20561.43</v>
      </c>
      <c r="U42" s="6">
        <v>18358.420000000002</v>
      </c>
      <c r="V42" s="6">
        <v>367.17</v>
      </c>
      <c r="AI42" s="2">
        <v>531353</v>
      </c>
      <c r="AJ42" s="2">
        <v>154028</v>
      </c>
      <c r="AK42" s="2">
        <v>9488.4500000000007</v>
      </c>
      <c r="AL42" s="2">
        <v>2750.5</v>
      </c>
      <c r="AM42" s="5">
        <v>6119.47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20561.43</v>
      </c>
      <c r="AT42" s="12">
        <v>18358.420000000002</v>
      </c>
      <c r="AU42" s="2">
        <v>367.17</v>
      </c>
      <c r="BL42" s="1" t="s">
        <v>90</v>
      </c>
    </row>
    <row r="43" spans="1:64" x14ac:dyDescent="0.3">
      <c r="A43" t="s">
        <v>800</v>
      </c>
      <c r="B43" s="1" t="s">
        <v>802</v>
      </c>
      <c r="C43" s="9" t="s">
        <v>803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29195</v>
      </c>
      <c r="K43" s="6">
        <v>14779</v>
      </c>
      <c r="L43" s="6">
        <v>521.34</v>
      </c>
      <c r="M43" s="6">
        <v>263.91000000000003</v>
      </c>
      <c r="N43" s="7">
        <v>392.62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1319.21</v>
      </c>
      <c r="U43" s="6">
        <v>1177.8699999999999</v>
      </c>
      <c r="V43" s="6">
        <v>23.56</v>
      </c>
      <c r="AI43" s="2">
        <v>29195</v>
      </c>
      <c r="AJ43" s="2">
        <v>14779</v>
      </c>
      <c r="AK43" s="2">
        <v>521.34</v>
      </c>
      <c r="AL43" s="2">
        <v>263.91000000000003</v>
      </c>
      <c r="AM43" s="5">
        <v>392.62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1319.21</v>
      </c>
      <c r="AT43" s="12">
        <v>1177.8699999999999</v>
      </c>
      <c r="AU43" s="2">
        <v>23.56</v>
      </c>
      <c r="BL43" s="1" t="s">
        <v>90</v>
      </c>
    </row>
    <row r="44" spans="1:64" x14ac:dyDescent="0.3">
      <c r="A44" t="s">
        <v>849</v>
      </c>
      <c r="B44" s="1" t="s">
        <v>849</v>
      </c>
      <c r="C44" s="9" t="s">
        <v>850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437323.5</v>
      </c>
      <c r="K44" s="6">
        <v>282356.5</v>
      </c>
      <c r="L44" s="6">
        <v>7809.35</v>
      </c>
      <c r="M44" s="6">
        <v>5042.08</v>
      </c>
      <c r="N44" s="7">
        <v>6425.71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21590.400000000001</v>
      </c>
      <c r="U44" s="6">
        <v>19277.14</v>
      </c>
      <c r="V44" s="6">
        <v>385.54</v>
      </c>
      <c r="AI44" s="2">
        <v>437323.5</v>
      </c>
      <c r="AJ44" s="2">
        <v>282356.5</v>
      </c>
      <c r="AK44" s="2">
        <v>7809.35</v>
      </c>
      <c r="AL44" s="2">
        <v>5042.08</v>
      </c>
      <c r="AM44" s="5">
        <v>6425.71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21590.400000000001</v>
      </c>
      <c r="AT44" s="12">
        <v>19277.14</v>
      </c>
      <c r="AU44" s="2">
        <v>385.54</v>
      </c>
      <c r="BL44" s="1" t="s">
        <v>90</v>
      </c>
    </row>
    <row r="45" spans="1:64" x14ac:dyDescent="0.3">
      <c r="A45" t="s">
        <v>860</v>
      </c>
      <c r="B45" s="1" t="s">
        <v>860</v>
      </c>
      <c r="C45" s="9" t="s">
        <v>861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1044874.09</v>
      </c>
      <c r="K45" s="6">
        <v>155729</v>
      </c>
      <c r="L45" s="6">
        <v>18658.46</v>
      </c>
      <c r="M45" s="6">
        <v>2780.87</v>
      </c>
      <c r="N45" s="7">
        <v>10719.67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36018.080000000002</v>
      </c>
      <c r="U45" s="6">
        <v>32159</v>
      </c>
      <c r="V45" s="6">
        <v>643.17999999999995</v>
      </c>
      <c r="AI45" s="2">
        <v>1044874.09</v>
      </c>
      <c r="AJ45" s="2">
        <v>155729</v>
      </c>
      <c r="AK45" s="2">
        <v>18658.46</v>
      </c>
      <c r="AL45" s="2">
        <v>2780.87</v>
      </c>
      <c r="AM45" s="5">
        <v>10719.67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36018.080000000002</v>
      </c>
      <c r="AT45" s="12">
        <v>32159</v>
      </c>
      <c r="AU45" s="2">
        <v>643.17999999999995</v>
      </c>
      <c r="BL45" s="1" t="s">
        <v>90</v>
      </c>
    </row>
    <row r="46" spans="1:64" x14ac:dyDescent="0.3">
      <c r="A46" t="s">
        <v>1084</v>
      </c>
      <c r="B46" s="1" t="s">
        <v>1084</v>
      </c>
      <c r="C46" s="9" t="s">
        <v>1085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332522</v>
      </c>
      <c r="K46" s="6">
        <v>67376</v>
      </c>
      <c r="L46" s="6">
        <v>5937.89</v>
      </c>
      <c r="M46" s="6">
        <v>1203.1400000000001</v>
      </c>
      <c r="N46" s="7">
        <v>3570.52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11996.94</v>
      </c>
      <c r="U46" s="6">
        <v>10711.550000000001</v>
      </c>
      <c r="V46" s="6">
        <v>214.23</v>
      </c>
      <c r="AI46" s="2">
        <v>332522</v>
      </c>
      <c r="AJ46" s="2">
        <v>67376</v>
      </c>
      <c r="AK46" s="2">
        <v>5937.89</v>
      </c>
      <c r="AL46" s="2">
        <v>1203.1400000000001</v>
      </c>
      <c r="AM46" s="5">
        <v>3570.52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11996.94</v>
      </c>
      <c r="AT46" s="12">
        <v>10711.550000000001</v>
      </c>
      <c r="AU46" s="2">
        <v>214.23</v>
      </c>
      <c r="BL46" s="1" t="s">
        <v>90</v>
      </c>
    </row>
    <row r="47" spans="1:64" x14ac:dyDescent="0.3">
      <c r="A47" t="s">
        <v>1084</v>
      </c>
      <c r="B47" s="1" t="s">
        <v>1086</v>
      </c>
      <c r="C47" s="9" t="s">
        <v>1087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68966</v>
      </c>
      <c r="K47" s="6">
        <v>28567</v>
      </c>
      <c r="L47" s="6">
        <v>1231.54</v>
      </c>
      <c r="M47" s="6">
        <v>510.12</v>
      </c>
      <c r="N47" s="7">
        <v>870.83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2925.99</v>
      </c>
      <c r="U47" s="6">
        <v>2612.4899999999998</v>
      </c>
      <c r="V47" s="6">
        <v>52.25</v>
      </c>
      <c r="AI47" s="2">
        <v>68966</v>
      </c>
      <c r="AJ47" s="2">
        <v>28567</v>
      </c>
      <c r="AK47" s="2">
        <v>1231.54</v>
      </c>
      <c r="AL47" s="2">
        <v>510.12</v>
      </c>
      <c r="AM47" s="5">
        <v>870.83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2925.99</v>
      </c>
      <c r="AT47" s="12">
        <v>2612.4899999999998</v>
      </c>
      <c r="AU47" s="2">
        <v>52.25</v>
      </c>
      <c r="BL47" s="1" t="s">
        <v>90</v>
      </c>
    </row>
    <row r="48" spans="1:64" x14ac:dyDescent="0.3">
      <c r="A48" t="s">
        <v>1227</v>
      </c>
      <c r="B48" s="1" t="s">
        <v>1227</v>
      </c>
      <c r="C48" s="9" t="s">
        <v>1228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291713.40000000002</v>
      </c>
      <c r="K48" s="6">
        <v>34564</v>
      </c>
      <c r="L48" s="6">
        <v>5209.17</v>
      </c>
      <c r="M48" s="6">
        <v>617.21</v>
      </c>
      <c r="N48" s="7">
        <v>2913.19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9788.32</v>
      </c>
      <c r="U48" s="6">
        <v>8739.57</v>
      </c>
      <c r="V48" s="6">
        <v>174.79</v>
      </c>
      <c r="AI48" s="2">
        <v>291713.40000000002</v>
      </c>
      <c r="AJ48" s="2">
        <v>34564</v>
      </c>
      <c r="AK48" s="2">
        <v>5209.17</v>
      </c>
      <c r="AL48" s="2">
        <v>617.21</v>
      </c>
      <c r="AM48" s="5">
        <v>2913.19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9788.32</v>
      </c>
      <c r="AT48" s="12">
        <v>8739.57</v>
      </c>
      <c r="AU48" s="2">
        <v>174.79</v>
      </c>
      <c r="BL48" s="1" t="s">
        <v>90</v>
      </c>
    </row>
    <row r="49" spans="1:64" x14ac:dyDescent="0.3">
      <c r="A49" t="s">
        <v>329</v>
      </c>
      <c r="B49" s="1" t="s">
        <v>329</v>
      </c>
      <c r="C49" s="9" t="s">
        <v>330</v>
      </c>
      <c r="D49" s="1" t="s">
        <v>41</v>
      </c>
      <c r="E49" s="1" t="s">
        <v>128</v>
      </c>
      <c r="F49" s="10" t="s">
        <v>331</v>
      </c>
      <c r="G49" s="1">
        <v>3.5000000000000003E-2</v>
      </c>
      <c r="H49" s="1">
        <v>0.02</v>
      </c>
      <c r="I49" s="8">
        <v>45136</v>
      </c>
      <c r="J49" s="6">
        <v>768180.2</v>
      </c>
      <c r="K49" s="6">
        <v>138363</v>
      </c>
      <c r="L49" s="6">
        <v>13717.5</v>
      </c>
      <c r="M49" s="6">
        <v>2470.77</v>
      </c>
      <c r="N49" s="7">
        <v>8094.13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27196.29</v>
      </c>
      <c r="U49" s="6">
        <v>24282.400000000001</v>
      </c>
      <c r="V49" s="6">
        <v>485.65</v>
      </c>
      <c r="AI49" s="2">
        <v>768180.2</v>
      </c>
      <c r="AJ49" s="2">
        <v>138363</v>
      </c>
      <c r="AK49" s="2">
        <v>13717.5</v>
      </c>
      <c r="AL49" s="2">
        <v>2470.77</v>
      </c>
      <c r="AM49" s="5">
        <v>8094.13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27196.29</v>
      </c>
      <c r="AT49" s="12">
        <v>24282.400000000001</v>
      </c>
      <c r="AU49" s="2">
        <v>485.65</v>
      </c>
      <c r="BL49" s="1" t="s">
        <v>130</v>
      </c>
    </row>
    <row r="50" spans="1:64" x14ac:dyDescent="0.3">
      <c r="A50" t="s">
        <v>329</v>
      </c>
      <c r="B50" s="1" t="s">
        <v>332</v>
      </c>
      <c r="C50" s="9" t="s">
        <v>333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45135</v>
      </c>
      <c r="J50" s="6">
        <v>373293.7</v>
      </c>
      <c r="K50" s="6">
        <v>14030</v>
      </c>
      <c r="L50" s="6">
        <v>6665.96</v>
      </c>
      <c r="M50" s="6">
        <v>250.54</v>
      </c>
      <c r="N50" s="7">
        <v>3458.25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11619.72</v>
      </c>
      <c r="U50" s="6">
        <v>10374.75</v>
      </c>
      <c r="V50" s="6">
        <v>207.5</v>
      </c>
      <c r="AI50" s="2">
        <v>373293.7</v>
      </c>
      <c r="AJ50" s="2">
        <v>14030</v>
      </c>
      <c r="AK50" s="2">
        <v>6665.96</v>
      </c>
      <c r="AL50" s="2">
        <v>250.54</v>
      </c>
      <c r="AM50" s="5">
        <v>3458.25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11619.72</v>
      </c>
      <c r="AT50" s="12">
        <v>10374.75</v>
      </c>
      <c r="AU50" s="2">
        <v>207.5</v>
      </c>
      <c r="BL50" s="1" t="s">
        <v>130</v>
      </c>
    </row>
    <row r="51" spans="1:64" x14ac:dyDescent="0.3">
      <c r="A51" t="s">
        <v>370</v>
      </c>
      <c r="B51" s="1" t="s">
        <v>370</v>
      </c>
      <c r="C51" s="9" t="s">
        <v>371</v>
      </c>
      <c r="D51" s="1" t="s">
        <v>41</v>
      </c>
      <c r="E51" s="1" t="s">
        <v>128</v>
      </c>
      <c r="F51" s="10" t="s">
        <v>372</v>
      </c>
      <c r="G51" s="1">
        <v>3.5000000000000003E-2</v>
      </c>
      <c r="H51" s="1">
        <v>0.02</v>
      </c>
      <c r="I51" s="8">
        <v>44741</v>
      </c>
      <c r="J51" s="6">
        <v>808148.3</v>
      </c>
      <c r="K51" s="6">
        <v>60491.11</v>
      </c>
      <c r="L51" s="6">
        <v>14431.22</v>
      </c>
      <c r="M51" s="6">
        <v>1080.2</v>
      </c>
      <c r="N51" s="7">
        <v>7755.71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26059.19</v>
      </c>
      <c r="U51" s="6">
        <v>23267.13</v>
      </c>
      <c r="V51" s="6">
        <v>465.34</v>
      </c>
      <c r="AI51" s="2">
        <v>808148.3</v>
      </c>
      <c r="AJ51" s="2">
        <v>60491.11</v>
      </c>
      <c r="AK51" s="2">
        <v>14431.22</v>
      </c>
      <c r="AL51" s="2">
        <v>1080.2</v>
      </c>
      <c r="AM51" s="5">
        <v>7755.71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26059.19</v>
      </c>
      <c r="AT51" s="12">
        <v>23267.13</v>
      </c>
      <c r="AU51" s="2">
        <v>465.34</v>
      </c>
      <c r="BL51" s="1" t="s">
        <v>130</v>
      </c>
    </row>
    <row r="52" spans="1:64" x14ac:dyDescent="0.3">
      <c r="A52" t="s">
        <v>370</v>
      </c>
      <c r="B52" s="1" t="s">
        <v>373</v>
      </c>
      <c r="C52" s="9" t="s">
        <v>374</v>
      </c>
      <c r="D52" s="1" t="s">
        <v>41</v>
      </c>
      <c r="E52" s="1" t="s">
        <v>128</v>
      </c>
      <c r="F52" s="10" t="s">
        <v>372</v>
      </c>
      <c r="G52" s="1">
        <v>0</v>
      </c>
      <c r="H52" s="1">
        <v>0.02</v>
      </c>
      <c r="I52" s="8">
        <v>44741</v>
      </c>
      <c r="J52" s="6">
        <v>381391.5</v>
      </c>
      <c r="K52" s="6">
        <v>34332</v>
      </c>
      <c r="L52" s="6">
        <v>6810.56</v>
      </c>
      <c r="M52" s="6">
        <v>613.07000000000005</v>
      </c>
      <c r="N52" s="7">
        <v>3711.81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12471.69</v>
      </c>
      <c r="U52" s="6">
        <v>11135.44</v>
      </c>
      <c r="V52" s="6">
        <v>222.71</v>
      </c>
      <c r="AI52" s="2">
        <v>381391.5</v>
      </c>
      <c r="AJ52" s="2">
        <v>34332</v>
      </c>
      <c r="AK52" s="2">
        <v>6810.56</v>
      </c>
      <c r="AL52" s="2">
        <v>613.07000000000005</v>
      </c>
      <c r="AM52" s="5">
        <v>3711.81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12471.69</v>
      </c>
      <c r="AT52" s="12">
        <v>11135.44</v>
      </c>
      <c r="AU52" s="2">
        <v>222.71</v>
      </c>
      <c r="BL52" s="1" t="s">
        <v>130</v>
      </c>
    </row>
    <row r="53" spans="1:64" x14ac:dyDescent="0.3">
      <c r="A53" t="s">
        <v>370</v>
      </c>
      <c r="B53" s="1" t="s">
        <v>375</v>
      </c>
      <c r="C53" s="9" t="s">
        <v>376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44741</v>
      </c>
      <c r="J53" s="6">
        <v>399643</v>
      </c>
      <c r="K53" s="6">
        <v>18292</v>
      </c>
      <c r="L53" s="6">
        <v>7136.48</v>
      </c>
      <c r="M53" s="6">
        <v>326.64</v>
      </c>
      <c r="N53" s="7">
        <v>3731.56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12538.04</v>
      </c>
      <c r="U53" s="6">
        <v>11194.68</v>
      </c>
      <c r="V53" s="6">
        <v>223.89</v>
      </c>
      <c r="AI53" s="2">
        <v>399643</v>
      </c>
      <c r="AJ53" s="2">
        <v>18292</v>
      </c>
      <c r="AK53" s="2">
        <v>7136.48</v>
      </c>
      <c r="AL53" s="2">
        <v>326.64</v>
      </c>
      <c r="AM53" s="5">
        <v>3731.56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12538.04</v>
      </c>
      <c r="AT53" s="12">
        <v>11194.68</v>
      </c>
      <c r="AU53" s="2">
        <v>223.89</v>
      </c>
      <c r="BL53" s="1" t="s">
        <v>130</v>
      </c>
    </row>
    <row r="54" spans="1:64" x14ac:dyDescent="0.3">
      <c r="A54" t="s">
        <v>370</v>
      </c>
      <c r="B54" s="1" t="s">
        <v>377</v>
      </c>
      <c r="C54" s="9" t="s">
        <v>378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45041</v>
      </c>
      <c r="J54" s="6">
        <v>258905</v>
      </c>
      <c r="K54" s="6">
        <v>13643</v>
      </c>
      <c r="L54" s="6">
        <v>4623.3</v>
      </c>
      <c r="M54" s="6">
        <v>243.62</v>
      </c>
      <c r="N54" s="7">
        <v>2433.46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8176.43</v>
      </c>
      <c r="U54" s="6">
        <v>7300.38</v>
      </c>
      <c r="V54" s="6">
        <v>146.01</v>
      </c>
      <c r="AI54" s="2">
        <v>258905</v>
      </c>
      <c r="AJ54" s="2">
        <v>13643</v>
      </c>
      <c r="AK54" s="2">
        <v>4623.3</v>
      </c>
      <c r="AL54" s="2">
        <v>243.62</v>
      </c>
      <c r="AM54" s="5">
        <v>2433.46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8176.43</v>
      </c>
      <c r="AT54" s="12">
        <v>7300.38</v>
      </c>
      <c r="AU54" s="2">
        <v>146.01</v>
      </c>
      <c r="BL54" s="1" t="s">
        <v>130</v>
      </c>
    </row>
    <row r="55" spans="1:64" x14ac:dyDescent="0.3">
      <c r="A55" t="s">
        <v>386</v>
      </c>
      <c r="B55" s="1" t="s">
        <v>386</v>
      </c>
      <c r="C55" s="9" t="s">
        <v>387</v>
      </c>
      <c r="D55" s="1" t="s">
        <v>41</v>
      </c>
      <c r="E55" s="1" t="s">
        <v>128</v>
      </c>
      <c r="F55" s="10" t="s">
        <v>372</v>
      </c>
      <c r="G55" s="1">
        <v>3.5000000000000003E-2</v>
      </c>
      <c r="H55" s="1">
        <v>0.02</v>
      </c>
      <c r="I55" s="8">
        <v>44835</v>
      </c>
      <c r="J55" s="6">
        <v>616873.29999999993</v>
      </c>
      <c r="K55" s="6">
        <v>31754.2</v>
      </c>
      <c r="L55" s="6">
        <v>11015.6</v>
      </c>
      <c r="M55" s="6">
        <v>567.04</v>
      </c>
      <c r="N55" s="7">
        <v>5791.31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19458.82</v>
      </c>
      <c r="U55" s="6">
        <v>17373.95</v>
      </c>
      <c r="V55" s="6">
        <v>347.48</v>
      </c>
      <c r="AI55" s="2">
        <v>616873.29999999993</v>
      </c>
      <c r="AJ55" s="2">
        <v>31754.2</v>
      </c>
      <c r="AK55" s="2">
        <v>11015.6</v>
      </c>
      <c r="AL55" s="2">
        <v>567.04</v>
      </c>
      <c r="AM55" s="5">
        <v>5791.31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19458.82</v>
      </c>
      <c r="AT55" s="12">
        <v>17373.95</v>
      </c>
      <c r="AU55" s="2">
        <v>347.48</v>
      </c>
      <c r="BL55" s="1" t="s">
        <v>130</v>
      </c>
    </row>
    <row r="56" spans="1:64" x14ac:dyDescent="0.3">
      <c r="A56" t="s">
        <v>386</v>
      </c>
      <c r="B56" s="1" t="s">
        <v>388</v>
      </c>
      <c r="C56" s="9" t="s">
        <v>387</v>
      </c>
      <c r="D56" s="1" t="s">
        <v>41</v>
      </c>
      <c r="E56" s="1" t="s">
        <v>128</v>
      </c>
      <c r="F56" s="10" t="s">
        <v>372</v>
      </c>
      <c r="G56" s="1">
        <v>3.5000000000000003E-2</v>
      </c>
      <c r="H56" s="1">
        <v>0.02</v>
      </c>
      <c r="I56" s="8">
        <v>44835</v>
      </c>
      <c r="J56" s="6">
        <v>39075</v>
      </c>
      <c r="K56" s="6">
        <v>23065</v>
      </c>
      <c r="L56" s="6">
        <v>697.77</v>
      </c>
      <c r="M56" s="6">
        <v>411.87</v>
      </c>
      <c r="N56" s="7">
        <v>554.82000000000005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1864.2</v>
      </c>
      <c r="U56" s="6">
        <v>1664.46</v>
      </c>
      <c r="V56" s="6">
        <v>33.29</v>
      </c>
      <c r="AI56" s="2">
        <v>39075</v>
      </c>
      <c r="AJ56" s="2">
        <v>23065</v>
      </c>
      <c r="AK56" s="2">
        <v>697.77</v>
      </c>
      <c r="AL56" s="2">
        <v>411.87</v>
      </c>
      <c r="AM56" s="5">
        <v>554.82000000000005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1864.2</v>
      </c>
      <c r="AT56" s="12">
        <v>1664.46</v>
      </c>
      <c r="AU56" s="2">
        <v>33.29</v>
      </c>
      <c r="BL56" s="1" t="s">
        <v>130</v>
      </c>
    </row>
    <row r="57" spans="1:64" x14ac:dyDescent="0.3">
      <c r="A57" t="s">
        <v>386</v>
      </c>
      <c r="B57" s="1" t="s">
        <v>389</v>
      </c>
      <c r="C57" s="9" t="s">
        <v>390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44835</v>
      </c>
      <c r="J57" s="6">
        <v>254945</v>
      </c>
      <c r="K57" s="6">
        <v>9900</v>
      </c>
      <c r="L57" s="6">
        <v>4552.59</v>
      </c>
      <c r="M57" s="6">
        <v>176.79</v>
      </c>
      <c r="N57" s="7">
        <v>2364.69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7945.36</v>
      </c>
      <c r="U57" s="6">
        <v>7094.07</v>
      </c>
      <c r="V57" s="6">
        <v>141.88</v>
      </c>
      <c r="AI57" s="2">
        <v>254945</v>
      </c>
      <c r="AJ57" s="2">
        <v>9900</v>
      </c>
      <c r="AK57" s="2">
        <v>4552.59</v>
      </c>
      <c r="AL57" s="2">
        <v>176.79</v>
      </c>
      <c r="AM57" s="5">
        <v>2364.69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7945.36</v>
      </c>
      <c r="AT57" s="12">
        <v>7094.07</v>
      </c>
      <c r="AU57" s="2">
        <v>141.88</v>
      </c>
      <c r="BL57" s="1" t="s">
        <v>130</v>
      </c>
    </row>
    <row r="58" spans="1:64" x14ac:dyDescent="0.3">
      <c r="A58" t="s">
        <v>386</v>
      </c>
      <c r="B58" s="1" t="s">
        <v>391</v>
      </c>
      <c r="C58" s="9" t="s">
        <v>392</v>
      </c>
      <c r="D58" s="1" t="s">
        <v>41</v>
      </c>
      <c r="E58" s="1" t="s">
        <v>128</v>
      </c>
      <c r="F58" s="10" t="s">
        <v>372</v>
      </c>
      <c r="G58" s="1">
        <v>0</v>
      </c>
      <c r="H58" s="1">
        <v>0.02</v>
      </c>
      <c r="I58" s="8">
        <v>44835</v>
      </c>
      <c r="J58" s="6">
        <v>374025</v>
      </c>
      <c r="K58" s="6">
        <v>13920</v>
      </c>
      <c r="L58" s="6">
        <v>6679.02</v>
      </c>
      <c r="M58" s="6">
        <v>248.57</v>
      </c>
      <c r="N58" s="7">
        <v>3463.79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11638.35</v>
      </c>
      <c r="U58" s="6">
        <v>10391.380000000001</v>
      </c>
      <c r="V58" s="6">
        <v>207.83</v>
      </c>
      <c r="AI58" s="2">
        <v>374025</v>
      </c>
      <c r="AJ58" s="2">
        <v>13920</v>
      </c>
      <c r="AK58" s="2">
        <v>6679.02</v>
      </c>
      <c r="AL58" s="2">
        <v>248.57</v>
      </c>
      <c r="AM58" s="5">
        <v>3463.79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11638.35</v>
      </c>
      <c r="AT58" s="12">
        <v>10391.380000000001</v>
      </c>
      <c r="AU58" s="2">
        <v>207.83</v>
      </c>
      <c r="BL58" s="1" t="s">
        <v>130</v>
      </c>
    </row>
    <row r="59" spans="1:64" x14ac:dyDescent="0.3">
      <c r="A59" t="s">
        <v>386</v>
      </c>
      <c r="B59" s="1" t="s">
        <v>393</v>
      </c>
      <c r="C59" s="9" t="s">
        <v>394</v>
      </c>
      <c r="D59" s="1" t="s">
        <v>41</v>
      </c>
      <c r="E59" s="1" t="s">
        <v>128</v>
      </c>
      <c r="F59" s="10" t="s">
        <v>372</v>
      </c>
      <c r="G59" s="1">
        <v>0</v>
      </c>
      <c r="H59" s="1">
        <v>0.02</v>
      </c>
      <c r="I59" s="8">
        <v>44835</v>
      </c>
      <c r="J59" s="6">
        <v>139513</v>
      </c>
      <c r="K59" s="6">
        <v>10550</v>
      </c>
      <c r="L59" s="6">
        <v>2491.3000000000002</v>
      </c>
      <c r="M59" s="6">
        <v>188.39</v>
      </c>
      <c r="N59" s="7">
        <v>1339.85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4501.88</v>
      </c>
      <c r="U59" s="6">
        <v>4019.54</v>
      </c>
      <c r="V59" s="6">
        <v>80.39</v>
      </c>
      <c r="AI59" s="2">
        <v>139513</v>
      </c>
      <c r="AJ59" s="2">
        <v>10550</v>
      </c>
      <c r="AK59" s="2">
        <v>2491.3000000000002</v>
      </c>
      <c r="AL59" s="2">
        <v>188.39</v>
      </c>
      <c r="AM59" s="5">
        <v>1339.85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4501.88</v>
      </c>
      <c r="AT59" s="12">
        <v>4019.54</v>
      </c>
      <c r="AU59" s="2">
        <v>80.39</v>
      </c>
      <c r="BL59" s="1" t="s">
        <v>130</v>
      </c>
    </row>
    <row r="60" spans="1:64" x14ac:dyDescent="0.3">
      <c r="A60" t="s">
        <v>460</v>
      </c>
      <c r="B60" s="1" t="s">
        <v>460</v>
      </c>
      <c r="C60" s="9" t="s">
        <v>461</v>
      </c>
      <c r="D60" s="1" t="s">
        <v>41</v>
      </c>
      <c r="E60" s="1" t="s">
        <v>135</v>
      </c>
      <c r="F60" s="10" t="s">
        <v>462</v>
      </c>
      <c r="G60" s="1">
        <v>3.5000000000000003E-2</v>
      </c>
      <c r="H60" s="1">
        <v>0.02</v>
      </c>
      <c r="I60" s="8">
        <v>45315</v>
      </c>
      <c r="J60" s="6">
        <v>504977.05</v>
      </c>
      <c r="K60" s="6">
        <v>46713</v>
      </c>
      <c r="L60" s="6">
        <v>9017.4500000000007</v>
      </c>
      <c r="M60" s="6">
        <v>834.16</v>
      </c>
      <c r="N60" s="7">
        <v>4925.8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16550.7</v>
      </c>
      <c r="U60" s="6">
        <v>14777.41</v>
      </c>
      <c r="V60" s="6">
        <v>295.55</v>
      </c>
      <c r="AI60" s="2">
        <v>504977.05</v>
      </c>
      <c r="AJ60" s="2">
        <v>46713</v>
      </c>
      <c r="AK60" s="2">
        <v>9017.4500000000007</v>
      </c>
      <c r="AL60" s="2">
        <v>834.16</v>
      </c>
      <c r="AM60" s="5">
        <v>4925.8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16550.7</v>
      </c>
      <c r="AT60" s="12">
        <v>14777.41</v>
      </c>
      <c r="AU60" s="2">
        <v>295.55</v>
      </c>
      <c r="BL60" s="1" t="s">
        <v>302</v>
      </c>
    </row>
    <row r="61" spans="1:64" x14ac:dyDescent="0.3">
      <c r="A61" t="s">
        <v>460</v>
      </c>
      <c r="B61" s="1" t="s">
        <v>463</v>
      </c>
      <c r="C61" s="9" t="s">
        <v>464</v>
      </c>
      <c r="D61" s="1" t="s">
        <v>41</v>
      </c>
      <c r="E61" s="1" t="s">
        <v>135</v>
      </c>
      <c r="F61" s="10" t="s">
        <v>462</v>
      </c>
      <c r="G61" s="1">
        <v>0.04</v>
      </c>
      <c r="H61" s="1">
        <v>0.02</v>
      </c>
      <c r="I61" s="8">
        <v>45315</v>
      </c>
      <c r="J61" s="6">
        <v>387978</v>
      </c>
      <c r="K61" s="6">
        <v>56297</v>
      </c>
      <c r="L61" s="6">
        <v>6928.18</v>
      </c>
      <c r="M61" s="6">
        <v>1005.3</v>
      </c>
      <c r="N61" s="7">
        <v>3966.74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13328.25</v>
      </c>
      <c r="U61" s="6">
        <v>11900.220000000001</v>
      </c>
      <c r="V61" s="6">
        <v>238</v>
      </c>
      <c r="AI61" s="2">
        <v>387978</v>
      </c>
      <c r="AJ61" s="2">
        <v>56297</v>
      </c>
      <c r="AK61" s="2">
        <v>6928.18</v>
      </c>
      <c r="AL61" s="2">
        <v>1005.3</v>
      </c>
      <c r="AM61" s="5">
        <v>3966.74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13328.25</v>
      </c>
      <c r="AT61" s="12">
        <v>11900.220000000001</v>
      </c>
      <c r="AU61" s="2">
        <v>238</v>
      </c>
      <c r="BL61" s="1" t="s">
        <v>302</v>
      </c>
    </row>
    <row r="62" spans="1:64" x14ac:dyDescent="0.3">
      <c r="A62" t="s">
        <v>460</v>
      </c>
      <c r="B62" s="1" t="s">
        <v>465</v>
      </c>
      <c r="C62" s="9" t="s">
        <v>466</v>
      </c>
      <c r="D62" s="1" t="s">
        <v>41</v>
      </c>
      <c r="E62" s="1" t="s">
        <v>135</v>
      </c>
      <c r="F62" s="10" t="s">
        <v>467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BL62" s="1" t="s">
        <v>302</v>
      </c>
    </row>
    <row r="63" spans="1:64" x14ac:dyDescent="0.3">
      <c r="A63" t="s">
        <v>460</v>
      </c>
      <c r="B63" s="1" t="s">
        <v>468</v>
      </c>
      <c r="C63" s="9" t="s">
        <v>469</v>
      </c>
      <c r="D63" s="1" t="s">
        <v>41</v>
      </c>
      <c r="E63" s="1" t="s">
        <v>135</v>
      </c>
      <c r="F63" s="10" t="s">
        <v>467</v>
      </c>
      <c r="G63" s="1">
        <v>0</v>
      </c>
      <c r="H63" s="1">
        <v>0.05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BL63" s="1" t="s">
        <v>302</v>
      </c>
    </row>
    <row r="64" spans="1:64" x14ac:dyDescent="0.3">
      <c r="A64" t="s">
        <v>490</v>
      </c>
      <c r="B64" s="1" t="s">
        <v>490</v>
      </c>
      <c r="C64" s="9" t="s">
        <v>491</v>
      </c>
      <c r="D64" s="1" t="s">
        <v>41</v>
      </c>
      <c r="E64" s="1" t="s">
        <v>135</v>
      </c>
      <c r="F64" s="10" t="s">
        <v>462</v>
      </c>
      <c r="G64" s="1">
        <v>0</v>
      </c>
      <c r="H64" s="1">
        <v>0.02</v>
      </c>
      <c r="I64" s="8">
        <v>45387</v>
      </c>
      <c r="J64" s="6">
        <v>460871.1</v>
      </c>
      <c r="K64" s="6">
        <v>72212</v>
      </c>
      <c r="L64" s="6">
        <v>8229.84</v>
      </c>
      <c r="M64" s="6">
        <v>1289.5</v>
      </c>
      <c r="N64" s="7">
        <v>4759.67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15992.49</v>
      </c>
      <c r="U64" s="6">
        <v>14279.01</v>
      </c>
      <c r="V64" s="6">
        <v>285.58</v>
      </c>
      <c r="AI64" s="2">
        <v>460871.1</v>
      </c>
      <c r="AJ64" s="2">
        <v>72212</v>
      </c>
      <c r="AK64" s="2">
        <v>8229.84</v>
      </c>
      <c r="AL64" s="2">
        <v>1289.5</v>
      </c>
      <c r="AM64" s="5">
        <v>4759.67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15992.49</v>
      </c>
      <c r="AT64" s="12">
        <v>14279.01</v>
      </c>
      <c r="AU64" s="2">
        <v>285.58</v>
      </c>
      <c r="BL64" s="1" t="s">
        <v>302</v>
      </c>
    </row>
    <row r="65" spans="1:64" x14ac:dyDescent="0.3">
      <c r="A65" t="s">
        <v>490</v>
      </c>
      <c r="B65" s="1" t="s">
        <v>492</v>
      </c>
      <c r="C65" s="9" t="s">
        <v>493</v>
      </c>
      <c r="D65" s="1" t="s">
        <v>41</v>
      </c>
      <c r="E65" s="1" t="s">
        <v>135</v>
      </c>
      <c r="F65" s="10" t="s">
        <v>462</v>
      </c>
      <c r="G65" s="1">
        <v>0</v>
      </c>
      <c r="H65" s="1">
        <v>0.02</v>
      </c>
      <c r="I65" s="8">
        <v>45387</v>
      </c>
      <c r="J65" s="6">
        <v>134478</v>
      </c>
      <c r="K65" s="6">
        <v>34961</v>
      </c>
      <c r="L65" s="6">
        <v>2401.39</v>
      </c>
      <c r="M65" s="6">
        <v>624.29999999999995</v>
      </c>
      <c r="N65" s="7">
        <v>1512.85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5083.16</v>
      </c>
      <c r="U65" s="6">
        <v>4538.5399999999991</v>
      </c>
      <c r="V65" s="6">
        <v>90.77</v>
      </c>
      <c r="AI65" s="2">
        <v>134478</v>
      </c>
      <c r="AJ65" s="2">
        <v>34961</v>
      </c>
      <c r="AK65" s="2">
        <v>2401.39</v>
      </c>
      <c r="AL65" s="2">
        <v>624.29999999999995</v>
      </c>
      <c r="AM65" s="5">
        <v>1512.85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5083.16</v>
      </c>
      <c r="AT65" s="12">
        <v>4538.5399999999991</v>
      </c>
      <c r="AU65" s="2">
        <v>90.77</v>
      </c>
      <c r="BL65" s="1" t="s">
        <v>302</v>
      </c>
    </row>
    <row r="66" spans="1:64" x14ac:dyDescent="0.3">
      <c r="A66" t="s">
        <v>524</v>
      </c>
      <c r="B66" s="1" t="s">
        <v>524</v>
      </c>
      <c r="C66" s="9" t="s">
        <v>525</v>
      </c>
      <c r="D66" s="1" t="s">
        <v>41</v>
      </c>
      <c r="E66" s="1" t="s">
        <v>128</v>
      </c>
      <c r="F66" s="10" t="s">
        <v>372</v>
      </c>
      <c r="G66" s="1">
        <v>3.5000000000000003E-2</v>
      </c>
      <c r="H66" s="1">
        <v>0.02</v>
      </c>
      <c r="I66" s="8">
        <v>45242</v>
      </c>
      <c r="J66" s="6">
        <v>609265.45000000007</v>
      </c>
      <c r="K66" s="6">
        <v>25038.080000000002</v>
      </c>
      <c r="L66" s="6">
        <v>10879.74</v>
      </c>
      <c r="M66" s="6">
        <v>447.11</v>
      </c>
      <c r="N66" s="7">
        <v>5663.43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19029.11</v>
      </c>
      <c r="U66" s="6">
        <v>16990.28</v>
      </c>
      <c r="V66" s="6">
        <v>339.81</v>
      </c>
      <c r="AI66" s="2">
        <v>609265.45000000007</v>
      </c>
      <c r="AJ66" s="2">
        <v>25038.080000000002</v>
      </c>
      <c r="AK66" s="2">
        <v>10879.74</v>
      </c>
      <c r="AL66" s="2">
        <v>447.11</v>
      </c>
      <c r="AM66" s="5">
        <v>5663.43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19029.11</v>
      </c>
      <c r="AT66" s="12">
        <v>16990.28</v>
      </c>
      <c r="AU66" s="2">
        <v>339.81</v>
      </c>
      <c r="BL66" s="1" t="s">
        <v>130</v>
      </c>
    </row>
    <row r="67" spans="1:64" x14ac:dyDescent="0.3">
      <c r="A67" t="s">
        <v>524</v>
      </c>
      <c r="B67" s="1" t="s">
        <v>526</v>
      </c>
      <c r="C67" s="9" t="s">
        <v>527</v>
      </c>
      <c r="D67" s="1" t="s">
        <v>41</v>
      </c>
      <c r="E67" s="1" t="s">
        <v>128</v>
      </c>
      <c r="F67" s="10" t="s">
        <v>372</v>
      </c>
      <c r="G67" s="1">
        <v>0</v>
      </c>
      <c r="H67" s="1">
        <v>0.02</v>
      </c>
      <c r="I67" s="8">
        <v>45242</v>
      </c>
      <c r="J67" s="6">
        <v>671437</v>
      </c>
      <c r="K67" s="6">
        <v>1014</v>
      </c>
      <c r="L67" s="6">
        <v>11989.95</v>
      </c>
      <c r="M67" s="6">
        <v>18.11</v>
      </c>
      <c r="N67" s="7">
        <v>6004.03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20173.54</v>
      </c>
      <c r="U67" s="6">
        <v>18012.09</v>
      </c>
      <c r="V67" s="6">
        <v>360.24</v>
      </c>
      <c r="AI67" s="2">
        <v>671437</v>
      </c>
      <c r="AJ67" s="2">
        <v>1014</v>
      </c>
      <c r="AK67" s="2">
        <v>11989.95</v>
      </c>
      <c r="AL67" s="2">
        <v>18.11</v>
      </c>
      <c r="AM67" s="5">
        <v>6004.03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20173.54</v>
      </c>
      <c r="AT67" s="12">
        <v>18012.09</v>
      </c>
      <c r="AU67" s="2">
        <v>360.24</v>
      </c>
      <c r="BL67" s="1" t="s">
        <v>130</v>
      </c>
    </row>
    <row r="68" spans="1:64" x14ac:dyDescent="0.3">
      <c r="A68" t="s">
        <v>524</v>
      </c>
      <c r="B68" s="1" t="s">
        <v>528</v>
      </c>
      <c r="C68" s="9" t="s">
        <v>529</v>
      </c>
      <c r="D68" s="1" t="s">
        <v>41</v>
      </c>
      <c r="E68" s="1" t="s">
        <v>128</v>
      </c>
      <c r="F68" s="10" t="s">
        <v>372</v>
      </c>
      <c r="G68" s="1">
        <v>0</v>
      </c>
      <c r="H68" s="1">
        <v>0.02</v>
      </c>
      <c r="I68" s="8">
        <v>45242</v>
      </c>
      <c r="J68" s="6">
        <v>220123.5</v>
      </c>
      <c r="K68" s="6">
        <v>18187</v>
      </c>
      <c r="L68" s="6">
        <v>3930.78</v>
      </c>
      <c r="M68" s="6">
        <v>324.77</v>
      </c>
      <c r="N68" s="7">
        <v>2127.77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7149.32</v>
      </c>
      <c r="U68" s="6">
        <v>6383.32</v>
      </c>
      <c r="V68" s="6">
        <v>127.67</v>
      </c>
      <c r="AI68" s="2">
        <v>220123.5</v>
      </c>
      <c r="AJ68" s="2">
        <v>18187</v>
      </c>
      <c r="AK68" s="2">
        <v>3930.78</v>
      </c>
      <c r="AL68" s="2">
        <v>324.77</v>
      </c>
      <c r="AM68" s="5">
        <v>2127.77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7149.32</v>
      </c>
      <c r="AT68" s="12">
        <v>6383.32</v>
      </c>
      <c r="AU68" s="2">
        <v>127.67</v>
      </c>
      <c r="BL68" s="1" t="s">
        <v>130</v>
      </c>
    </row>
    <row r="69" spans="1:64" x14ac:dyDescent="0.3">
      <c r="A69" t="s">
        <v>524</v>
      </c>
      <c r="B69" s="1" t="s">
        <v>530</v>
      </c>
      <c r="C69" s="9" t="s">
        <v>531</v>
      </c>
      <c r="D69" s="1" t="s">
        <v>41</v>
      </c>
      <c r="E69" s="1" t="s">
        <v>128</v>
      </c>
      <c r="F69" s="10" t="s">
        <v>372</v>
      </c>
      <c r="G69" s="1">
        <v>0</v>
      </c>
      <c r="H69" s="1">
        <v>0.02</v>
      </c>
      <c r="I69" s="8">
        <v>45357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AI69" s="2">
        <v>0</v>
      </c>
      <c r="AJ69" s="2">
        <v>0</v>
      </c>
      <c r="AK69" s="2">
        <v>0</v>
      </c>
      <c r="AL69" s="2">
        <v>0</v>
      </c>
      <c r="AM69" s="5">
        <v>0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0</v>
      </c>
      <c r="AT69" s="12">
        <v>0</v>
      </c>
      <c r="AU69" s="2">
        <v>0</v>
      </c>
      <c r="BL69" s="1" t="s">
        <v>130</v>
      </c>
    </row>
    <row r="70" spans="1:64" x14ac:dyDescent="0.3">
      <c r="A70" t="s">
        <v>627</v>
      </c>
      <c r="B70" s="1" t="s">
        <v>627</v>
      </c>
      <c r="C70" s="9" t="s">
        <v>628</v>
      </c>
      <c r="D70" s="1" t="s">
        <v>41</v>
      </c>
      <c r="E70" s="1" t="s">
        <v>135</v>
      </c>
      <c r="F70" s="10" t="s">
        <v>462</v>
      </c>
      <c r="G70" s="1">
        <v>3.5000000000000003E-2</v>
      </c>
      <c r="H70" s="1">
        <v>0.02</v>
      </c>
      <c r="I70" s="8">
        <v>45017</v>
      </c>
      <c r="J70" s="6">
        <v>626733.65</v>
      </c>
      <c r="K70" s="6">
        <v>116196.25</v>
      </c>
      <c r="L70" s="6">
        <v>11191.67</v>
      </c>
      <c r="M70" s="6">
        <v>2074.94</v>
      </c>
      <c r="N70" s="7">
        <v>6633.3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22287.9</v>
      </c>
      <c r="U70" s="6">
        <v>19899.91</v>
      </c>
      <c r="V70" s="6">
        <v>398</v>
      </c>
      <c r="AI70" s="2">
        <v>626733.65</v>
      </c>
      <c r="AJ70" s="2">
        <v>116196.25</v>
      </c>
      <c r="AK70" s="2">
        <v>11191.67</v>
      </c>
      <c r="AL70" s="2">
        <v>2074.94</v>
      </c>
      <c r="AM70" s="5">
        <v>6633.3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22287.9</v>
      </c>
      <c r="AT70" s="12">
        <v>19899.91</v>
      </c>
      <c r="AU70" s="2">
        <v>398</v>
      </c>
      <c r="BL70" s="1" t="s">
        <v>302</v>
      </c>
    </row>
    <row r="71" spans="1:64" x14ac:dyDescent="0.3">
      <c r="A71" t="s">
        <v>656</v>
      </c>
      <c r="B71" s="1" t="s">
        <v>656</v>
      </c>
      <c r="C71" s="9" t="s">
        <v>657</v>
      </c>
      <c r="D71" s="1" t="s">
        <v>41</v>
      </c>
      <c r="E71" s="1" t="s">
        <v>128</v>
      </c>
      <c r="F71" s="10" t="s">
        <v>372</v>
      </c>
      <c r="G71" s="1">
        <v>3.5000000000000003E-2</v>
      </c>
      <c r="H71" s="1">
        <v>0.02</v>
      </c>
      <c r="I71" s="8">
        <v>45276</v>
      </c>
      <c r="J71" s="6">
        <v>829904.33999999985</v>
      </c>
      <c r="K71" s="6">
        <v>59629.85</v>
      </c>
      <c r="L71" s="6">
        <v>14819.72</v>
      </c>
      <c r="M71" s="6">
        <v>1064.82</v>
      </c>
      <c r="N71" s="7">
        <v>7942.27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26686.03</v>
      </c>
      <c r="U71" s="6">
        <v>23826.809999999998</v>
      </c>
      <c r="V71" s="6">
        <v>476.54</v>
      </c>
      <c r="AI71" s="2">
        <v>829904.33999999985</v>
      </c>
      <c r="AJ71" s="2">
        <v>59629.85</v>
      </c>
      <c r="AK71" s="2">
        <v>14819.72</v>
      </c>
      <c r="AL71" s="2">
        <v>1064.82</v>
      </c>
      <c r="AM71" s="5">
        <v>7942.27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26686.03</v>
      </c>
      <c r="AT71" s="12">
        <v>23826.809999999998</v>
      </c>
      <c r="AU71" s="2">
        <v>476.54</v>
      </c>
      <c r="BL71" s="1" t="s">
        <v>130</v>
      </c>
    </row>
    <row r="72" spans="1:64" x14ac:dyDescent="0.3">
      <c r="A72" t="s">
        <v>662</v>
      </c>
      <c r="B72" s="1" t="s">
        <v>662</v>
      </c>
      <c r="C72" s="9" t="s">
        <v>663</v>
      </c>
      <c r="D72" s="1" t="s">
        <v>41</v>
      </c>
      <c r="E72" s="1" t="s">
        <v>88</v>
      </c>
      <c r="F72" s="10" t="s">
        <v>664</v>
      </c>
      <c r="G72" s="1">
        <v>3.5000000000000003E-2</v>
      </c>
      <c r="H72" s="1">
        <v>0.02</v>
      </c>
      <c r="I72" s="8">
        <v>45342</v>
      </c>
      <c r="J72" s="6">
        <v>625788</v>
      </c>
      <c r="K72" s="6">
        <v>55366</v>
      </c>
      <c r="L72" s="6">
        <v>11174.79</v>
      </c>
      <c r="M72" s="6">
        <v>988.68</v>
      </c>
      <c r="N72" s="7">
        <v>6081.73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20434.62</v>
      </c>
      <c r="U72" s="6">
        <v>18245.2</v>
      </c>
      <c r="V72" s="6">
        <v>364.9</v>
      </c>
      <c r="AI72" s="2">
        <v>625788</v>
      </c>
      <c r="AJ72" s="2">
        <v>55366</v>
      </c>
      <c r="AK72" s="2">
        <v>11174.79</v>
      </c>
      <c r="AL72" s="2">
        <v>988.68</v>
      </c>
      <c r="AM72" s="5">
        <v>6081.73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20434.62</v>
      </c>
      <c r="AT72" s="12">
        <v>18245.2</v>
      </c>
      <c r="AU72" s="2">
        <v>364.9</v>
      </c>
      <c r="BL72" s="1" t="s">
        <v>546</v>
      </c>
    </row>
    <row r="73" spans="1:64" x14ac:dyDescent="0.3">
      <c r="A73" t="s">
        <v>669</v>
      </c>
      <c r="B73" s="1" t="s">
        <v>669</v>
      </c>
      <c r="C73" s="9" t="s">
        <v>670</v>
      </c>
      <c r="D73" s="1" t="s">
        <v>41</v>
      </c>
      <c r="E73" s="1" t="s">
        <v>88</v>
      </c>
      <c r="F73" s="10" t="s">
        <v>671</v>
      </c>
      <c r="G73" s="1">
        <v>0</v>
      </c>
      <c r="H73" s="1">
        <v>0.02</v>
      </c>
      <c r="I73" s="8">
        <v>45620</v>
      </c>
      <c r="J73" s="6">
        <v>316121</v>
      </c>
      <c r="K73" s="6">
        <v>51218</v>
      </c>
      <c r="L73" s="6">
        <v>5645.02</v>
      </c>
      <c r="M73" s="6">
        <v>914.61</v>
      </c>
      <c r="N73" s="7">
        <v>3279.81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11020.17</v>
      </c>
      <c r="U73" s="6">
        <v>9839.44</v>
      </c>
      <c r="V73" s="6">
        <v>196.79</v>
      </c>
      <c r="AI73" s="2">
        <v>316121</v>
      </c>
      <c r="AJ73" s="2">
        <v>51218</v>
      </c>
      <c r="AK73" s="2">
        <v>5645.02</v>
      </c>
      <c r="AL73" s="2">
        <v>914.61</v>
      </c>
      <c r="AM73" s="5">
        <v>3279.81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11020.17</v>
      </c>
      <c r="AT73" s="12">
        <v>9839.44</v>
      </c>
      <c r="AU73" s="2">
        <v>196.79</v>
      </c>
      <c r="BL73" s="1" t="s">
        <v>90</v>
      </c>
    </row>
    <row r="74" spans="1:64" x14ac:dyDescent="0.3">
      <c r="A74" t="s">
        <v>676</v>
      </c>
      <c r="B74" s="1" t="s">
        <v>676</v>
      </c>
      <c r="C74" s="9" t="s">
        <v>677</v>
      </c>
      <c r="D74" s="1" t="s">
        <v>41</v>
      </c>
      <c r="E74" s="1" t="s">
        <v>88</v>
      </c>
      <c r="F74" s="10" t="s">
        <v>664</v>
      </c>
      <c r="G74" s="1">
        <v>0</v>
      </c>
      <c r="H74" s="1">
        <v>0.02</v>
      </c>
      <c r="I74" s="8">
        <v>45683</v>
      </c>
      <c r="J74" s="6">
        <v>502485</v>
      </c>
      <c r="K74" s="6">
        <v>91400</v>
      </c>
      <c r="L74" s="6">
        <v>8972.9500000000007</v>
      </c>
      <c r="M74" s="6">
        <v>1632.14</v>
      </c>
      <c r="N74" s="7">
        <v>5302.54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17816.55</v>
      </c>
      <c r="U74" s="6">
        <v>15907.630000000001</v>
      </c>
      <c r="V74" s="6">
        <v>318.14999999999998</v>
      </c>
      <c r="AI74" s="2">
        <v>502485</v>
      </c>
      <c r="AJ74" s="2">
        <v>91400</v>
      </c>
      <c r="AK74" s="2">
        <v>8972.9500000000007</v>
      </c>
      <c r="AL74" s="2">
        <v>1632.14</v>
      </c>
      <c r="AM74" s="5">
        <v>5302.54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17816.55</v>
      </c>
      <c r="AT74" s="12">
        <v>15907.630000000001</v>
      </c>
      <c r="AU74" s="2">
        <v>318.14999999999998</v>
      </c>
      <c r="BL74" s="1" t="s">
        <v>546</v>
      </c>
    </row>
    <row r="75" spans="1:64" x14ac:dyDescent="0.3">
      <c r="A75" t="s">
        <v>690</v>
      </c>
      <c r="B75" s="1" t="s">
        <v>690</v>
      </c>
      <c r="C75" s="9" t="s">
        <v>691</v>
      </c>
      <c r="D75" s="1" t="s">
        <v>41</v>
      </c>
      <c r="E75" s="1" t="s">
        <v>88</v>
      </c>
      <c r="F75" s="10" t="s">
        <v>664</v>
      </c>
      <c r="G75" s="1">
        <v>0</v>
      </c>
      <c r="H75" s="1">
        <v>0.02</v>
      </c>
      <c r="I75" s="8">
        <v>44013</v>
      </c>
      <c r="J75" s="6">
        <v>402048</v>
      </c>
      <c r="K75" s="6">
        <v>88964</v>
      </c>
      <c r="L75" s="6">
        <v>7179.43</v>
      </c>
      <c r="M75" s="6">
        <v>1588.64</v>
      </c>
      <c r="N75" s="7">
        <v>4384.04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14730.36</v>
      </c>
      <c r="U75" s="6">
        <v>13152.11</v>
      </c>
      <c r="V75" s="6">
        <v>263.04000000000002</v>
      </c>
      <c r="AI75" s="2">
        <v>402048</v>
      </c>
      <c r="AJ75" s="2">
        <v>88964</v>
      </c>
      <c r="AK75" s="2">
        <v>7179.43</v>
      </c>
      <c r="AL75" s="2">
        <v>1588.64</v>
      </c>
      <c r="AM75" s="5">
        <v>4384.04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14730.36</v>
      </c>
      <c r="AT75" s="12">
        <v>13152.11</v>
      </c>
      <c r="AU75" s="2">
        <v>263.04000000000002</v>
      </c>
      <c r="BL75" s="1" t="s">
        <v>546</v>
      </c>
    </row>
    <row r="76" spans="1:64" x14ac:dyDescent="0.3">
      <c r="A76" t="s">
        <v>692</v>
      </c>
      <c r="B76" s="1" t="s">
        <v>692</v>
      </c>
      <c r="C76" s="9" t="s">
        <v>693</v>
      </c>
      <c r="D76" s="1" t="s">
        <v>41</v>
      </c>
      <c r="E76" s="1" t="s">
        <v>128</v>
      </c>
      <c r="F76" s="10" t="s">
        <v>372</v>
      </c>
      <c r="G76" s="1">
        <v>3.5000000000000003E-2</v>
      </c>
      <c r="H76" s="1">
        <v>0.02</v>
      </c>
      <c r="I76" s="8">
        <v>44011</v>
      </c>
      <c r="J76" s="6">
        <v>316191</v>
      </c>
      <c r="K76" s="6">
        <v>72984</v>
      </c>
      <c r="L76" s="6">
        <v>5646.27</v>
      </c>
      <c r="M76" s="6">
        <v>1303.29</v>
      </c>
      <c r="N76" s="7">
        <v>3474.78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11675.26</v>
      </c>
      <c r="U76" s="6">
        <v>10424.34</v>
      </c>
      <c r="V76" s="6">
        <v>208.49</v>
      </c>
      <c r="AI76" s="2">
        <v>316191</v>
      </c>
      <c r="AJ76" s="2">
        <v>72984</v>
      </c>
      <c r="AK76" s="2">
        <v>5646.27</v>
      </c>
      <c r="AL76" s="2">
        <v>1303.29</v>
      </c>
      <c r="AM76" s="5">
        <v>3474.78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11675.26</v>
      </c>
      <c r="AT76" s="12">
        <v>10424.34</v>
      </c>
      <c r="AU76" s="2">
        <v>208.49</v>
      </c>
      <c r="BL76" s="1" t="s">
        <v>130</v>
      </c>
    </row>
    <row r="77" spans="1:64" x14ac:dyDescent="0.3">
      <c r="A77" t="s">
        <v>692</v>
      </c>
      <c r="B77" s="1" t="s">
        <v>694</v>
      </c>
      <c r="C77" s="9" t="s">
        <v>695</v>
      </c>
      <c r="D77" s="1" t="s">
        <v>41</v>
      </c>
      <c r="E77" s="1" t="s">
        <v>128</v>
      </c>
      <c r="F77" s="10" t="s">
        <v>372</v>
      </c>
      <c r="G77" s="1">
        <v>3.5000000000000003E-2</v>
      </c>
      <c r="H77" s="1">
        <v>0.02</v>
      </c>
      <c r="I77" s="8">
        <v>44011</v>
      </c>
      <c r="J77" s="6">
        <v>158079</v>
      </c>
      <c r="K77" s="6">
        <v>46473</v>
      </c>
      <c r="L77" s="6">
        <v>2822.84</v>
      </c>
      <c r="M77" s="6">
        <v>829.88</v>
      </c>
      <c r="N77" s="7">
        <v>1826.36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6136.57</v>
      </c>
      <c r="U77" s="6">
        <v>5479.08</v>
      </c>
      <c r="V77" s="6">
        <v>109.58</v>
      </c>
      <c r="AI77" s="2">
        <v>158079</v>
      </c>
      <c r="AJ77" s="2">
        <v>46473</v>
      </c>
      <c r="AK77" s="2">
        <v>2822.84</v>
      </c>
      <c r="AL77" s="2">
        <v>829.88</v>
      </c>
      <c r="AM77" s="5">
        <v>1826.36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6136.57</v>
      </c>
      <c r="AT77" s="12">
        <v>5479.08</v>
      </c>
      <c r="AU77" s="2">
        <v>109.58</v>
      </c>
      <c r="BL77" s="1" t="s">
        <v>130</v>
      </c>
    </row>
    <row r="78" spans="1:64" x14ac:dyDescent="0.3">
      <c r="A78" t="s">
        <v>692</v>
      </c>
      <c r="B78" s="1" t="s">
        <v>696</v>
      </c>
      <c r="C78" s="9" t="s">
        <v>697</v>
      </c>
      <c r="D78" s="1" t="s">
        <v>41</v>
      </c>
      <c r="E78" s="1" t="s">
        <v>128</v>
      </c>
      <c r="F78" s="10" t="s">
        <v>372</v>
      </c>
      <c r="G78" s="1">
        <v>0</v>
      </c>
      <c r="H78" s="1">
        <v>0.02</v>
      </c>
      <c r="I78" s="8">
        <v>44687</v>
      </c>
      <c r="J78" s="6">
        <v>126980</v>
      </c>
      <c r="K78" s="6">
        <v>22780</v>
      </c>
      <c r="L78" s="6">
        <v>2267.5</v>
      </c>
      <c r="M78" s="6">
        <v>406.79</v>
      </c>
      <c r="N78" s="7">
        <v>1337.14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4492.8</v>
      </c>
      <c r="U78" s="6">
        <v>4011.4300000000003</v>
      </c>
      <c r="V78" s="6">
        <v>80.23</v>
      </c>
      <c r="AI78" s="2">
        <v>126980</v>
      </c>
      <c r="AJ78" s="2">
        <v>22780</v>
      </c>
      <c r="AK78" s="2">
        <v>2267.5</v>
      </c>
      <c r="AL78" s="2">
        <v>406.79</v>
      </c>
      <c r="AM78" s="5">
        <v>1337.14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4492.8</v>
      </c>
      <c r="AT78" s="12">
        <v>4011.4300000000003</v>
      </c>
      <c r="AU78" s="2">
        <v>80.23</v>
      </c>
      <c r="BL78" s="1" t="s">
        <v>130</v>
      </c>
    </row>
    <row r="79" spans="1:64" x14ac:dyDescent="0.3">
      <c r="A79" t="s">
        <v>692</v>
      </c>
      <c r="B79" s="1" t="s">
        <v>698</v>
      </c>
      <c r="C79" s="9" t="s">
        <v>699</v>
      </c>
      <c r="D79" s="1" t="s">
        <v>41</v>
      </c>
      <c r="E79" s="1" t="s">
        <v>128</v>
      </c>
      <c r="F79" s="10" t="s">
        <v>372</v>
      </c>
      <c r="G79" s="1">
        <v>0</v>
      </c>
      <c r="H79" s="1">
        <v>0.02</v>
      </c>
      <c r="I79" s="8">
        <v>44713</v>
      </c>
      <c r="J79" s="6">
        <v>201394</v>
      </c>
      <c r="K79" s="6">
        <v>5744</v>
      </c>
      <c r="L79" s="6">
        <v>3596.32</v>
      </c>
      <c r="M79" s="6">
        <v>102.57</v>
      </c>
      <c r="N79" s="7">
        <v>1849.45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6214.14</v>
      </c>
      <c r="U79" s="6">
        <v>5548.34</v>
      </c>
      <c r="V79" s="6">
        <v>110.97</v>
      </c>
      <c r="AI79" s="2">
        <v>201394</v>
      </c>
      <c r="AJ79" s="2">
        <v>5744</v>
      </c>
      <c r="AK79" s="2">
        <v>3596.32</v>
      </c>
      <c r="AL79" s="2">
        <v>102.57</v>
      </c>
      <c r="AM79" s="5">
        <v>1849.45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6214.14</v>
      </c>
      <c r="AT79" s="12">
        <v>5548.34</v>
      </c>
      <c r="AU79" s="2">
        <v>110.97</v>
      </c>
      <c r="BL79" s="1" t="s">
        <v>130</v>
      </c>
    </row>
    <row r="80" spans="1:64" x14ac:dyDescent="0.3">
      <c r="A80" t="s">
        <v>692</v>
      </c>
      <c r="B80" s="1" t="s">
        <v>700</v>
      </c>
      <c r="C80" s="9" t="s">
        <v>701</v>
      </c>
      <c r="D80" s="1" t="s">
        <v>41</v>
      </c>
      <c r="E80" s="1" t="s">
        <v>128</v>
      </c>
      <c r="F80" s="10" t="s">
        <v>372</v>
      </c>
      <c r="G80" s="1">
        <v>0</v>
      </c>
      <c r="H80" s="1">
        <v>0.02</v>
      </c>
      <c r="I80" s="8">
        <v>45294</v>
      </c>
      <c r="J80" s="6">
        <v>100134</v>
      </c>
      <c r="K80" s="6">
        <v>13256</v>
      </c>
      <c r="L80" s="6">
        <v>1788.11</v>
      </c>
      <c r="M80" s="6">
        <v>236.71</v>
      </c>
      <c r="N80" s="7">
        <v>1012.41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3401.7</v>
      </c>
      <c r="U80" s="6">
        <v>3037.23</v>
      </c>
      <c r="V80" s="6">
        <v>60.74</v>
      </c>
      <c r="AI80" s="2">
        <v>100134</v>
      </c>
      <c r="AJ80" s="2">
        <v>13256</v>
      </c>
      <c r="AK80" s="2">
        <v>1788.11</v>
      </c>
      <c r="AL80" s="2">
        <v>236.71</v>
      </c>
      <c r="AM80" s="5">
        <v>1012.41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3401.7</v>
      </c>
      <c r="AT80" s="12">
        <v>3037.23</v>
      </c>
      <c r="AU80" s="2">
        <v>60.74</v>
      </c>
      <c r="BL80" s="1" t="s">
        <v>130</v>
      </c>
    </row>
    <row r="81" spans="1:64" x14ac:dyDescent="0.3">
      <c r="A81" t="s">
        <v>781</v>
      </c>
      <c r="B81" s="1" t="s">
        <v>781</v>
      </c>
      <c r="C81" s="9" t="s">
        <v>782</v>
      </c>
      <c r="D81" s="1" t="s">
        <v>41</v>
      </c>
      <c r="E81" s="1" t="s">
        <v>88</v>
      </c>
      <c r="F81" s="10" t="s">
        <v>664</v>
      </c>
      <c r="G81" s="1">
        <v>0</v>
      </c>
      <c r="H81" s="1">
        <v>0.02</v>
      </c>
      <c r="I81" s="8">
        <v>44647</v>
      </c>
      <c r="J81" s="6">
        <v>294429</v>
      </c>
      <c r="K81" s="6">
        <v>49265</v>
      </c>
      <c r="L81" s="6">
        <v>5257.66</v>
      </c>
      <c r="M81" s="6">
        <v>879.73</v>
      </c>
      <c r="N81" s="7">
        <v>3068.7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10310.82</v>
      </c>
      <c r="U81" s="6">
        <v>9206.09</v>
      </c>
      <c r="V81" s="6">
        <v>184.12</v>
      </c>
      <c r="AI81" s="2">
        <v>294429</v>
      </c>
      <c r="AJ81" s="2">
        <v>49265</v>
      </c>
      <c r="AK81" s="2">
        <v>5257.66</v>
      </c>
      <c r="AL81" s="2">
        <v>879.73</v>
      </c>
      <c r="AM81" s="5">
        <v>3068.7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10310.82</v>
      </c>
      <c r="AT81" s="12">
        <v>9206.09</v>
      </c>
      <c r="AU81" s="2">
        <v>184.12</v>
      </c>
      <c r="BL81" s="1" t="s">
        <v>546</v>
      </c>
    </row>
    <row r="82" spans="1:64" x14ac:dyDescent="0.3">
      <c r="A82" t="s">
        <v>781</v>
      </c>
      <c r="B82" s="1" t="s">
        <v>783</v>
      </c>
      <c r="C82" s="9" t="s">
        <v>784</v>
      </c>
      <c r="D82" s="1" t="s">
        <v>41</v>
      </c>
      <c r="E82" s="1" t="s">
        <v>88</v>
      </c>
      <c r="F82" s="10" t="s">
        <v>664</v>
      </c>
      <c r="G82" s="1">
        <v>0</v>
      </c>
      <c r="H82" s="1">
        <v>0.02</v>
      </c>
      <c r="I82" s="8">
        <v>44647</v>
      </c>
      <c r="J82" s="6">
        <v>168918</v>
      </c>
      <c r="K82" s="6">
        <v>44722</v>
      </c>
      <c r="L82" s="6">
        <v>3016.39</v>
      </c>
      <c r="M82" s="6">
        <v>798.61</v>
      </c>
      <c r="N82" s="7">
        <v>1907.5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6409.2</v>
      </c>
      <c r="U82" s="6">
        <v>5722.5</v>
      </c>
      <c r="V82" s="6">
        <v>114.45</v>
      </c>
      <c r="AI82" s="2">
        <v>168918</v>
      </c>
      <c r="AJ82" s="2">
        <v>44722</v>
      </c>
      <c r="AK82" s="2">
        <v>3016.39</v>
      </c>
      <c r="AL82" s="2">
        <v>798.61</v>
      </c>
      <c r="AM82" s="5">
        <v>1907.5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6409.2</v>
      </c>
      <c r="AT82" s="12">
        <v>5722.5</v>
      </c>
      <c r="AU82" s="2">
        <v>114.45</v>
      </c>
      <c r="BL82" s="1" t="s">
        <v>546</v>
      </c>
    </row>
    <row r="83" spans="1:64" x14ac:dyDescent="0.3">
      <c r="A83" t="s">
        <v>795</v>
      </c>
      <c r="B83" s="1" t="s">
        <v>795</v>
      </c>
      <c r="C83" s="9" t="s">
        <v>796</v>
      </c>
      <c r="D83" s="1" t="s">
        <v>41</v>
      </c>
      <c r="E83" s="1" t="s">
        <v>135</v>
      </c>
      <c r="F83" s="10" t="s">
        <v>797</v>
      </c>
      <c r="G83" s="1">
        <v>0</v>
      </c>
      <c r="H83" s="1">
        <v>0.02</v>
      </c>
      <c r="I83" s="8">
        <v>44804</v>
      </c>
      <c r="J83" s="6">
        <v>171746</v>
      </c>
      <c r="K83" s="6">
        <v>35320</v>
      </c>
      <c r="L83" s="6">
        <v>3066.89</v>
      </c>
      <c r="M83" s="6">
        <v>630.71</v>
      </c>
      <c r="N83" s="7">
        <v>1848.8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6211.97</v>
      </c>
      <c r="U83" s="6">
        <v>5546.4</v>
      </c>
      <c r="V83" s="6">
        <v>110.93</v>
      </c>
      <c r="AI83" s="2">
        <v>171746</v>
      </c>
      <c r="AJ83" s="2">
        <v>35320</v>
      </c>
      <c r="AK83" s="2">
        <v>3066.89</v>
      </c>
      <c r="AL83" s="2">
        <v>630.71</v>
      </c>
      <c r="AM83" s="5">
        <v>1848.8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6211.97</v>
      </c>
      <c r="AT83" s="12">
        <v>5546.4</v>
      </c>
      <c r="AU83" s="2">
        <v>110.93</v>
      </c>
      <c r="BL83" s="1" t="s">
        <v>302</v>
      </c>
    </row>
    <row r="84" spans="1:64" x14ac:dyDescent="0.3">
      <c r="A84" t="s">
        <v>795</v>
      </c>
      <c r="B84" s="1" t="s">
        <v>798</v>
      </c>
      <c r="C84" s="9" t="s">
        <v>799</v>
      </c>
      <c r="D84" s="1" t="s">
        <v>41</v>
      </c>
      <c r="E84" s="1" t="s">
        <v>135</v>
      </c>
      <c r="F84" s="10" t="s">
        <v>797</v>
      </c>
      <c r="G84" s="1">
        <v>0</v>
      </c>
      <c r="H84" s="1">
        <v>0.02</v>
      </c>
      <c r="I84" s="8">
        <v>45565</v>
      </c>
      <c r="J84" s="6">
        <v>105676</v>
      </c>
      <c r="K84" s="6">
        <v>33446</v>
      </c>
      <c r="L84" s="6">
        <v>1887.07</v>
      </c>
      <c r="M84" s="6">
        <v>597.25</v>
      </c>
      <c r="N84" s="7">
        <v>1242.1600000000001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4173.66</v>
      </c>
      <c r="U84" s="6">
        <v>3726.4799999999996</v>
      </c>
      <c r="V84" s="6">
        <v>74.53</v>
      </c>
      <c r="AI84" s="2">
        <v>105676</v>
      </c>
      <c r="AJ84" s="2">
        <v>33446</v>
      </c>
      <c r="AK84" s="2">
        <v>1887.07</v>
      </c>
      <c r="AL84" s="2">
        <v>597.25</v>
      </c>
      <c r="AM84" s="5">
        <v>1242.1600000000001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4173.66</v>
      </c>
      <c r="AT84" s="12">
        <v>3726.4799999999996</v>
      </c>
      <c r="AU84" s="2">
        <v>74.53</v>
      </c>
      <c r="BL84" s="1" t="s">
        <v>302</v>
      </c>
    </row>
    <row r="85" spans="1:64" x14ac:dyDescent="0.3">
      <c r="A85" t="s">
        <v>816</v>
      </c>
      <c r="B85" s="1" t="s">
        <v>816</v>
      </c>
      <c r="C85" s="9" t="s">
        <v>817</v>
      </c>
      <c r="D85" s="1" t="s">
        <v>41</v>
      </c>
      <c r="E85" s="1" t="s">
        <v>135</v>
      </c>
      <c r="F85" s="10" t="s">
        <v>797</v>
      </c>
      <c r="G85" s="1">
        <v>0</v>
      </c>
      <c r="H85" s="1">
        <v>0.02</v>
      </c>
      <c r="I85" s="8">
        <v>44951</v>
      </c>
      <c r="J85" s="6">
        <v>686588</v>
      </c>
      <c r="K85" s="6">
        <v>101130</v>
      </c>
      <c r="L85" s="6">
        <v>12260.5</v>
      </c>
      <c r="M85" s="6">
        <v>1805.89</v>
      </c>
      <c r="N85" s="7">
        <v>7033.2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23631.54</v>
      </c>
      <c r="U85" s="6">
        <v>21099.59</v>
      </c>
      <c r="V85" s="6">
        <v>421.99</v>
      </c>
      <c r="AI85" s="2">
        <v>686588</v>
      </c>
      <c r="AJ85" s="2">
        <v>101130</v>
      </c>
      <c r="AK85" s="2">
        <v>12260.5</v>
      </c>
      <c r="AL85" s="2">
        <v>1805.89</v>
      </c>
      <c r="AM85" s="5">
        <v>7033.2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23631.54</v>
      </c>
      <c r="AT85" s="12">
        <v>21099.59</v>
      </c>
      <c r="AU85" s="2">
        <v>421.99</v>
      </c>
      <c r="BL85" s="1" t="s">
        <v>302</v>
      </c>
    </row>
    <row r="86" spans="1:64" x14ac:dyDescent="0.3">
      <c r="A86" t="s">
        <v>816</v>
      </c>
      <c r="B86" s="1" t="s">
        <v>818</v>
      </c>
      <c r="C86" s="9" t="s">
        <v>819</v>
      </c>
      <c r="D86" s="1" t="s">
        <v>41</v>
      </c>
      <c r="E86" s="1" t="s">
        <v>135</v>
      </c>
      <c r="F86" s="10" t="s">
        <v>797</v>
      </c>
      <c r="G86" s="1">
        <v>0</v>
      </c>
      <c r="H86" s="1">
        <v>0.02</v>
      </c>
      <c r="I86" s="8">
        <v>44951</v>
      </c>
      <c r="J86" s="6">
        <v>258665</v>
      </c>
      <c r="K86" s="6">
        <v>50847</v>
      </c>
      <c r="L86" s="6">
        <v>4619.0200000000004</v>
      </c>
      <c r="M86" s="6">
        <v>907.98</v>
      </c>
      <c r="N86" s="7">
        <v>2763.5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9285.36</v>
      </c>
      <c r="U86" s="6">
        <v>8290.5</v>
      </c>
      <c r="V86" s="6">
        <v>165.81</v>
      </c>
      <c r="AI86" s="2">
        <v>258665</v>
      </c>
      <c r="AJ86" s="2">
        <v>50847</v>
      </c>
      <c r="AK86" s="2">
        <v>4619.0200000000004</v>
      </c>
      <c r="AL86" s="2">
        <v>907.98</v>
      </c>
      <c r="AM86" s="5">
        <v>2763.5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9285.36</v>
      </c>
      <c r="AT86" s="12">
        <v>8290.5</v>
      </c>
      <c r="AU86" s="2">
        <v>165.81</v>
      </c>
      <c r="BL86" s="1" t="s">
        <v>302</v>
      </c>
    </row>
    <row r="87" spans="1:64" x14ac:dyDescent="0.3">
      <c r="A87" t="s">
        <v>824</v>
      </c>
      <c r="B87" s="1" t="s">
        <v>824</v>
      </c>
      <c r="C87" s="9" t="s">
        <v>825</v>
      </c>
      <c r="D87" s="1" t="s">
        <v>41</v>
      </c>
      <c r="E87" s="1" t="s">
        <v>135</v>
      </c>
      <c r="F87" s="10" t="s">
        <v>826</v>
      </c>
      <c r="G87" s="1">
        <v>0</v>
      </c>
      <c r="H87" s="1">
        <v>0.02</v>
      </c>
      <c r="I87" s="8">
        <v>45075</v>
      </c>
      <c r="J87" s="6">
        <v>494825</v>
      </c>
      <c r="K87" s="6">
        <v>62442</v>
      </c>
      <c r="L87" s="6">
        <v>8836.16</v>
      </c>
      <c r="M87" s="6">
        <v>1115.04</v>
      </c>
      <c r="N87" s="7">
        <v>4975.6000000000004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16718.02</v>
      </c>
      <c r="U87" s="6">
        <v>14926.800000000001</v>
      </c>
      <c r="V87" s="6">
        <v>298.54000000000002</v>
      </c>
      <c r="AI87" s="2">
        <v>494825</v>
      </c>
      <c r="AJ87" s="2">
        <v>62442</v>
      </c>
      <c r="AK87" s="2">
        <v>8836.16</v>
      </c>
      <c r="AL87" s="2">
        <v>1115.04</v>
      </c>
      <c r="AM87" s="5">
        <v>4975.6000000000004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16718.02</v>
      </c>
      <c r="AT87" s="12">
        <v>14926.800000000001</v>
      </c>
      <c r="AU87" s="2">
        <v>298.54000000000002</v>
      </c>
      <c r="BL87" s="1" t="s">
        <v>302</v>
      </c>
    </row>
    <row r="88" spans="1:64" x14ac:dyDescent="0.3">
      <c r="A88" t="s">
        <v>886</v>
      </c>
      <c r="B88" s="1" t="s">
        <v>886</v>
      </c>
      <c r="C88" s="9" t="s">
        <v>887</v>
      </c>
      <c r="D88" s="1" t="s">
        <v>41</v>
      </c>
      <c r="E88" s="1" t="s">
        <v>135</v>
      </c>
      <c r="F88" s="10" t="s">
        <v>797</v>
      </c>
      <c r="G88" s="1">
        <v>0</v>
      </c>
      <c r="H88" s="1">
        <v>0.02</v>
      </c>
      <c r="I88" s="8">
        <v>45278</v>
      </c>
      <c r="J88" s="6">
        <v>665171</v>
      </c>
      <c r="K88" s="6">
        <v>126960</v>
      </c>
      <c r="L88" s="6">
        <v>11878.05</v>
      </c>
      <c r="M88" s="6">
        <v>2267.14</v>
      </c>
      <c r="N88" s="7">
        <v>7072.6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23763.919999999998</v>
      </c>
      <c r="U88" s="6">
        <v>21217.79</v>
      </c>
      <c r="V88" s="6">
        <v>424.36</v>
      </c>
      <c r="AI88" s="2">
        <v>665171</v>
      </c>
      <c r="AJ88" s="2">
        <v>126960</v>
      </c>
      <c r="AK88" s="2">
        <v>11878.05</v>
      </c>
      <c r="AL88" s="2">
        <v>2267.14</v>
      </c>
      <c r="AM88" s="5">
        <v>7072.6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23763.919999999998</v>
      </c>
      <c r="AT88" s="12">
        <v>21217.79</v>
      </c>
      <c r="AU88" s="2">
        <v>424.36</v>
      </c>
      <c r="BL88" s="1" t="s">
        <v>302</v>
      </c>
    </row>
    <row r="89" spans="1:64" x14ac:dyDescent="0.3">
      <c r="A89" t="s">
        <v>898</v>
      </c>
      <c r="B89" s="1" t="s">
        <v>898</v>
      </c>
      <c r="C89" s="9" t="s">
        <v>899</v>
      </c>
      <c r="D89" s="1" t="s">
        <v>41</v>
      </c>
      <c r="E89" s="1" t="s">
        <v>88</v>
      </c>
      <c r="F89" s="10" t="s">
        <v>664</v>
      </c>
      <c r="G89" s="1">
        <v>0</v>
      </c>
      <c r="H89" s="1">
        <v>0.02</v>
      </c>
      <c r="I89" s="8">
        <v>45518</v>
      </c>
      <c r="J89" s="6">
        <v>170118.48</v>
      </c>
      <c r="K89" s="6">
        <v>24953</v>
      </c>
      <c r="L89" s="6">
        <v>3037.83</v>
      </c>
      <c r="M89" s="6">
        <v>445.59</v>
      </c>
      <c r="N89" s="7">
        <v>1741.71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5852.15</v>
      </c>
      <c r="U89" s="6">
        <v>5225.13</v>
      </c>
      <c r="V89" s="6">
        <v>104.5</v>
      </c>
      <c r="AI89" s="2">
        <v>170118.48</v>
      </c>
      <c r="AJ89" s="2">
        <v>24953</v>
      </c>
      <c r="AK89" s="2">
        <v>3037.83</v>
      </c>
      <c r="AL89" s="2">
        <v>445.59</v>
      </c>
      <c r="AM89" s="5">
        <v>1741.71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5852.15</v>
      </c>
      <c r="AT89" s="12">
        <v>5225.13</v>
      </c>
      <c r="AU89" s="2">
        <v>104.5</v>
      </c>
      <c r="BL89" s="1" t="s">
        <v>546</v>
      </c>
    </row>
    <row r="90" spans="1:64" x14ac:dyDescent="0.3">
      <c r="A90" t="s">
        <v>898</v>
      </c>
      <c r="B90" s="1" t="s">
        <v>900</v>
      </c>
      <c r="C90" s="9" t="s">
        <v>901</v>
      </c>
      <c r="D90" s="1" t="s">
        <v>41</v>
      </c>
      <c r="E90" s="1" t="s">
        <v>88</v>
      </c>
      <c r="F90" s="10" t="s">
        <v>664</v>
      </c>
      <c r="G90" s="1">
        <v>0</v>
      </c>
      <c r="H90" s="1">
        <v>0.02</v>
      </c>
      <c r="I90" s="8">
        <v>44886</v>
      </c>
      <c r="J90" s="6">
        <v>385235</v>
      </c>
      <c r="K90" s="6">
        <v>259712</v>
      </c>
      <c r="L90" s="6">
        <v>6879.2</v>
      </c>
      <c r="M90" s="6">
        <v>4637.71</v>
      </c>
      <c r="N90" s="7">
        <v>5758.46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19348.41</v>
      </c>
      <c r="U90" s="6">
        <v>17275.37</v>
      </c>
      <c r="V90" s="6">
        <v>345.51</v>
      </c>
      <c r="AI90" s="2">
        <v>385235</v>
      </c>
      <c r="AJ90" s="2">
        <v>259712</v>
      </c>
      <c r="AK90" s="2">
        <v>6879.2</v>
      </c>
      <c r="AL90" s="2">
        <v>4637.71</v>
      </c>
      <c r="AM90" s="5">
        <v>5758.46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19348.41</v>
      </c>
      <c r="AT90" s="12">
        <v>17275.37</v>
      </c>
      <c r="AU90" s="2">
        <v>345.51</v>
      </c>
      <c r="BL90" s="1" t="s">
        <v>546</v>
      </c>
    </row>
    <row r="91" spans="1:64" x14ac:dyDescent="0.3">
      <c r="A91" t="s">
        <v>898</v>
      </c>
      <c r="B91" s="1" t="s">
        <v>902</v>
      </c>
      <c r="C91" s="9" t="s">
        <v>903</v>
      </c>
      <c r="D91" s="1" t="s">
        <v>41</v>
      </c>
      <c r="E91" s="1" t="s">
        <v>88</v>
      </c>
      <c r="F91" s="10" t="s">
        <v>664</v>
      </c>
      <c r="G91" s="1">
        <v>0</v>
      </c>
      <c r="H91" s="1">
        <v>0.02</v>
      </c>
      <c r="I91" s="8">
        <v>45122</v>
      </c>
      <c r="J91" s="6">
        <v>113404</v>
      </c>
      <c r="K91" s="6">
        <v>0</v>
      </c>
      <c r="L91" s="6">
        <v>2025.07</v>
      </c>
      <c r="M91" s="6">
        <v>0</v>
      </c>
      <c r="N91" s="7">
        <v>1012.54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3402.12</v>
      </c>
      <c r="U91" s="6">
        <v>3037.6099999999997</v>
      </c>
      <c r="V91" s="6">
        <v>60.75</v>
      </c>
      <c r="AI91" s="2">
        <v>113404</v>
      </c>
      <c r="AJ91" s="2">
        <v>0</v>
      </c>
      <c r="AK91" s="2">
        <v>2025.07</v>
      </c>
      <c r="AL91" s="2">
        <v>0</v>
      </c>
      <c r="AM91" s="5">
        <v>1012.54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3402.12</v>
      </c>
      <c r="AT91" s="12">
        <v>3037.6099999999997</v>
      </c>
      <c r="AU91" s="2">
        <v>60.75</v>
      </c>
      <c r="BL91" s="1" t="s">
        <v>546</v>
      </c>
    </row>
    <row r="92" spans="1:64" x14ac:dyDescent="0.3">
      <c r="A92" t="s">
        <v>908</v>
      </c>
      <c r="B92" s="1" t="s">
        <v>908</v>
      </c>
      <c r="C92" s="9" t="s">
        <v>909</v>
      </c>
      <c r="D92" s="1" t="s">
        <v>41</v>
      </c>
      <c r="E92" s="1" t="s">
        <v>88</v>
      </c>
      <c r="F92" s="10" t="s">
        <v>664</v>
      </c>
      <c r="G92" s="1">
        <v>0</v>
      </c>
      <c r="H92" s="1">
        <v>0.02</v>
      </c>
      <c r="I92" s="8">
        <v>45595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AI92" s="2">
        <v>0</v>
      </c>
      <c r="AJ92" s="2">
        <v>0</v>
      </c>
      <c r="AK92" s="2">
        <v>0</v>
      </c>
      <c r="AL92" s="2">
        <v>0</v>
      </c>
      <c r="AM92" s="5">
        <v>0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0</v>
      </c>
      <c r="AT92" s="12">
        <v>0</v>
      </c>
      <c r="AU92" s="2">
        <v>0</v>
      </c>
      <c r="BL92" s="1" t="s">
        <v>546</v>
      </c>
    </row>
    <row r="93" spans="1:64" x14ac:dyDescent="0.3">
      <c r="A93" t="s">
        <v>938</v>
      </c>
      <c r="B93" s="1" t="s">
        <v>938</v>
      </c>
      <c r="C93" s="9" t="s">
        <v>939</v>
      </c>
      <c r="D93" s="1" t="s">
        <v>41</v>
      </c>
      <c r="E93" s="1" t="s">
        <v>88</v>
      </c>
      <c r="F93" s="10" t="s">
        <v>671</v>
      </c>
      <c r="G93" s="1">
        <v>0</v>
      </c>
      <c r="H93" s="1">
        <v>0.02</v>
      </c>
      <c r="I93" s="8">
        <v>45630</v>
      </c>
      <c r="J93" s="6">
        <v>138408</v>
      </c>
      <c r="K93" s="6">
        <v>33965</v>
      </c>
      <c r="L93" s="6">
        <v>2471.5700000000002</v>
      </c>
      <c r="M93" s="6">
        <v>606.52</v>
      </c>
      <c r="N93" s="7">
        <v>1539.04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5171.1899999999996</v>
      </c>
      <c r="U93" s="6">
        <v>4617.13</v>
      </c>
      <c r="V93" s="6">
        <v>92.34</v>
      </c>
      <c r="AI93" s="2">
        <v>138408</v>
      </c>
      <c r="AJ93" s="2">
        <v>33965</v>
      </c>
      <c r="AK93" s="2">
        <v>2471.5700000000002</v>
      </c>
      <c r="AL93" s="2">
        <v>606.52</v>
      </c>
      <c r="AM93" s="5">
        <v>1539.04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5171.1899999999996</v>
      </c>
      <c r="AT93" s="12">
        <v>4617.13</v>
      </c>
      <c r="AU93" s="2">
        <v>92.34</v>
      </c>
      <c r="BL93" s="1" t="s">
        <v>90</v>
      </c>
    </row>
    <row r="94" spans="1:64" x14ac:dyDescent="0.3">
      <c r="A94" t="s">
        <v>938</v>
      </c>
      <c r="B94" s="1" t="s">
        <v>940</v>
      </c>
      <c r="C94" s="9" t="s">
        <v>941</v>
      </c>
      <c r="D94" s="1" t="s">
        <v>41</v>
      </c>
      <c r="E94" s="1" t="s">
        <v>88</v>
      </c>
      <c r="F94" s="10" t="s">
        <v>671</v>
      </c>
      <c r="G94" s="1">
        <v>0</v>
      </c>
      <c r="H94" s="1">
        <v>0.02</v>
      </c>
      <c r="I94" s="8">
        <v>45283</v>
      </c>
      <c r="J94" s="6">
        <v>55446</v>
      </c>
      <c r="K94" s="6">
        <v>11940</v>
      </c>
      <c r="L94" s="6">
        <v>990.11</v>
      </c>
      <c r="M94" s="6">
        <v>213.21</v>
      </c>
      <c r="N94" s="7">
        <v>601.66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2021.58</v>
      </c>
      <c r="U94" s="6">
        <v>1804.98</v>
      </c>
      <c r="V94" s="6">
        <v>36.1</v>
      </c>
      <c r="AI94" s="2">
        <v>55446</v>
      </c>
      <c r="AJ94" s="2">
        <v>11940</v>
      </c>
      <c r="AK94" s="2">
        <v>990.11</v>
      </c>
      <c r="AL94" s="2">
        <v>213.21</v>
      </c>
      <c r="AM94" s="5">
        <v>601.66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2021.58</v>
      </c>
      <c r="AT94" s="12">
        <v>1804.98</v>
      </c>
      <c r="AU94" s="2">
        <v>36.1</v>
      </c>
      <c r="BL94" s="1" t="s">
        <v>90</v>
      </c>
    </row>
    <row r="95" spans="1:64" x14ac:dyDescent="0.3">
      <c r="A95" t="s">
        <v>938</v>
      </c>
      <c r="B95" s="1" t="s">
        <v>942</v>
      </c>
      <c r="C95" s="9" t="s">
        <v>943</v>
      </c>
      <c r="D95" s="1" t="s">
        <v>41</v>
      </c>
      <c r="E95" s="1" t="s">
        <v>88</v>
      </c>
      <c r="F95" s="10" t="s">
        <v>671</v>
      </c>
      <c r="G95" s="1">
        <v>0</v>
      </c>
      <c r="H95" s="1">
        <v>0.02</v>
      </c>
      <c r="I95" s="8">
        <v>44977</v>
      </c>
      <c r="J95" s="6">
        <v>63327</v>
      </c>
      <c r="K95" s="6">
        <v>17261</v>
      </c>
      <c r="L95" s="6">
        <v>1130.8399999999999</v>
      </c>
      <c r="M95" s="6">
        <v>308.23</v>
      </c>
      <c r="N95" s="7">
        <v>719.54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2417.64</v>
      </c>
      <c r="U95" s="6">
        <v>2158.6099999999997</v>
      </c>
      <c r="V95" s="6">
        <v>43.17</v>
      </c>
      <c r="AI95" s="2">
        <v>63327</v>
      </c>
      <c r="AJ95" s="2">
        <v>17261</v>
      </c>
      <c r="AK95" s="2">
        <v>1130.8399999999999</v>
      </c>
      <c r="AL95" s="2">
        <v>308.23</v>
      </c>
      <c r="AM95" s="5">
        <v>719.54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2417.64</v>
      </c>
      <c r="AT95" s="12">
        <v>2158.6099999999997</v>
      </c>
      <c r="AU95" s="2">
        <v>43.17</v>
      </c>
      <c r="BL95" s="1" t="s">
        <v>90</v>
      </c>
    </row>
    <row r="96" spans="1:64" x14ac:dyDescent="0.3">
      <c r="A96" t="s">
        <v>944</v>
      </c>
      <c r="B96" s="1" t="s">
        <v>945</v>
      </c>
      <c r="C96" s="9" t="s">
        <v>946</v>
      </c>
      <c r="D96" s="1" t="s">
        <v>41</v>
      </c>
      <c r="E96" s="1" t="s">
        <v>88</v>
      </c>
      <c r="F96" s="10" t="s">
        <v>664</v>
      </c>
      <c r="G96" s="1">
        <v>0</v>
      </c>
      <c r="H96" s="1">
        <v>0.02</v>
      </c>
      <c r="I96" s="8">
        <v>44985</v>
      </c>
      <c r="J96" s="6">
        <v>21278</v>
      </c>
      <c r="K96" s="6">
        <v>19503</v>
      </c>
      <c r="L96" s="6">
        <v>379.96</v>
      </c>
      <c r="M96" s="6">
        <v>348.27</v>
      </c>
      <c r="N96" s="7">
        <v>364.12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1223.43</v>
      </c>
      <c r="U96" s="6">
        <v>1092.3499999999999</v>
      </c>
      <c r="V96" s="6">
        <v>21.85</v>
      </c>
      <c r="AI96" s="2">
        <v>21278</v>
      </c>
      <c r="AJ96" s="2">
        <v>19503</v>
      </c>
      <c r="AK96" s="2">
        <v>379.96</v>
      </c>
      <c r="AL96" s="2">
        <v>348.27</v>
      </c>
      <c r="AM96" s="5">
        <v>364.12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1223.43</v>
      </c>
      <c r="AT96" s="12">
        <v>1092.3499999999999</v>
      </c>
      <c r="AU96" s="2">
        <v>21.85</v>
      </c>
      <c r="BL96" s="1" t="s">
        <v>546</v>
      </c>
    </row>
    <row r="97" spans="1:64" x14ac:dyDescent="0.3">
      <c r="A97" t="s">
        <v>944</v>
      </c>
      <c r="B97" s="1" t="s">
        <v>944</v>
      </c>
      <c r="C97" s="9" t="s">
        <v>947</v>
      </c>
      <c r="D97" s="1" t="s">
        <v>41</v>
      </c>
      <c r="E97" s="1" t="s">
        <v>88</v>
      </c>
      <c r="F97" s="10" t="s">
        <v>664</v>
      </c>
      <c r="G97" s="1">
        <v>0</v>
      </c>
      <c r="H97" s="1">
        <v>0.02</v>
      </c>
      <c r="I97" s="8">
        <v>44260</v>
      </c>
      <c r="J97" s="6">
        <v>267317</v>
      </c>
      <c r="K97" s="6">
        <v>22543</v>
      </c>
      <c r="L97" s="6">
        <v>4773.5200000000004</v>
      </c>
      <c r="M97" s="6">
        <v>402.55</v>
      </c>
      <c r="N97" s="7">
        <v>2588.04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8695.7999999999993</v>
      </c>
      <c r="U97" s="6">
        <v>7764.1100000000006</v>
      </c>
      <c r="V97" s="6">
        <v>155.28</v>
      </c>
      <c r="AI97" s="2">
        <v>267317</v>
      </c>
      <c r="AJ97" s="2">
        <v>22543</v>
      </c>
      <c r="AK97" s="2">
        <v>4773.5200000000004</v>
      </c>
      <c r="AL97" s="2">
        <v>402.55</v>
      </c>
      <c r="AM97" s="5">
        <v>2588.04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8695.7999999999993</v>
      </c>
      <c r="AT97" s="12">
        <v>7764.1100000000006</v>
      </c>
      <c r="AU97" s="2">
        <v>155.28</v>
      </c>
      <c r="BL97" s="1" t="s">
        <v>546</v>
      </c>
    </row>
    <row r="98" spans="1:64" x14ac:dyDescent="0.3">
      <c r="A98" t="s">
        <v>944</v>
      </c>
      <c r="B98" s="1" t="s">
        <v>948</v>
      </c>
      <c r="C98" s="9" t="s">
        <v>949</v>
      </c>
      <c r="D98" s="1" t="s">
        <v>41</v>
      </c>
      <c r="E98" s="1" t="s">
        <v>88</v>
      </c>
      <c r="F98" s="10" t="s">
        <v>664</v>
      </c>
      <c r="G98" s="1">
        <v>0</v>
      </c>
      <c r="H98" s="1">
        <v>0.02</v>
      </c>
      <c r="I98" s="8">
        <v>45348</v>
      </c>
      <c r="J98" s="6">
        <v>134095</v>
      </c>
      <c r="K98" s="6">
        <v>22300</v>
      </c>
      <c r="L98" s="6">
        <v>2394.5500000000002</v>
      </c>
      <c r="M98" s="6">
        <v>398.21</v>
      </c>
      <c r="N98" s="7">
        <v>1396.38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4691.84</v>
      </c>
      <c r="U98" s="6">
        <v>4189.1400000000003</v>
      </c>
      <c r="V98" s="6">
        <v>83.78</v>
      </c>
      <c r="AI98" s="2">
        <v>134095</v>
      </c>
      <c r="AJ98" s="2">
        <v>22300</v>
      </c>
      <c r="AK98" s="2">
        <v>2394.5500000000002</v>
      </c>
      <c r="AL98" s="2">
        <v>398.21</v>
      </c>
      <c r="AM98" s="5">
        <v>1396.38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4691.84</v>
      </c>
      <c r="AT98" s="12">
        <v>4189.1400000000003</v>
      </c>
      <c r="AU98" s="2">
        <v>83.78</v>
      </c>
      <c r="BL98" s="1" t="s">
        <v>546</v>
      </c>
    </row>
    <row r="99" spans="1:64" x14ac:dyDescent="0.3">
      <c r="A99" t="s">
        <v>952</v>
      </c>
      <c r="B99" s="1" t="s">
        <v>953</v>
      </c>
      <c r="C99" s="9" t="s">
        <v>954</v>
      </c>
      <c r="D99" s="1" t="s">
        <v>41</v>
      </c>
      <c r="E99" s="1" t="s">
        <v>135</v>
      </c>
      <c r="F99" s="10" t="s">
        <v>826</v>
      </c>
      <c r="G99" s="1">
        <v>3.5000000000000003E-2</v>
      </c>
      <c r="H99" s="1">
        <v>0.02</v>
      </c>
      <c r="I99" s="8">
        <v>45105</v>
      </c>
      <c r="J99" s="6">
        <v>247545</v>
      </c>
      <c r="K99" s="6">
        <v>75744</v>
      </c>
      <c r="L99" s="6">
        <v>4420.45</v>
      </c>
      <c r="M99" s="6">
        <v>1352.57</v>
      </c>
      <c r="N99" s="7">
        <v>2886.51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9698.67</v>
      </c>
      <c r="U99" s="6">
        <v>8659.5299999999988</v>
      </c>
      <c r="V99" s="6">
        <v>173.19</v>
      </c>
      <c r="AI99" s="2">
        <v>247545</v>
      </c>
      <c r="AJ99" s="2">
        <v>75744</v>
      </c>
      <c r="AK99" s="2">
        <v>4420.45</v>
      </c>
      <c r="AL99" s="2">
        <v>1352.57</v>
      </c>
      <c r="AM99" s="5">
        <v>2886.51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9698.67</v>
      </c>
      <c r="AT99" s="12">
        <v>8659.5299999999988</v>
      </c>
      <c r="AU99" s="2">
        <v>173.19</v>
      </c>
      <c r="BL99" s="1" t="s">
        <v>302</v>
      </c>
    </row>
    <row r="100" spans="1:64" x14ac:dyDescent="0.3">
      <c r="A100" t="s">
        <v>952</v>
      </c>
      <c r="B100" s="1" t="s">
        <v>952</v>
      </c>
      <c r="C100" s="9" t="s">
        <v>955</v>
      </c>
      <c r="D100" s="1" t="s">
        <v>41</v>
      </c>
      <c r="E100" s="1" t="s">
        <v>135</v>
      </c>
      <c r="F100" s="10" t="s">
        <v>826</v>
      </c>
      <c r="G100" s="1">
        <v>0</v>
      </c>
      <c r="H100" s="1">
        <v>0.02</v>
      </c>
      <c r="I100" s="8">
        <v>45629</v>
      </c>
      <c r="J100" s="6">
        <v>233585</v>
      </c>
      <c r="K100" s="6">
        <v>60755</v>
      </c>
      <c r="L100" s="6">
        <v>4171.16</v>
      </c>
      <c r="M100" s="6">
        <v>1084.9100000000001</v>
      </c>
      <c r="N100" s="7">
        <v>2628.04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8830.2000000000007</v>
      </c>
      <c r="U100" s="6">
        <v>7884.11</v>
      </c>
      <c r="V100" s="6">
        <v>157.68</v>
      </c>
      <c r="AI100" s="2">
        <v>233585</v>
      </c>
      <c r="AJ100" s="2">
        <v>60755</v>
      </c>
      <c r="AK100" s="2">
        <v>4171.16</v>
      </c>
      <c r="AL100" s="2">
        <v>1084.9100000000001</v>
      </c>
      <c r="AM100" s="5">
        <v>2628.04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8830.2000000000007</v>
      </c>
      <c r="AT100" s="12">
        <v>7884.11</v>
      </c>
      <c r="AU100" s="2">
        <v>157.68</v>
      </c>
      <c r="BL100" s="1" t="s">
        <v>302</v>
      </c>
    </row>
    <row r="101" spans="1:64" x14ac:dyDescent="0.3">
      <c r="A101" t="s">
        <v>966</v>
      </c>
      <c r="B101" s="1" t="s">
        <v>966</v>
      </c>
      <c r="C101" s="9" t="s">
        <v>967</v>
      </c>
      <c r="D101" s="1" t="s">
        <v>41</v>
      </c>
      <c r="E101" s="1" t="s">
        <v>128</v>
      </c>
      <c r="F101" s="10" t="s">
        <v>331</v>
      </c>
      <c r="G101" s="1">
        <v>0</v>
      </c>
      <c r="H101" s="1">
        <v>0.02</v>
      </c>
      <c r="I101" s="8">
        <v>45716</v>
      </c>
      <c r="J101" s="6">
        <v>278755</v>
      </c>
      <c r="K101" s="6">
        <v>20178</v>
      </c>
      <c r="L101" s="6">
        <v>4977.7700000000004</v>
      </c>
      <c r="M101" s="6">
        <v>360.32</v>
      </c>
      <c r="N101" s="7">
        <v>2669.04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8967.99</v>
      </c>
      <c r="U101" s="6">
        <v>8007.13</v>
      </c>
      <c r="V101" s="6">
        <v>160.13999999999999</v>
      </c>
      <c r="AI101" s="2">
        <v>278755</v>
      </c>
      <c r="AJ101" s="2">
        <v>20178</v>
      </c>
      <c r="AK101" s="2">
        <v>4977.7700000000004</v>
      </c>
      <c r="AL101" s="2">
        <v>360.32</v>
      </c>
      <c r="AM101" s="5">
        <v>2669.04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8967.99</v>
      </c>
      <c r="AT101" s="12">
        <v>8007.13</v>
      </c>
      <c r="AU101" s="2">
        <v>160.13999999999999</v>
      </c>
      <c r="BL101" s="1" t="s">
        <v>130</v>
      </c>
    </row>
    <row r="102" spans="1:64" x14ac:dyDescent="0.3">
      <c r="A102" t="s">
        <v>966</v>
      </c>
      <c r="B102" s="1" t="s">
        <v>968</v>
      </c>
      <c r="C102" s="9" t="s">
        <v>969</v>
      </c>
      <c r="D102" s="1" t="s">
        <v>41</v>
      </c>
      <c r="E102" s="1" t="s">
        <v>128</v>
      </c>
      <c r="F102" s="10" t="s">
        <v>331</v>
      </c>
      <c r="G102" s="1">
        <v>0</v>
      </c>
      <c r="H102" s="1">
        <v>0.02</v>
      </c>
      <c r="I102" s="8">
        <v>45716</v>
      </c>
      <c r="J102" s="6">
        <v>371204</v>
      </c>
      <c r="K102" s="6">
        <v>6840</v>
      </c>
      <c r="L102" s="6">
        <v>6628.64</v>
      </c>
      <c r="M102" s="6">
        <v>122.14</v>
      </c>
      <c r="N102" s="7">
        <v>3375.39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11341.31</v>
      </c>
      <c r="U102" s="6">
        <v>10126.17</v>
      </c>
      <c r="V102" s="6">
        <v>202.52</v>
      </c>
      <c r="AI102" s="2">
        <v>371204</v>
      </c>
      <c r="AJ102" s="2">
        <v>6840</v>
      </c>
      <c r="AK102" s="2">
        <v>6628.64</v>
      </c>
      <c r="AL102" s="2">
        <v>122.14</v>
      </c>
      <c r="AM102" s="5">
        <v>3375.39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11341.31</v>
      </c>
      <c r="AT102" s="12">
        <v>10126.17</v>
      </c>
      <c r="AU102" s="2">
        <v>202.52</v>
      </c>
      <c r="BL102" s="1" t="s">
        <v>130</v>
      </c>
    </row>
    <row r="103" spans="1:64" x14ac:dyDescent="0.3">
      <c r="A103" t="s">
        <v>1021</v>
      </c>
      <c r="B103" s="1" t="s">
        <v>1021</v>
      </c>
      <c r="C103" s="9" t="s">
        <v>1022</v>
      </c>
      <c r="D103" s="1" t="s">
        <v>41</v>
      </c>
      <c r="E103" s="1" t="s">
        <v>128</v>
      </c>
      <c r="F103" s="10" t="s">
        <v>372</v>
      </c>
      <c r="G103" s="1">
        <v>0</v>
      </c>
      <c r="H103" s="1">
        <v>0.02</v>
      </c>
      <c r="I103" s="8">
        <v>44462</v>
      </c>
      <c r="J103" s="6">
        <v>703580.85000000009</v>
      </c>
      <c r="K103" s="6">
        <v>41922.1</v>
      </c>
      <c r="L103" s="6">
        <v>12563.95</v>
      </c>
      <c r="M103" s="6">
        <v>748.61</v>
      </c>
      <c r="N103" s="7">
        <v>6656.28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22365.1</v>
      </c>
      <c r="U103" s="6">
        <v>19968.84</v>
      </c>
      <c r="V103" s="6">
        <v>399.38</v>
      </c>
      <c r="AI103" s="2">
        <v>703580.85000000009</v>
      </c>
      <c r="AJ103" s="2">
        <v>41922.1</v>
      </c>
      <c r="AK103" s="2">
        <v>12563.95</v>
      </c>
      <c r="AL103" s="2">
        <v>748.61</v>
      </c>
      <c r="AM103" s="5">
        <v>6656.28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22365.1</v>
      </c>
      <c r="AT103" s="12">
        <v>19968.84</v>
      </c>
      <c r="AU103" s="2">
        <v>399.38</v>
      </c>
      <c r="BL103" s="1" t="s">
        <v>130</v>
      </c>
    </row>
    <row r="104" spans="1:64" x14ac:dyDescent="0.3">
      <c r="A104" t="s">
        <v>1021</v>
      </c>
      <c r="B104" s="1" t="s">
        <v>1023</v>
      </c>
      <c r="C104" s="9" t="s">
        <v>1024</v>
      </c>
      <c r="D104" s="1" t="s">
        <v>41</v>
      </c>
      <c r="E104" s="1" t="s">
        <v>128</v>
      </c>
      <c r="F104" s="10" t="s">
        <v>372</v>
      </c>
      <c r="G104" s="1">
        <v>0</v>
      </c>
      <c r="H104" s="1">
        <v>0.02</v>
      </c>
      <c r="I104" s="8">
        <v>44649</v>
      </c>
      <c r="J104" s="6">
        <v>180303</v>
      </c>
      <c r="K104" s="6">
        <v>16651</v>
      </c>
      <c r="L104" s="6">
        <v>3219.7</v>
      </c>
      <c r="M104" s="6">
        <v>297.33999999999997</v>
      </c>
      <c r="N104" s="7">
        <v>1758.52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5908.63</v>
      </c>
      <c r="U104" s="6">
        <v>5275.5599999999995</v>
      </c>
      <c r="V104" s="6">
        <v>105.51</v>
      </c>
      <c r="AI104" s="2">
        <v>180303</v>
      </c>
      <c r="AJ104" s="2">
        <v>16651</v>
      </c>
      <c r="AK104" s="2">
        <v>3219.7</v>
      </c>
      <c r="AL104" s="2">
        <v>297.33999999999997</v>
      </c>
      <c r="AM104" s="5">
        <v>1758.52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5908.63</v>
      </c>
      <c r="AT104" s="12">
        <v>5275.5599999999995</v>
      </c>
      <c r="AU104" s="2">
        <v>105.51</v>
      </c>
      <c r="BL104" s="1" t="s">
        <v>130</v>
      </c>
    </row>
    <row r="105" spans="1:64" x14ac:dyDescent="0.3">
      <c r="A105" t="s">
        <v>1021</v>
      </c>
      <c r="B105" s="1" t="s">
        <v>1025</v>
      </c>
      <c r="C105" s="9" t="s">
        <v>1026</v>
      </c>
      <c r="D105" s="1" t="s">
        <v>41</v>
      </c>
      <c r="E105" s="1" t="s">
        <v>128</v>
      </c>
      <c r="F105" s="10" t="s">
        <v>372</v>
      </c>
      <c r="G105" s="1">
        <v>0</v>
      </c>
      <c r="H105" s="1">
        <v>0.02</v>
      </c>
      <c r="I105" s="8">
        <v>44995</v>
      </c>
      <c r="J105" s="6">
        <v>398073</v>
      </c>
      <c r="K105" s="6">
        <v>5638</v>
      </c>
      <c r="L105" s="6">
        <v>7108.45</v>
      </c>
      <c r="M105" s="6">
        <v>100.68</v>
      </c>
      <c r="N105" s="7">
        <v>3604.56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12111.33</v>
      </c>
      <c r="U105" s="6">
        <v>10813.69</v>
      </c>
      <c r="V105" s="6">
        <v>216.27</v>
      </c>
      <c r="AI105" s="2">
        <v>398073</v>
      </c>
      <c r="AJ105" s="2">
        <v>5638</v>
      </c>
      <c r="AK105" s="2">
        <v>7108.45</v>
      </c>
      <c r="AL105" s="2">
        <v>100.68</v>
      </c>
      <c r="AM105" s="5">
        <v>3604.56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12111.33</v>
      </c>
      <c r="AT105" s="12">
        <v>10813.69</v>
      </c>
      <c r="AU105" s="2">
        <v>216.27</v>
      </c>
      <c r="BL105" s="1" t="s">
        <v>130</v>
      </c>
    </row>
    <row r="106" spans="1:64" x14ac:dyDescent="0.3">
      <c r="A106" t="s">
        <v>1021</v>
      </c>
      <c r="B106" s="1" t="s">
        <v>1027</v>
      </c>
      <c r="C106" s="9" t="s">
        <v>1028</v>
      </c>
      <c r="D106" s="1" t="s">
        <v>41</v>
      </c>
      <c r="E106" s="1" t="s">
        <v>128</v>
      </c>
      <c r="F106" s="10" t="s">
        <v>372</v>
      </c>
      <c r="G106" s="1">
        <v>0</v>
      </c>
      <c r="H106" s="1">
        <v>0.02</v>
      </c>
      <c r="I106" s="8">
        <v>45086</v>
      </c>
      <c r="J106" s="6">
        <v>198124.2</v>
      </c>
      <c r="K106" s="6">
        <v>16790</v>
      </c>
      <c r="L106" s="6">
        <v>3537.93</v>
      </c>
      <c r="M106" s="6">
        <v>299.82</v>
      </c>
      <c r="N106" s="7">
        <v>1918.87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6447.41</v>
      </c>
      <c r="U106" s="6">
        <v>5756.62</v>
      </c>
      <c r="V106" s="6">
        <v>115.13</v>
      </c>
      <c r="AI106" s="2">
        <v>198124.2</v>
      </c>
      <c r="AJ106" s="2">
        <v>16790</v>
      </c>
      <c r="AK106" s="2">
        <v>3537.93</v>
      </c>
      <c r="AL106" s="2">
        <v>299.82</v>
      </c>
      <c r="AM106" s="5">
        <v>1918.87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6447.41</v>
      </c>
      <c r="AT106" s="12">
        <v>5756.62</v>
      </c>
      <c r="AU106" s="2">
        <v>115.13</v>
      </c>
      <c r="BL106" s="1" t="s">
        <v>130</v>
      </c>
    </row>
    <row r="107" spans="1:64" x14ac:dyDescent="0.3">
      <c r="A107" t="s">
        <v>1021</v>
      </c>
      <c r="B107" s="1" t="s">
        <v>1029</v>
      </c>
      <c r="C107" s="9" t="s">
        <v>1030</v>
      </c>
      <c r="D107" s="1" t="s">
        <v>41</v>
      </c>
      <c r="E107" s="1" t="s">
        <v>128</v>
      </c>
      <c r="F107" s="10" t="s">
        <v>372</v>
      </c>
      <c r="G107" s="1">
        <v>0</v>
      </c>
      <c r="H107" s="1">
        <v>0.02</v>
      </c>
      <c r="I107" s="8">
        <v>45097</v>
      </c>
      <c r="J107" s="6">
        <v>133966.70000000001</v>
      </c>
      <c r="K107" s="6">
        <v>1695</v>
      </c>
      <c r="L107" s="6">
        <v>2392.2600000000002</v>
      </c>
      <c r="M107" s="6">
        <v>30.27</v>
      </c>
      <c r="N107" s="7">
        <v>1211.27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4069.86</v>
      </c>
      <c r="U107" s="6">
        <v>3633.8</v>
      </c>
      <c r="V107" s="6">
        <v>72.680000000000007</v>
      </c>
      <c r="AI107" s="2">
        <v>133966.70000000001</v>
      </c>
      <c r="AJ107" s="2">
        <v>1695</v>
      </c>
      <c r="AK107" s="2">
        <v>2392.2600000000002</v>
      </c>
      <c r="AL107" s="2">
        <v>30.27</v>
      </c>
      <c r="AM107" s="5">
        <v>1211.27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4069.86</v>
      </c>
      <c r="AT107" s="12">
        <v>3633.8</v>
      </c>
      <c r="AU107" s="2">
        <v>72.680000000000007</v>
      </c>
      <c r="BL107" s="1" t="s">
        <v>130</v>
      </c>
    </row>
    <row r="108" spans="1:64" x14ac:dyDescent="0.3">
      <c r="A108" t="s">
        <v>1021</v>
      </c>
      <c r="B108" s="1" t="s">
        <v>1031</v>
      </c>
      <c r="C108" s="9" t="s">
        <v>1032</v>
      </c>
      <c r="D108" s="1" t="s">
        <v>41</v>
      </c>
      <c r="E108" s="1" t="s">
        <v>128</v>
      </c>
      <c r="F108" s="10" t="s">
        <v>372</v>
      </c>
      <c r="G108" s="1">
        <v>0</v>
      </c>
      <c r="H108" s="1">
        <v>0.02</v>
      </c>
      <c r="I108" s="8">
        <v>45098</v>
      </c>
      <c r="J108" s="6">
        <v>251176.25</v>
      </c>
      <c r="K108" s="6">
        <v>9827</v>
      </c>
      <c r="L108" s="6">
        <v>4485.29</v>
      </c>
      <c r="M108" s="6">
        <v>175.48</v>
      </c>
      <c r="N108" s="7">
        <v>2330.38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7830.09</v>
      </c>
      <c r="U108" s="6">
        <v>6991.15</v>
      </c>
      <c r="V108" s="6">
        <v>139.82</v>
      </c>
      <c r="AI108" s="2">
        <v>251176.25</v>
      </c>
      <c r="AJ108" s="2">
        <v>9827</v>
      </c>
      <c r="AK108" s="2">
        <v>4485.29</v>
      </c>
      <c r="AL108" s="2">
        <v>175.48</v>
      </c>
      <c r="AM108" s="5">
        <v>2330.38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7830.09</v>
      </c>
      <c r="AT108" s="12">
        <v>6991.15</v>
      </c>
      <c r="AU108" s="2">
        <v>139.82</v>
      </c>
      <c r="BL108" s="1" t="s">
        <v>130</v>
      </c>
    </row>
    <row r="109" spans="1:64" x14ac:dyDescent="0.3">
      <c r="A109" t="s">
        <v>1067</v>
      </c>
      <c r="B109" s="1" t="s">
        <v>1067</v>
      </c>
      <c r="C109" s="9" t="s">
        <v>1068</v>
      </c>
      <c r="D109" s="1" t="s">
        <v>41</v>
      </c>
      <c r="E109" s="1" t="s">
        <v>128</v>
      </c>
      <c r="F109" s="10" t="s">
        <v>331</v>
      </c>
      <c r="G109" s="1">
        <v>0</v>
      </c>
      <c r="H109" s="1">
        <v>0.02</v>
      </c>
      <c r="I109" s="8">
        <v>44729</v>
      </c>
      <c r="J109" s="6">
        <v>301591.25</v>
      </c>
      <c r="K109" s="6">
        <v>27259</v>
      </c>
      <c r="L109" s="6">
        <v>5385.55</v>
      </c>
      <c r="M109" s="6">
        <v>486.77</v>
      </c>
      <c r="N109" s="7">
        <v>2936.16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9865.5</v>
      </c>
      <c r="U109" s="6">
        <v>8808.48</v>
      </c>
      <c r="V109" s="6">
        <v>176.17</v>
      </c>
      <c r="AI109" s="2">
        <v>301591.25</v>
      </c>
      <c r="AJ109" s="2">
        <v>27259</v>
      </c>
      <c r="AK109" s="2">
        <v>5385.55</v>
      </c>
      <c r="AL109" s="2">
        <v>486.77</v>
      </c>
      <c r="AM109" s="5">
        <v>2936.16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9865.5</v>
      </c>
      <c r="AT109" s="12">
        <v>8808.48</v>
      </c>
      <c r="AU109" s="2">
        <v>176.17</v>
      </c>
      <c r="BL109" s="1" t="s">
        <v>130</v>
      </c>
    </row>
    <row r="110" spans="1:64" x14ac:dyDescent="0.3">
      <c r="A110" t="s">
        <v>1120</v>
      </c>
      <c r="B110" s="1" t="s">
        <v>1120</v>
      </c>
      <c r="C110" s="9" t="s">
        <v>1121</v>
      </c>
      <c r="D110" s="1" t="s">
        <v>41</v>
      </c>
      <c r="E110" s="1" t="s">
        <v>128</v>
      </c>
      <c r="F110" s="10" t="s">
        <v>372</v>
      </c>
      <c r="G110" s="1">
        <v>0</v>
      </c>
      <c r="H110" s="1">
        <v>0.02</v>
      </c>
      <c r="I110" s="8">
        <v>0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AI110" s="2">
        <v>0</v>
      </c>
      <c r="AJ110" s="2">
        <v>0</v>
      </c>
      <c r="AK110" s="2">
        <v>0</v>
      </c>
      <c r="AL110" s="2">
        <v>0</v>
      </c>
      <c r="AM110" s="5">
        <v>0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0</v>
      </c>
      <c r="AT110" s="12">
        <v>0</v>
      </c>
      <c r="AU110" s="2">
        <v>0</v>
      </c>
      <c r="BL110" s="1" t="s">
        <v>130</v>
      </c>
    </row>
    <row r="111" spans="1:64" x14ac:dyDescent="0.3">
      <c r="A111" t="s">
        <v>1126</v>
      </c>
      <c r="B111" s="1" t="s">
        <v>1126</v>
      </c>
      <c r="C111" s="9" t="s">
        <v>1127</v>
      </c>
      <c r="D111" s="1" t="s">
        <v>41</v>
      </c>
      <c r="E111" s="1" t="s">
        <v>128</v>
      </c>
      <c r="F111" s="10" t="s">
        <v>372</v>
      </c>
      <c r="G111" s="1">
        <v>0</v>
      </c>
      <c r="H111" s="1">
        <v>0.02</v>
      </c>
      <c r="I111" s="8">
        <v>45016</v>
      </c>
      <c r="J111" s="6">
        <v>602563.08000000007</v>
      </c>
      <c r="K111" s="6">
        <v>36826.71</v>
      </c>
      <c r="L111" s="6">
        <v>10760.05</v>
      </c>
      <c r="M111" s="6">
        <v>657.62</v>
      </c>
      <c r="N111" s="7">
        <v>5708.84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19181.689999999999</v>
      </c>
      <c r="U111" s="6">
        <v>17126.510000000002</v>
      </c>
      <c r="V111" s="6">
        <v>342.53</v>
      </c>
      <c r="AI111" s="2">
        <v>602563.08000000007</v>
      </c>
      <c r="AJ111" s="2">
        <v>36826.71</v>
      </c>
      <c r="AK111" s="2">
        <v>10760.05</v>
      </c>
      <c r="AL111" s="2">
        <v>657.62</v>
      </c>
      <c r="AM111" s="5">
        <v>5708.84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19181.689999999999</v>
      </c>
      <c r="AT111" s="12">
        <v>17126.510000000002</v>
      </c>
      <c r="AU111" s="2">
        <v>342.53</v>
      </c>
      <c r="BL111" s="1" t="s">
        <v>130</v>
      </c>
    </row>
    <row r="112" spans="1:64" x14ac:dyDescent="0.3">
      <c r="A112" t="s">
        <v>1126</v>
      </c>
      <c r="B112" s="1" t="s">
        <v>1128</v>
      </c>
      <c r="C112" s="9" t="s">
        <v>1129</v>
      </c>
      <c r="D112" s="1" t="s">
        <v>41</v>
      </c>
      <c r="E112" s="1" t="s">
        <v>128</v>
      </c>
      <c r="F112" s="10" t="s">
        <v>372</v>
      </c>
      <c r="G112" s="1">
        <v>0</v>
      </c>
      <c r="H112" s="1">
        <v>0.02</v>
      </c>
      <c r="I112" s="8">
        <v>45147</v>
      </c>
      <c r="J112" s="6">
        <v>258546.6</v>
      </c>
      <c r="K112" s="6">
        <v>3900</v>
      </c>
      <c r="L112" s="6">
        <v>4616.8999999999996</v>
      </c>
      <c r="M112" s="6">
        <v>69.64</v>
      </c>
      <c r="N112" s="7">
        <v>2343.2800000000002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7873.4</v>
      </c>
      <c r="U112" s="6">
        <v>7029.82</v>
      </c>
      <c r="V112" s="6">
        <v>140.6</v>
      </c>
      <c r="AI112" s="2">
        <v>258546.6</v>
      </c>
      <c r="AJ112" s="2">
        <v>3900</v>
      </c>
      <c r="AK112" s="2">
        <v>4616.8999999999996</v>
      </c>
      <c r="AL112" s="2">
        <v>69.64</v>
      </c>
      <c r="AM112" s="5">
        <v>2343.2800000000002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7873.4</v>
      </c>
      <c r="AT112" s="12">
        <v>7029.82</v>
      </c>
      <c r="AU112" s="2">
        <v>140.6</v>
      </c>
      <c r="BL112" s="1" t="s">
        <v>130</v>
      </c>
    </row>
    <row r="113" spans="1:64" x14ac:dyDescent="0.3">
      <c r="A113" t="s">
        <v>1126</v>
      </c>
      <c r="B113" s="1" t="s">
        <v>1130</v>
      </c>
      <c r="C113" s="9" t="s">
        <v>1131</v>
      </c>
      <c r="D113" s="1" t="s">
        <v>41</v>
      </c>
      <c r="E113" s="1" t="s">
        <v>128</v>
      </c>
      <c r="F113" s="10" t="s">
        <v>372</v>
      </c>
      <c r="G113" s="1">
        <v>0</v>
      </c>
      <c r="H113" s="1">
        <v>0.02</v>
      </c>
      <c r="I113" s="8">
        <v>45191</v>
      </c>
      <c r="J113" s="6">
        <v>97692.700000000012</v>
      </c>
      <c r="K113" s="6">
        <v>2147</v>
      </c>
      <c r="L113" s="6">
        <v>1744.51</v>
      </c>
      <c r="M113" s="6">
        <v>38.340000000000003</v>
      </c>
      <c r="N113" s="7">
        <v>891.43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2995.19</v>
      </c>
      <c r="U113" s="6">
        <v>2674.2799999999997</v>
      </c>
      <c r="V113" s="6">
        <v>53.49</v>
      </c>
      <c r="AI113" s="2">
        <v>97692.700000000012</v>
      </c>
      <c r="AJ113" s="2">
        <v>2147</v>
      </c>
      <c r="AK113" s="2">
        <v>1744.51</v>
      </c>
      <c r="AL113" s="2">
        <v>38.340000000000003</v>
      </c>
      <c r="AM113" s="5">
        <v>891.43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2995.19</v>
      </c>
      <c r="AT113" s="12">
        <v>2674.2799999999997</v>
      </c>
      <c r="AU113" s="2">
        <v>53.49</v>
      </c>
      <c r="BL113" s="1" t="s">
        <v>130</v>
      </c>
    </row>
    <row r="114" spans="1:64" x14ac:dyDescent="0.3">
      <c r="A114" t="s">
        <v>1132</v>
      </c>
      <c r="B114" s="1" t="s">
        <v>1132</v>
      </c>
      <c r="C114" s="9" t="s">
        <v>1133</v>
      </c>
      <c r="D114" s="1" t="s">
        <v>41</v>
      </c>
      <c r="E114" s="1" t="s">
        <v>128</v>
      </c>
      <c r="F114" s="10" t="s">
        <v>372</v>
      </c>
      <c r="G114" s="1">
        <v>0</v>
      </c>
      <c r="H114" s="1">
        <v>0.02</v>
      </c>
      <c r="I114" s="8">
        <v>44918</v>
      </c>
      <c r="J114" s="6">
        <v>401200.93</v>
      </c>
      <c r="K114" s="6">
        <v>40447.22</v>
      </c>
      <c r="L114" s="6">
        <v>7164.3</v>
      </c>
      <c r="M114" s="6">
        <v>722.27</v>
      </c>
      <c r="N114" s="7">
        <v>3943.29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13249.44</v>
      </c>
      <c r="U114" s="6">
        <v>11829.86</v>
      </c>
      <c r="V114" s="6">
        <v>236.6</v>
      </c>
      <c r="AI114" s="2">
        <v>401200.93</v>
      </c>
      <c r="AJ114" s="2">
        <v>40447.22</v>
      </c>
      <c r="AK114" s="2">
        <v>7164.3</v>
      </c>
      <c r="AL114" s="2">
        <v>722.27</v>
      </c>
      <c r="AM114" s="5">
        <v>3943.29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13249.44</v>
      </c>
      <c r="AT114" s="12">
        <v>11829.86</v>
      </c>
      <c r="AU114" s="2">
        <v>236.6</v>
      </c>
      <c r="BL114" s="1" t="s">
        <v>130</v>
      </c>
    </row>
    <row r="115" spans="1:64" x14ac:dyDescent="0.3">
      <c r="A115" t="s">
        <v>1132</v>
      </c>
      <c r="B115" s="1" t="s">
        <v>1134</v>
      </c>
      <c r="C115" s="9" t="s">
        <v>1135</v>
      </c>
      <c r="D115" s="1" t="s">
        <v>41</v>
      </c>
      <c r="E115" s="1" t="s">
        <v>128</v>
      </c>
      <c r="F115" s="10" t="s">
        <v>372</v>
      </c>
      <c r="G115" s="1">
        <v>0</v>
      </c>
      <c r="H115" s="1">
        <v>0.02</v>
      </c>
      <c r="I115" s="8">
        <v>44981</v>
      </c>
      <c r="J115" s="6">
        <v>314211</v>
      </c>
      <c r="K115" s="6">
        <v>0</v>
      </c>
      <c r="L115" s="6">
        <v>5610.91</v>
      </c>
      <c r="M115" s="6">
        <v>0</v>
      </c>
      <c r="N115" s="7">
        <v>2805.46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9426.33</v>
      </c>
      <c r="U115" s="6">
        <v>8416.369999999999</v>
      </c>
      <c r="V115" s="6">
        <v>168.33</v>
      </c>
      <c r="AI115" s="2">
        <v>314211</v>
      </c>
      <c r="AJ115" s="2">
        <v>0</v>
      </c>
      <c r="AK115" s="2">
        <v>5610.91</v>
      </c>
      <c r="AL115" s="2">
        <v>0</v>
      </c>
      <c r="AM115" s="5">
        <v>2805.46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9426.33</v>
      </c>
      <c r="AT115" s="12">
        <v>8416.369999999999</v>
      </c>
      <c r="AU115" s="2">
        <v>168.33</v>
      </c>
      <c r="BL115" s="1" t="s">
        <v>130</v>
      </c>
    </row>
    <row r="116" spans="1:64" x14ac:dyDescent="0.3">
      <c r="A116" t="s">
        <v>1132</v>
      </c>
      <c r="B116" s="1" t="s">
        <v>1136</v>
      </c>
      <c r="C116" s="9" t="s">
        <v>1137</v>
      </c>
      <c r="D116" s="1" t="s">
        <v>41</v>
      </c>
      <c r="E116" s="1" t="s">
        <v>128</v>
      </c>
      <c r="F116" s="10" t="s">
        <v>372</v>
      </c>
      <c r="G116" s="1">
        <v>0</v>
      </c>
      <c r="H116" s="1">
        <v>0.02</v>
      </c>
      <c r="I116" s="8">
        <v>45113</v>
      </c>
      <c r="J116" s="6">
        <v>230989.85</v>
      </c>
      <c r="K116" s="6">
        <v>4030</v>
      </c>
      <c r="L116" s="6">
        <v>4124.82</v>
      </c>
      <c r="M116" s="6">
        <v>71.959999999999994</v>
      </c>
      <c r="N116" s="7">
        <v>2098.39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7050.59</v>
      </c>
      <c r="U116" s="6">
        <v>6295.17</v>
      </c>
      <c r="V116" s="6">
        <v>125.9</v>
      </c>
      <c r="AI116" s="2">
        <v>230989.85</v>
      </c>
      <c r="AJ116" s="2">
        <v>4030</v>
      </c>
      <c r="AK116" s="2">
        <v>4124.82</v>
      </c>
      <c r="AL116" s="2">
        <v>71.959999999999994</v>
      </c>
      <c r="AM116" s="5">
        <v>2098.39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7050.59</v>
      </c>
      <c r="AT116" s="12">
        <v>6295.17</v>
      </c>
      <c r="AU116" s="2">
        <v>125.9</v>
      </c>
      <c r="BL116" s="1" t="s">
        <v>130</v>
      </c>
    </row>
    <row r="117" spans="1:64" x14ac:dyDescent="0.3">
      <c r="A117" t="s">
        <v>1132</v>
      </c>
      <c r="B117" s="1" t="s">
        <v>1138</v>
      </c>
      <c r="C117" s="9" t="s">
        <v>1139</v>
      </c>
      <c r="D117" s="1" t="s">
        <v>41</v>
      </c>
      <c r="E117" s="1" t="s">
        <v>128</v>
      </c>
      <c r="F117" s="10" t="s">
        <v>372</v>
      </c>
      <c r="G117" s="1">
        <v>0</v>
      </c>
      <c r="H117" s="1">
        <v>0.02</v>
      </c>
      <c r="I117" s="8">
        <v>44947</v>
      </c>
      <c r="J117" s="6">
        <v>485851.11</v>
      </c>
      <c r="K117" s="6">
        <v>150513.29</v>
      </c>
      <c r="L117" s="6">
        <v>8675.91</v>
      </c>
      <c r="M117" s="6">
        <v>2687.74</v>
      </c>
      <c r="N117" s="7">
        <v>5681.82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19090.93</v>
      </c>
      <c r="U117" s="6">
        <v>17045.47</v>
      </c>
      <c r="V117" s="6">
        <v>340.91</v>
      </c>
      <c r="AI117" s="2">
        <v>485851.11</v>
      </c>
      <c r="AJ117" s="2">
        <v>150513.29</v>
      </c>
      <c r="AK117" s="2">
        <v>8675.91</v>
      </c>
      <c r="AL117" s="2">
        <v>2687.74</v>
      </c>
      <c r="AM117" s="5">
        <v>5681.82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19090.93</v>
      </c>
      <c r="AT117" s="12">
        <v>17045.47</v>
      </c>
      <c r="AU117" s="2">
        <v>340.91</v>
      </c>
      <c r="BL117" s="1" t="s">
        <v>130</v>
      </c>
    </row>
    <row r="118" spans="1:64" x14ac:dyDescent="0.3">
      <c r="A118" t="s">
        <v>1173</v>
      </c>
      <c r="B118" s="1" t="s">
        <v>1173</v>
      </c>
      <c r="C118" s="9" t="s">
        <v>1174</v>
      </c>
      <c r="D118" s="1" t="s">
        <v>41</v>
      </c>
      <c r="E118" s="1" t="s">
        <v>128</v>
      </c>
      <c r="F118" s="10" t="s">
        <v>372</v>
      </c>
      <c r="G118" s="1">
        <v>0</v>
      </c>
      <c r="H118" s="1">
        <v>0.02</v>
      </c>
      <c r="I118" s="8">
        <v>45077</v>
      </c>
      <c r="J118" s="6">
        <v>294349.04000000004</v>
      </c>
      <c r="K118" s="6">
        <v>14737.25</v>
      </c>
      <c r="L118" s="6">
        <v>5256.23</v>
      </c>
      <c r="M118" s="6">
        <v>263.16000000000003</v>
      </c>
      <c r="N118" s="7">
        <v>2759.7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9272.58</v>
      </c>
      <c r="U118" s="6">
        <v>8279.09</v>
      </c>
      <c r="V118" s="6">
        <v>165.58</v>
      </c>
      <c r="AI118" s="2">
        <v>294349.04000000004</v>
      </c>
      <c r="AJ118" s="2">
        <v>14737.25</v>
      </c>
      <c r="AK118" s="2">
        <v>5256.23</v>
      </c>
      <c r="AL118" s="2">
        <v>263.16000000000003</v>
      </c>
      <c r="AM118" s="5">
        <v>2759.7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9272.58</v>
      </c>
      <c r="AT118" s="12">
        <v>8279.09</v>
      </c>
      <c r="AU118" s="2">
        <v>165.58</v>
      </c>
      <c r="BL118" s="1" t="s">
        <v>130</v>
      </c>
    </row>
    <row r="119" spans="1:64" x14ac:dyDescent="0.3">
      <c r="A119" t="s">
        <v>1185</v>
      </c>
      <c r="B119" s="1" t="s">
        <v>1186</v>
      </c>
      <c r="C119" s="9" t="s">
        <v>1187</v>
      </c>
      <c r="D119" s="1" t="s">
        <v>41</v>
      </c>
      <c r="E119" s="1" t="s">
        <v>128</v>
      </c>
      <c r="F119" s="10" t="s">
        <v>372</v>
      </c>
      <c r="G119" s="1">
        <v>0</v>
      </c>
      <c r="H119" s="1">
        <v>0.02</v>
      </c>
      <c r="I119" s="8">
        <v>44527</v>
      </c>
      <c r="J119" s="6">
        <v>227860</v>
      </c>
      <c r="K119" s="6">
        <v>3950</v>
      </c>
      <c r="L119" s="6">
        <v>4068.93</v>
      </c>
      <c r="M119" s="6">
        <v>70.540000000000006</v>
      </c>
      <c r="N119" s="7">
        <v>2069.73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6954.3</v>
      </c>
      <c r="U119" s="6">
        <v>6209.2000000000007</v>
      </c>
      <c r="V119" s="6">
        <v>124.18</v>
      </c>
      <c r="AI119" s="2">
        <v>227860</v>
      </c>
      <c r="AJ119" s="2">
        <v>3950</v>
      </c>
      <c r="AK119" s="2">
        <v>4068.93</v>
      </c>
      <c r="AL119" s="2">
        <v>70.540000000000006</v>
      </c>
      <c r="AM119" s="5">
        <v>2069.73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6954.3</v>
      </c>
      <c r="AT119" s="12">
        <v>6209.2000000000007</v>
      </c>
      <c r="AU119" s="2">
        <v>124.18</v>
      </c>
      <c r="BL119" s="1" t="s">
        <v>130</v>
      </c>
    </row>
    <row r="120" spans="1:64" x14ac:dyDescent="0.3">
      <c r="A120" t="s">
        <v>1185</v>
      </c>
      <c r="B120" s="1" t="s">
        <v>1188</v>
      </c>
      <c r="C120" s="9" t="s">
        <v>1189</v>
      </c>
      <c r="D120" s="1" t="s">
        <v>41</v>
      </c>
      <c r="E120" s="1" t="s">
        <v>128</v>
      </c>
      <c r="F120" s="10" t="s">
        <v>372</v>
      </c>
      <c r="G120" s="1">
        <v>0</v>
      </c>
      <c r="H120" s="1">
        <v>0.02</v>
      </c>
      <c r="I120" s="8">
        <v>44862</v>
      </c>
      <c r="J120" s="6">
        <v>382922</v>
      </c>
      <c r="K120" s="6">
        <v>0</v>
      </c>
      <c r="L120" s="6">
        <v>6837.89</v>
      </c>
      <c r="M120" s="6">
        <v>0</v>
      </c>
      <c r="N120" s="7">
        <v>3418.95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11487.66</v>
      </c>
      <c r="U120" s="6">
        <v>10256.84</v>
      </c>
      <c r="V120" s="6">
        <v>205.14</v>
      </c>
      <c r="AI120" s="2">
        <v>382922</v>
      </c>
      <c r="AJ120" s="2">
        <v>0</v>
      </c>
      <c r="AK120" s="2">
        <v>6837.89</v>
      </c>
      <c r="AL120" s="2">
        <v>0</v>
      </c>
      <c r="AM120" s="5">
        <v>3418.95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11487.66</v>
      </c>
      <c r="AT120" s="12">
        <v>10256.84</v>
      </c>
      <c r="AU120" s="2">
        <v>205.14</v>
      </c>
      <c r="BL120" s="1" t="s">
        <v>130</v>
      </c>
    </row>
    <row r="121" spans="1:64" x14ac:dyDescent="0.3">
      <c r="A121" t="s">
        <v>1185</v>
      </c>
      <c r="B121" s="1" t="s">
        <v>1185</v>
      </c>
      <c r="C121" s="9" t="s">
        <v>1190</v>
      </c>
      <c r="D121" s="1" t="s">
        <v>41</v>
      </c>
      <c r="E121" s="1" t="s">
        <v>128</v>
      </c>
      <c r="F121" s="10" t="s">
        <v>372</v>
      </c>
      <c r="G121" s="1">
        <v>0</v>
      </c>
      <c r="H121" s="1">
        <v>0.02</v>
      </c>
      <c r="I121" s="8">
        <v>44967</v>
      </c>
      <c r="J121" s="6">
        <v>597919.15</v>
      </c>
      <c r="K121" s="6">
        <v>28834</v>
      </c>
      <c r="L121" s="6">
        <v>10677.12</v>
      </c>
      <c r="M121" s="6">
        <v>514.89</v>
      </c>
      <c r="N121" s="7">
        <v>5596.01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18802.580000000002</v>
      </c>
      <c r="U121" s="6">
        <v>16788.02</v>
      </c>
      <c r="V121" s="6">
        <v>335.76</v>
      </c>
      <c r="AI121" s="2">
        <v>597919.15</v>
      </c>
      <c r="AJ121" s="2">
        <v>28834</v>
      </c>
      <c r="AK121" s="2">
        <v>10677.12</v>
      </c>
      <c r="AL121" s="2">
        <v>514.89</v>
      </c>
      <c r="AM121" s="5">
        <v>5596.01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18802.580000000002</v>
      </c>
      <c r="AT121" s="12">
        <v>16788.02</v>
      </c>
      <c r="AU121" s="2">
        <v>335.76</v>
      </c>
      <c r="BL121" s="1" t="s">
        <v>130</v>
      </c>
    </row>
    <row r="122" spans="1:64" x14ac:dyDescent="0.3">
      <c r="A122" t="s">
        <v>1185</v>
      </c>
      <c r="B122" s="1" t="s">
        <v>1191</v>
      </c>
      <c r="C122" s="9" t="s">
        <v>1192</v>
      </c>
      <c r="D122" s="1" t="s">
        <v>41</v>
      </c>
      <c r="E122" s="1" t="s">
        <v>128</v>
      </c>
      <c r="F122" s="10" t="s">
        <v>372</v>
      </c>
      <c r="G122" s="1">
        <v>0</v>
      </c>
      <c r="H122" s="1">
        <v>0.02</v>
      </c>
      <c r="I122" s="8">
        <v>45238</v>
      </c>
      <c r="J122" s="6">
        <v>303750.59999999998</v>
      </c>
      <c r="K122" s="6">
        <v>1920</v>
      </c>
      <c r="L122" s="6">
        <v>5424.12</v>
      </c>
      <c r="M122" s="6">
        <v>34.29</v>
      </c>
      <c r="N122" s="7">
        <v>2729.21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9170.1299999999992</v>
      </c>
      <c r="U122" s="6">
        <v>8187.62</v>
      </c>
      <c r="V122" s="6">
        <v>163.75</v>
      </c>
      <c r="AI122" s="2">
        <v>303750.59999999998</v>
      </c>
      <c r="AJ122" s="2">
        <v>1920</v>
      </c>
      <c r="AK122" s="2">
        <v>5424.12</v>
      </c>
      <c r="AL122" s="2">
        <v>34.29</v>
      </c>
      <c r="AM122" s="5">
        <v>2729.21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9170.1299999999992</v>
      </c>
      <c r="AT122" s="12">
        <v>8187.62</v>
      </c>
      <c r="AU122" s="2">
        <v>163.75</v>
      </c>
      <c r="BL122" s="1" t="s">
        <v>130</v>
      </c>
    </row>
    <row r="123" spans="1:64" x14ac:dyDescent="0.3">
      <c r="A123" t="s">
        <v>1193</v>
      </c>
      <c r="B123" s="1" t="s">
        <v>1193</v>
      </c>
      <c r="C123" s="9" t="s">
        <v>1194</v>
      </c>
      <c r="D123" s="1" t="s">
        <v>41</v>
      </c>
      <c r="E123" s="1" t="s">
        <v>128</v>
      </c>
      <c r="F123" s="10" t="s">
        <v>331</v>
      </c>
      <c r="G123" s="1">
        <v>0</v>
      </c>
      <c r="H123" s="1">
        <v>0.02</v>
      </c>
      <c r="I123" s="8">
        <v>45034</v>
      </c>
      <c r="J123" s="6">
        <v>261451</v>
      </c>
      <c r="K123" s="6">
        <v>19244</v>
      </c>
      <c r="L123" s="6">
        <v>4668.7700000000004</v>
      </c>
      <c r="M123" s="6">
        <v>343.64</v>
      </c>
      <c r="N123" s="7">
        <v>2506.21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8420.85</v>
      </c>
      <c r="U123" s="6">
        <v>7518.6200000000008</v>
      </c>
      <c r="V123" s="6">
        <v>150.37</v>
      </c>
      <c r="AI123" s="2">
        <v>261451</v>
      </c>
      <c r="AJ123" s="2">
        <v>19244</v>
      </c>
      <c r="AK123" s="2">
        <v>4668.7700000000004</v>
      </c>
      <c r="AL123" s="2">
        <v>343.64</v>
      </c>
      <c r="AM123" s="5">
        <v>2506.21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8420.85</v>
      </c>
      <c r="AT123" s="12">
        <v>7518.6200000000008</v>
      </c>
      <c r="AU123" s="2">
        <v>150.37</v>
      </c>
      <c r="BL123" s="1" t="s">
        <v>130</v>
      </c>
    </row>
    <row r="124" spans="1:64" x14ac:dyDescent="0.3">
      <c r="A124" t="s">
        <v>1193</v>
      </c>
      <c r="B124" s="1" t="s">
        <v>1195</v>
      </c>
      <c r="C124" s="9" t="s">
        <v>1196</v>
      </c>
      <c r="D124" s="1" t="s">
        <v>41</v>
      </c>
      <c r="E124" s="1" t="s">
        <v>128</v>
      </c>
      <c r="F124" s="10" t="s">
        <v>331</v>
      </c>
      <c r="G124" s="1">
        <v>0</v>
      </c>
      <c r="H124" s="1">
        <v>0.02</v>
      </c>
      <c r="I124" s="8">
        <v>45034</v>
      </c>
      <c r="J124" s="6">
        <v>154740</v>
      </c>
      <c r="K124" s="6">
        <v>10920</v>
      </c>
      <c r="L124" s="6">
        <v>2763.21</v>
      </c>
      <c r="M124" s="6">
        <v>195</v>
      </c>
      <c r="N124" s="7">
        <v>1479.11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4969.8</v>
      </c>
      <c r="U124" s="6">
        <v>4437.32</v>
      </c>
      <c r="V124" s="6">
        <v>88.75</v>
      </c>
      <c r="AI124" s="2">
        <v>154740</v>
      </c>
      <c r="AJ124" s="2">
        <v>10920</v>
      </c>
      <c r="AK124" s="2">
        <v>2763.21</v>
      </c>
      <c r="AL124" s="2">
        <v>195</v>
      </c>
      <c r="AM124" s="5">
        <v>1479.11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4969.8</v>
      </c>
      <c r="AT124" s="12">
        <v>4437.32</v>
      </c>
      <c r="AU124" s="2">
        <v>88.75</v>
      </c>
      <c r="BL124" s="1" t="s">
        <v>130</v>
      </c>
    </row>
    <row r="125" spans="1:64" x14ac:dyDescent="0.3">
      <c r="A125" t="s">
        <v>1193</v>
      </c>
      <c r="B125" s="1" t="s">
        <v>1197</v>
      </c>
      <c r="C125" s="9" t="s">
        <v>1198</v>
      </c>
      <c r="D125" s="1" t="s">
        <v>41</v>
      </c>
      <c r="E125" s="1" t="s">
        <v>128</v>
      </c>
      <c r="F125" s="10" t="s">
        <v>331</v>
      </c>
      <c r="G125" s="1">
        <v>0</v>
      </c>
      <c r="H125" s="1">
        <v>0.02</v>
      </c>
      <c r="I125" s="8">
        <v>45035</v>
      </c>
      <c r="J125" s="6">
        <v>150739</v>
      </c>
      <c r="K125" s="6">
        <v>10966</v>
      </c>
      <c r="L125" s="6">
        <v>2691.77</v>
      </c>
      <c r="M125" s="6">
        <v>195.82</v>
      </c>
      <c r="N125" s="7">
        <v>1443.79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4851.1499999999996</v>
      </c>
      <c r="U125" s="6">
        <v>4331.38</v>
      </c>
      <c r="V125" s="6">
        <v>86.63</v>
      </c>
      <c r="AI125" s="2">
        <v>150739</v>
      </c>
      <c r="AJ125" s="2">
        <v>10966</v>
      </c>
      <c r="AK125" s="2">
        <v>2691.77</v>
      </c>
      <c r="AL125" s="2">
        <v>195.82</v>
      </c>
      <c r="AM125" s="5">
        <v>1443.79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4851.1499999999996</v>
      </c>
      <c r="AT125" s="12">
        <v>4331.38</v>
      </c>
      <c r="AU125" s="2">
        <v>86.63</v>
      </c>
      <c r="BL125" s="1" t="s">
        <v>130</v>
      </c>
    </row>
    <row r="126" spans="1:64" x14ac:dyDescent="0.3">
      <c r="A126" t="s">
        <v>1199</v>
      </c>
      <c r="B126" s="1" t="s">
        <v>1199</v>
      </c>
      <c r="C126" s="9" t="s">
        <v>1200</v>
      </c>
      <c r="D126" s="1" t="s">
        <v>41</v>
      </c>
      <c r="E126" s="1" t="s">
        <v>135</v>
      </c>
      <c r="F126" s="10" t="s">
        <v>467</v>
      </c>
      <c r="G126" s="1">
        <v>0</v>
      </c>
      <c r="H126" s="1">
        <v>0.02</v>
      </c>
      <c r="I126" s="8">
        <v>45066</v>
      </c>
      <c r="J126" s="6">
        <v>308019.80999999994</v>
      </c>
      <c r="K126" s="6">
        <v>91821.200000000012</v>
      </c>
      <c r="L126" s="6">
        <v>5500.36</v>
      </c>
      <c r="M126" s="6">
        <v>1639.66</v>
      </c>
      <c r="N126" s="7">
        <v>3570.01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11995.23</v>
      </c>
      <c r="U126" s="6">
        <v>10710.029999999999</v>
      </c>
      <c r="V126" s="6">
        <v>214.2</v>
      </c>
      <c r="AI126" s="2">
        <v>308019.80999999994</v>
      </c>
      <c r="AJ126" s="2">
        <v>91821.200000000012</v>
      </c>
      <c r="AK126" s="2">
        <v>5500.36</v>
      </c>
      <c r="AL126" s="2">
        <v>1639.66</v>
      </c>
      <c r="AM126" s="5">
        <v>3570.01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11995.23</v>
      </c>
      <c r="AT126" s="12">
        <v>10710.029999999999</v>
      </c>
      <c r="AU126" s="2">
        <v>214.2</v>
      </c>
      <c r="BL126" s="1" t="s">
        <v>302</v>
      </c>
    </row>
    <row r="127" spans="1:64" x14ac:dyDescent="0.3">
      <c r="A127" t="s">
        <v>1201</v>
      </c>
      <c r="B127" s="1" t="s">
        <v>1201</v>
      </c>
      <c r="C127" s="9" t="s">
        <v>1202</v>
      </c>
      <c r="D127" s="1" t="s">
        <v>41</v>
      </c>
      <c r="E127" s="1" t="s">
        <v>128</v>
      </c>
      <c r="F127" s="10" t="s">
        <v>372</v>
      </c>
      <c r="G127" s="1">
        <v>0</v>
      </c>
      <c r="H127" s="1">
        <v>0.02</v>
      </c>
      <c r="I127" s="8">
        <v>45056</v>
      </c>
      <c r="J127" s="6">
        <v>558836.37</v>
      </c>
      <c r="K127" s="6">
        <v>29843.800000000003</v>
      </c>
      <c r="L127" s="6">
        <v>9979.2199999999993</v>
      </c>
      <c r="M127" s="6">
        <v>532.92999999999995</v>
      </c>
      <c r="N127" s="7">
        <v>5256.07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17660.41</v>
      </c>
      <c r="U127" s="6">
        <v>15768.22</v>
      </c>
      <c r="V127" s="6">
        <v>315.36</v>
      </c>
      <c r="AI127" s="2">
        <v>558836.37</v>
      </c>
      <c r="AJ127" s="2">
        <v>29843.800000000003</v>
      </c>
      <c r="AK127" s="2">
        <v>9979.2199999999993</v>
      </c>
      <c r="AL127" s="2">
        <v>532.92999999999995</v>
      </c>
      <c r="AM127" s="5">
        <v>5256.07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17660.41</v>
      </c>
      <c r="AT127" s="12">
        <v>15768.22</v>
      </c>
      <c r="AU127" s="2">
        <v>315.36</v>
      </c>
      <c r="BL127" s="1" t="s">
        <v>130</v>
      </c>
    </row>
    <row r="128" spans="1:64" x14ac:dyDescent="0.3">
      <c r="A128" t="s">
        <v>1203</v>
      </c>
      <c r="B128" s="1" t="s">
        <v>1203</v>
      </c>
      <c r="C128" s="9" t="s">
        <v>1204</v>
      </c>
      <c r="D128" s="1" t="s">
        <v>41</v>
      </c>
      <c r="E128" s="1" t="s">
        <v>88</v>
      </c>
      <c r="F128" s="10" t="s">
        <v>671</v>
      </c>
      <c r="G128" s="1">
        <v>0</v>
      </c>
      <c r="H128" s="1">
        <v>0.02</v>
      </c>
      <c r="I128" s="8">
        <v>45161</v>
      </c>
      <c r="J128" s="6">
        <v>136819</v>
      </c>
      <c r="K128" s="6">
        <v>22524</v>
      </c>
      <c r="L128" s="6">
        <v>2443.1999999999998</v>
      </c>
      <c r="M128" s="6">
        <v>402.21</v>
      </c>
      <c r="N128" s="7">
        <v>1422.71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4780.29</v>
      </c>
      <c r="U128" s="6">
        <v>4268.12</v>
      </c>
      <c r="V128" s="6">
        <v>85.36</v>
      </c>
      <c r="AI128" s="2">
        <v>136819</v>
      </c>
      <c r="AJ128" s="2">
        <v>22524</v>
      </c>
      <c r="AK128" s="2">
        <v>2443.1999999999998</v>
      </c>
      <c r="AL128" s="2">
        <v>402.21</v>
      </c>
      <c r="AM128" s="5">
        <v>1422.71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4780.29</v>
      </c>
      <c r="AT128" s="12">
        <v>4268.12</v>
      </c>
      <c r="AU128" s="2">
        <v>85.36</v>
      </c>
      <c r="BL128" s="1" t="s">
        <v>90</v>
      </c>
    </row>
    <row r="129" spans="1:64" x14ac:dyDescent="0.3">
      <c r="A129" t="s">
        <v>1203</v>
      </c>
      <c r="B129" s="1" t="s">
        <v>1205</v>
      </c>
      <c r="C129" s="9" t="s">
        <v>1206</v>
      </c>
      <c r="D129" s="1" t="s">
        <v>41</v>
      </c>
      <c r="E129" s="1" t="s">
        <v>88</v>
      </c>
      <c r="F129" s="10" t="s">
        <v>671</v>
      </c>
      <c r="G129" s="1">
        <v>0</v>
      </c>
      <c r="H129" s="1">
        <v>0.02</v>
      </c>
      <c r="I129" s="8">
        <v>45474</v>
      </c>
      <c r="J129" s="6">
        <v>102779</v>
      </c>
      <c r="K129" s="6">
        <v>58839</v>
      </c>
      <c r="L129" s="6">
        <v>1835.34</v>
      </c>
      <c r="M129" s="6">
        <v>1050.7</v>
      </c>
      <c r="N129" s="7">
        <v>1443.02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4848.55</v>
      </c>
      <c r="U129" s="6">
        <v>4329.0599999999995</v>
      </c>
      <c r="V129" s="6">
        <v>86.58</v>
      </c>
      <c r="AI129" s="2">
        <v>102779</v>
      </c>
      <c r="AJ129" s="2">
        <v>58839</v>
      </c>
      <c r="AK129" s="2">
        <v>1835.34</v>
      </c>
      <c r="AL129" s="2">
        <v>1050.7</v>
      </c>
      <c r="AM129" s="5">
        <v>1443.02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4848.55</v>
      </c>
      <c r="AT129" s="12">
        <v>4329.0599999999995</v>
      </c>
      <c r="AU129" s="2">
        <v>86.58</v>
      </c>
      <c r="BL129" s="1" t="s">
        <v>90</v>
      </c>
    </row>
    <row r="130" spans="1:64" x14ac:dyDescent="0.3">
      <c r="A130" t="s">
        <v>1217</v>
      </c>
      <c r="B130" s="1" t="s">
        <v>1217</v>
      </c>
      <c r="C130" s="9" t="s">
        <v>1218</v>
      </c>
      <c r="D130" s="1" t="s">
        <v>41</v>
      </c>
      <c r="E130" s="1" t="s">
        <v>88</v>
      </c>
      <c r="F130" s="10" t="s">
        <v>671</v>
      </c>
      <c r="G130" s="1">
        <v>0</v>
      </c>
      <c r="H130" s="1">
        <v>0.02</v>
      </c>
      <c r="I130" s="8">
        <v>45135</v>
      </c>
      <c r="J130" s="6">
        <v>166920</v>
      </c>
      <c r="K130" s="6">
        <v>59647</v>
      </c>
      <c r="L130" s="6">
        <v>2980.71</v>
      </c>
      <c r="M130" s="6">
        <v>1065.1199999999999</v>
      </c>
      <c r="N130" s="7">
        <v>2022.92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6797</v>
      </c>
      <c r="U130" s="6">
        <v>6068.75</v>
      </c>
      <c r="V130" s="6">
        <v>121.38</v>
      </c>
      <c r="AI130" s="2">
        <v>166920</v>
      </c>
      <c r="AJ130" s="2">
        <v>59647</v>
      </c>
      <c r="AK130" s="2">
        <v>2980.71</v>
      </c>
      <c r="AL130" s="2">
        <v>1065.1199999999999</v>
      </c>
      <c r="AM130" s="5">
        <v>2022.92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6797</v>
      </c>
      <c r="AT130" s="12">
        <v>6068.75</v>
      </c>
      <c r="AU130" s="2">
        <v>121.38</v>
      </c>
      <c r="BL130" s="1" t="s">
        <v>90</v>
      </c>
    </row>
    <row r="131" spans="1:64" x14ac:dyDescent="0.3">
      <c r="A131" t="s">
        <v>1219</v>
      </c>
      <c r="B131" s="1" t="s">
        <v>1219</v>
      </c>
      <c r="C131" s="9" t="s">
        <v>1220</v>
      </c>
      <c r="D131" s="1" t="s">
        <v>41</v>
      </c>
      <c r="E131" s="1" t="s">
        <v>88</v>
      </c>
      <c r="F131" s="10" t="s">
        <v>671</v>
      </c>
      <c r="G131" s="1">
        <v>0</v>
      </c>
      <c r="H131" s="1">
        <v>0.02</v>
      </c>
      <c r="I131" s="8">
        <v>45093</v>
      </c>
      <c r="J131" s="6">
        <v>152091</v>
      </c>
      <c r="K131" s="6">
        <v>29697</v>
      </c>
      <c r="L131" s="6">
        <v>2715.91</v>
      </c>
      <c r="M131" s="6">
        <v>530.29999999999995</v>
      </c>
      <c r="N131" s="7">
        <v>1623.11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5453.64</v>
      </c>
      <c r="U131" s="6">
        <v>4869.32</v>
      </c>
      <c r="V131" s="6">
        <v>97.39</v>
      </c>
      <c r="AI131" s="2">
        <v>152091</v>
      </c>
      <c r="AJ131" s="2">
        <v>29697</v>
      </c>
      <c r="AK131" s="2">
        <v>2715.91</v>
      </c>
      <c r="AL131" s="2">
        <v>530.29999999999995</v>
      </c>
      <c r="AM131" s="5">
        <v>1623.11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5453.64</v>
      </c>
      <c r="AT131" s="12">
        <v>4869.32</v>
      </c>
      <c r="AU131" s="2">
        <v>97.39</v>
      </c>
      <c r="BL131" s="1" t="s">
        <v>90</v>
      </c>
    </row>
    <row r="132" spans="1:64" x14ac:dyDescent="0.3">
      <c r="A132" t="s">
        <v>1268</v>
      </c>
      <c r="B132" s="1" t="s">
        <v>1268</v>
      </c>
      <c r="C132" s="9" t="s">
        <v>1269</v>
      </c>
      <c r="D132" s="1" t="s">
        <v>41</v>
      </c>
      <c r="E132" s="1" t="s">
        <v>135</v>
      </c>
      <c r="F132" s="10" t="s">
        <v>752</v>
      </c>
      <c r="G132" s="1">
        <v>0</v>
      </c>
      <c r="H132" s="1">
        <v>0.02</v>
      </c>
      <c r="I132" s="8">
        <v>45118</v>
      </c>
      <c r="J132" s="6">
        <v>239768</v>
      </c>
      <c r="K132" s="6">
        <v>53403</v>
      </c>
      <c r="L132" s="6">
        <v>4281.57</v>
      </c>
      <c r="M132" s="6">
        <v>953.62</v>
      </c>
      <c r="N132" s="7">
        <v>2617.6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8795.1200000000008</v>
      </c>
      <c r="U132" s="6">
        <v>7852.7899999999991</v>
      </c>
      <c r="V132" s="6">
        <v>157.06</v>
      </c>
      <c r="AI132" s="2">
        <v>239768</v>
      </c>
      <c r="AJ132" s="2">
        <v>53403</v>
      </c>
      <c r="AK132" s="2">
        <v>4281.57</v>
      </c>
      <c r="AL132" s="2">
        <v>953.62</v>
      </c>
      <c r="AM132" s="5">
        <v>2617.6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8795.1200000000008</v>
      </c>
      <c r="AT132" s="12">
        <v>7852.7899999999991</v>
      </c>
      <c r="AU132" s="2">
        <v>157.06</v>
      </c>
      <c r="BL132" s="1" t="s">
        <v>302</v>
      </c>
    </row>
    <row r="133" spans="1:64" x14ac:dyDescent="0.3">
      <c r="A133" t="s">
        <v>1268</v>
      </c>
      <c r="B133" s="1" t="s">
        <v>1270</v>
      </c>
      <c r="C133" s="9" t="s">
        <v>1271</v>
      </c>
      <c r="D133" s="1" t="s">
        <v>41</v>
      </c>
      <c r="E133" s="1" t="s">
        <v>135</v>
      </c>
      <c r="F133" s="10" t="s">
        <v>752</v>
      </c>
      <c r="G133" s="1">
        <v>0</v>
      </c>
      <c r="H133" s="1">
        <v>0.02</v>
      </c>
      <c r="I133" s="8">
        <v>45264</v>
      </c>
      <c r="J133" s="6">
        <v>229735</v>
      </c>
      <c r="K133" s="6">
        <v>16842</v>
      </c>
      <c r="L133" s="6">
        <v>4102.41</v>
      </c>
      <c r="M133" s="6">
        <v>300.75</v>
      </c>
      <c r="N133" s="7">
        <v>2201.58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7397.31</v>
      </c>
      <c r="U133" s="6">
        <v>6604.74</v>
      </c>
      <c r="V133" s="6">
        <v>132.09</v>
      </c>
      <c r="AI133" s="2">
        <v>229735</v>
      </c>
      <c r="AJ133" s="2">
        <v>16842</v>
      </c>
      <c r="AK133" s="2">
        <v>4102.41</v>
      </c>
      <c r="AL133" s="2">
        <v>300.75</v>
      </c>
      <c r="AM133" s="5">
        <v>2201.58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7397.31</v>
      </c>
      <c r="AT133" s="12">
        <v>6604.74</v>
      </c>
      <c r="AU133" s="2">
        <v>132.09</v>
      </c>
      <c r="BL133" s="1" t="s">
        <v>302</v>
      </c>
    </row>
    <row r="134" spans="1:64" x14ac:dyDescent="0.3">
      <c r="A134" t="s">
        <v>1282</v>
      </c>
      <c r="B134" s="1" t="s">
        <v>1282</v>
      </c>
      <c r="C134" s="9" t="s">
        <v>1283</v>
      </c>
      <c r="D134" s="1" t="s">
        <v>41</v>
      </c>
      <c r="E134" s="1" t="s">
        <v>88</v>
      </c>
      <c r="F134" s="10" t="s">
        <v>671</v>
      </c>
      <c r="G134" s="1">
        <v>0</v>
      </c>
      <c r="H134" s="1">
        <v>0.02</v>
      </c>
      <c r="I134" s="8">
        <v>45230</v>
      </c>
      <c r="J134" s="6">
        <v>302539</v>
      </c>
      <c r="K134" s="6">
        <v>70793</v>
      </c>
      <c r="L134" s="6">
        <v>5402.48</v>
      </c>
      <c r="M134" s="6">
        <v>1264.1600000000001</v>
      </c>
      <c r="N134" s="7">
        <v>3333.32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11199.96</v>
      </c>
      <c r="U134" s="6">
        <v>9999.9599999999991</v>
      </c>
      <c r="V134" s="6">
        <v>200</v>
      </c>
      <c r="AI134" s="2">
        <v>302539</v>
      </c>
      <c r="AJ134" s="2">
        <v>70793</v>
      </c>
      <c r="AK134" s="2">
        <v>5402.48</v>
      </c>
      <c r="AL134" s="2">
        <v>1264.1600000000001</v>
      </c>
      <c r="AM134" s="5">
        <v>3333.32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11199.96</v>
      </c>
      <c r="AT134" s="12">
        <v>9999.9599999999991</v>
      </c>
      <c r="AU134" s="2">
        <v>200</v>
      </c>
      <c r="BL134" s="1" t="s">
        <v>90</v>
      </c>
    </row>
    <row r="135" spans="1:64" x14ac:dyDescent="0.3">
      <c r="A135" t="s">
        <v>1308</v>
      </c>
      <c r="B135" s="1" t="s">
        <v>1308</v>
      </c>
      <c r="C135" s="9" t="s">
        <v>1309</v>
      </c>
      <c r="D135" s="1" t="s">
        <v>41</v>
      </c>
      <c r="E135" s="1" t="s">
        <v>128</v>
      </c>
      <c r="F135" s="10" t="s">
        <v>331</v>
      </c>
      <c r="G135" s="1">
        <v>0</v>
      </c>
      <c r="H135" s="1">
        <v>0.02</v>
      </c>
      <c r="I135" s="8">
        <v>45289</v>
      </c>
      <c r="J135" s="6">
        <v>555424.6</v>
      </c>
      <c r="K135" s="6">
        <v>19032</v>
      </c>
      <c r="L135" s="6">
        <v>9918.2900000000009</v>
      </c>
      <c r="M135" s="6">
        <v>339.86</v>
      </c>
      <c r="N135" s="7">
        <v>5129.08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17233.7</v>
      </c>
      <c r="U135" s="6">
        <v>15387.230000000001</v>
      </c>
      <c r="V135" s="6">
        <v>307.74</v>
      </c>
      <c r="AI135" s="2">
        <v>555424.6</v>
      </c>
      <c r="AJ135" s="2">
        <v>19032</v>
      </c>
      <c r="AK135" s="2">
        <v>9918.2900000000009</v>
      </c>
      <c r="AL135" s="2">
        <v>339.86</v>
      </c>
      <c r="AM135" s="5">
        <v>5129.08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17233.7</v>
      </c>
      <c r="AT135" s="12">
        <v>15387.230000000001</v>
      </c>
      <c r="AU135" s="2">
        <v>307.74</v>
      </c>
      <c r="BL135" s="1" t="s">
        <v>130</v>
      </c>
    </row>
    <row r="136" spans="1:64" x14ac:dyDescent="0.3">
      <c r="A136" t="s">
        <v>1308</v>
      </c>
      <c r="B136" s="1" t="s">
        <v>1310</v>
      </c>
      <c r="C136" s="9" t="s">
        <v>1311</v>
      </c>
      <c r="D136" s="1" t="s">
        <v>41</v>
      </c>
      <c r="E136" s="1" t="s">
        <v>128</v>
      </c>
      <c r="F136" s="10" t="s">
        <v>331</v>
      </c>
      <c r="G136" s="1">
        <v>0</v>
      </c>
      <c r="H136" s="1">
        <v>0.02</v>
      </c>
      <c r="I136" s="8">
        <v>45330</v>
      </c>
      <c r="J136" s="6">
        <v>227085</v>
      </c>
      <c r="K136" s="6">
        <v>0</v>
      </c>
      <c r="L136" s="6">
        <v>4055.09</v>
      </c>
      <c r="M136" s="6">
        <v>0</v>
      </c>
      <c r="N136" s="7">
        <v>2027.54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6812.55</v>
      </c>
      <c r="U136" s="6">
        <v>6082.63</v>
      </c>
      <c r="V136" s="6">
        <v>121.65</v>
      </c>
      <c r="AI136" s="2">
        <v>227085</v>
      </c>
      <c r="AJ136" s="2">
        <v>0</v>
      </c>
      <c r="AK136" s="2">
        <v>4055.09</v>
      </c>
      <c r="AL136" s="2">
        <v>0</v>
      </c>
      <c r="AM136" s="5">
        <v>2027.54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6812.55</v>
      </c>
      <c r="AT136" s="12">
        <v>6082.63</v>
      </c>
      <c r="AU136" s="2">
        <v>121.65</v>
      </c>
      <c r="BL136" s="1" t="s">
        <v>130</v>
      </c>
    </row>
    <row r="137" spans="1:64" x14ac:dyDescent="0.3">
      <c r="A137" t="s">
        <v>1316</v>
      </c>
      <c r="B137" s="1" t="s">
        <v>1316</v>
      </c>
      <c r="C137" s="9" t="s">
        <v>1317</v>
      </c>
      <c r="D137" s="1" t="s">
        <v>41</v>
      </c>
      <c r="E137" s="1" t="s">
        <v>128</v>
      </c>
      <c r="F137" s="10" t="s">
        <v>331</v>
      </c>
      <c r="G137" s="1">
        <v>0</v>
      </c>
      <c r="H137" s="1">
        <v>0.02</v>
      </c>
      <c r="I137" s="8">
        <v>45219</v>
      </c>
      <c r="J137" s="6">
        <v>235257.25</v>
      </c>
      <c r="K137" s="6">
        <v>23396</v>
      </c>
      <c r="L137" s="6">
        <v>4201.03</v>
      </c>
      <c r="M137" s="6">
        <v>417.79</v>
      </c>
      <c r="N137" s="7">
        <v>2309.4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7759.61</v>
      </c>
      <c r="U137" s="6">
        <v>6928.2199999999993</v>
      </c>
      <c r="V137" s="6">
        <v>138.56</v>
      </c>
      <c r="AI137" s="2">
        <v>235257.25</v>
      </c>
      <c r="AJ137" s="2">
        <v>23396</v>
      </c>
      <c r="AK137" s="2">
        <v>4201.03</v>
      </c>
      <c r="AL137" s="2">
        <v>417.79</v>
      </c>
      <c r="AM137" s="5">
        <v>2309.4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7759.61</v>
      </c>
      <c r="AT137" s="12">
        <v>6928.2199999999993</v>
      </c>
      <c r="AU137" s="2">
        <v>138.56</v>
      </c>
      <c r="BL137" s="1" t="s">
        <v>130</v>
      </c>
    </row>
    <row r="138" spans="1:64" x14ac:dyDescent="0.3">
      <c r="A138" t="s">
        <v>1326</v>
      </c>
      <c r="B138" s="1" t="s">
        <v>1326</v>
      </c>
      <c r="C138" s="9" t="s">
        <v>1327</v>
      </c>
      <c r="D138" s="1" t="s">
        <v>41</v>
      </c>
      <c r="E138" s="1" t="s">
        <v>135</v>
      </c>
      <c r="F138" s="10" t="s">
        <v>467</v>
      </c>
      <c r="G138" s="1">
        <v>0</v>
      </c>
      <c r="H138" s="1">
        <v>0.02</v>
      </c>
      <c r="I138" s="8">
        <v>45254</v>
      </c>
      <c r="J138" s="6">
        <v>480737</v>
      </c>
      <c r="K138" s="6">
        <v>60717</v>
      </c>
      <c r="L138" s="6">
        <v>8584.59</v>
      </c>
      <c r="M138" s="6">
        <v>1084.23</v>
      </c>
      <c r="N138" s="7">
        <v>4834.41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16243.62</v>
      </c>
      <c r="U138" s="6">
        <v>14503.23</v>
      </c>
      <c r="V138" s="6">
        <v>290.06</v>
      </c>
      <c r="AI138" s="2">
        <v>480737</v>
      </c>
      <c r="AJ138" s="2">
        <v>60717</v>
      </c>
      <c r="AK138" s="2">
        <v>8584.59</v>
      </c>
      <c r="AL138" s="2">
        <v>1084.23</v>
      </c>
      <c r="AM138" s="5">
        <v>4834.41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16243.62</v>
      </c>
      <c r="AT138" s="12">
        <v>14503.23</v>
      </c>
      <c r="AU138" s="2">
        <v>290.06</v>
      </c>
      <c r="BL138" s="1" t="s">
        <v>302</v>
      </c>
    </row>
    <row r="139" spans="1:64" x14ac:dyDescent="0.3">
      <c r="A139" t="s">
        <v>1326</v>
      </c>
      <c r="B139" s="1" t="s">
        <v>1328</v>
      </c>
      <c r="C139" s="9" t="s">
        <v>1329</v>
      </c>
      <c r="D139" s="1" t="s">
        <v>41</v>
      </c>
      <c r="E139" s="1" t="s">
        <v>135</v>
      </c>
      <c r="F139" s="10" t="s">
        <v>467</v>
      </c>
      <c r="G139" s="1">
        <v>0</v>
      </c>
      <c r="H139" s="1">
        <v>0.02</v>
      </c>
      <c r="I139" s="8">
        <v>45219</v>
      </c>
      <c r="J139" s="6">
        <v>100059</v>
      </c>
      <c r="K139" s="6">
        <v>19915</v>
      </c>
      <c r="L139" s="6">
        <v>1786.77</v>
      </c>
      <c r="M139" s="6">
        <v>355.62</v>
      </c>
      <c r="N139" s="7">
        <v>1071.2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3599.22</v>
      </c>
      <c r="U139" s="6">
        <v>3213.59</v>
      </c>
      <c r="V139" s="6">
        <v>64.27</v>
      </c>
      <c r="AI139" s="2">
        <v>100059</v>
      </c>
      <c r="AJ139" s="2">
        <v>19915</v>
      </c>
      <c r="AK139" s="2">
        <v>1786.77</v>
      </c>
      <c r="AL139" s="2">
        <v>355.62</v>
      </c>
      <c r="AM139" s="5">
        <v>1071.2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3599.22</v>
      </c>
      <c r="AT139" s="12">
        <v>3213.59</v>
      </c>
      <c r="AU139" s="2">
        <v>64.27</v>
      </c>
      <c r="BL139" s="1" t="s">
        <v>302</v>
      </c>
    </row>
    <row r="140" spans="1:64" x14ac:dyDescent="0.3">
      <c r="A140" t="s">
        <v>1326</v>
      </c>
      <c r="B140" s="1" t="s">
        <v>1330</v>
      </c>
      <c r="C140" s="9" t="s">
        <v>1331</v>
      </c>
      <c r="D140" s="1" t="s">
        <v>41</v>
      </c>
      <c r="E140" s="1" t="s">
        <v>135</v>
      </c>
      <c r="F140" s="10" t="s">
        <v>467</v>
      </c>
      <c r="G140" s="1">
        <v>0</v>
      </c>
      <c r="H140" s="1">
        <v>0.02</v>
      </c>
      <c r="I140" s="8">
        <v>45315</v>
      </c>
      <c r="J140" s="6">
        <v>266987</v>
      </c>
      <c r="K140" s="6">
        <v>38305</v>
      </c>
      <c r="L140" s="6">
        <v>4767.62</v>
      </c>
      <c r="M140" s="6">
        <v>684.02</v>
      </c>
      <c r="N140" s="7">
        <v>2725.82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9158.76</v>
      </c>
      <c r="U140" s="6">
        <v>8177.4599999999991</v>
      </c>
      <c r="V140" s="6">
        <v>163.55000000000001</v>
      </c>
      <c r="AI140" s="2">
        <v>266987</v>
      </c>
      <c r="AJ140" s="2">
        <v>38305</v>
      </c>
      <c r="AK140" s="2">
        <v>4767.62</v>
      </c>
      <c r="AL140" s="2">
        <v>684.02</v>
      </c>
      <c r="AM140" s="5">
        <v>2725.82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9158.76</v>
      </c>
      <c r="AT140" s="12">
        <v>8177.4599999999991</v>
      </c>
      <c r="AU140" s="2">
        <v>163.55000000000001</v>
      </c>
      <c r="BL140" s="1" t="s">
        <v>302</v>
      </c>
    </row>
    <row r="141" spans="1:64" x14ac:dyDescent="0.3">
      <c r="A141" t="s">
        <v>1326</v>
      </c>
      <c r="B141" s="1" t="s">
        <v>1332</v>
      </c>
      <c r="C141" s="9" t="s">
        <v>1333</v>
      </c>
      <c r="D141" s="1" t="s">
        <v>41</v>
      </c>
      <c r="E141" s="1" t="s">
        <v>135</v>
      </c>
      <c r="F141" s="10" t="s">
        <v>467</v>
      </c>
      <c r="G141" s="1">
        <v>0</v>
      </c>
      <c r="H141" s="1">
        <v>0.02</v>
      </c>
      <c r="I141" s="8">
        <v>45771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191711.40000000002</v>
      </c>
      <c r="P141" s="6">
        <v>0</v>
      </c>
      <c r="Q141" s="6">
        <v>798.79</v>
      </c>
      <c r="R141" s="6">
        <v>0</v>
      </c>
      <c r="S141" s="7">
        <v>0</v>
      </c>
      <c r="T141" s="11">
        <v>894.64</v>
      </c>
      <c r="U141" s="6">
        <v>798.79</v>
      </c>
      <c r="V141" s="6">
        <v>15.98</v>
      </c>
      <c r="AI141" s="2">
        <v>0</v>
      </c>
      <c r="AJ141" s="2">
        <v>0</v>
      </c>
      <c r="AK141" s="2">
        <v>0</v>
      </c>
      <c r="AL141" s="2">
        <v>0</v>
      </c>
      <c r="AM141" s="5">
        <v>0</v>
      </c>
      <c r="AN141" s="12">
        <v>191711.40000000002</v>
      </c>
      <c r="AO141" s="2">
        <v>0</v>
      </c>
      <c r="AP141" s="2">
        <v>798.79</v>
      </c>
      <c r="AQ141" s="2">
        <v>0</v>
      </c>
      <c r="AR141" s="5">
        <v>0</v>
      </c>
      <c r="AS141" s="2">
        <v>894.64</v>
      </c>
      <c r="AT141" s="12">
        <v>798.79</v>
      </c>
      <c r="AU141" s="2">
        <v>15.98</v>
      </c>
      <c r="BL141" s="1" t="s">
        <v>302</v>
      </c>
    </row>
    <row r="142" spans="1:64" x14ac:dyDescent="0.3">
      <c r="A142" t="s">
        <v>1338</v>
      </c>
      <c r="B142" s="1" t="s">
        <v>1339</v>
      </c>
      <c r="C142" s="9" t="s">
        <v>1340</v>
      </c>
      <c r="D142" s="1" t="s">
        <v>41</v>
      </c>
      <c r="E142" s="1" t="s">
        <v>128</v>
      </c>
      <c r="F142" s="10" t="s">
        <v>331</v>
      </c>
      <c r="G142" s="1">
        <v>0</v>
      </c>
      <c r="H142" s="1">
        <v>0.02</v>
      </c>
      <c r="I142" s="8">
        <v>45140</v>
      </c>
      <c r="J142" s="6">
        <v>153322.35</v>
      </c>
      <c r="K142" s="6">
        <v>12395</v>
      </c>
      <c r="L142" s="6">
        <v>2737.9</v>
      </c>
      <c r="M142" s="6">
        <v>221.34</v>
      </c>
      <c r="N142" s="7">
        <v>1479.62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4971.5200000000004</v>
      </c>
      <c r="U142" s="6">
        <v>4438.8600000000006</v>
      </c>
      <c r="V142" s="6">
        <v>88.78</v>
      </c>
      <c r="AI142" s="2">
        <v>153322.35</v>
      </c>
      <c r="AJ142" s="2">
        <v>12395</v>
      </c>
      <c r="AK142" s="2">
        <v>2737.9</v>
      </c>
      <c r="AL142" s="2">
        <v>221.34</v>
      </c>
      <c r="AM142" s="5">
        <v>1479.62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4971.5200000000004</v>
      </c>
      <c r="AT142" s="12">
        <v>4438.8600000000006</v>
      </c>
      <c r="AU142" s="2">
        <v>88.78</v>
      </c>
      <c r="BL142" s="1" t="s">
        <v>130</v>
      </c>
    </row>
    <row r="143" spans="1:64" x14ac:dyDescent="0.3">
      <c r="A143" t="s">
        <v>1338</v>
      </c>
      <c r="B143" s="1" t="s">
        <v>1338</v>
      </c>
      <c r="C143" s="9" t="s">
        <v>1341</v>
      </c>
      <c r="D143" s="1" t="s">
        <v>41</v>
      </c>
      <c r="E143" s="1" t="s">
        <v>128</v>
      </c>
      <c r="F143" s="10" t="s">
        <v>331</v>
      </c>
      <c r="G143" s="1">
        <v>0</v>
      </c>
      <c r="H143" s="1">
        <v>0.02</v>
      </c>
      <c r="I143" s="8">
        <v>45280</v>
      </c>
      <c r="J143" s="6">
        <v>165405.45000000001</v>
      </c>
      <c r="K143" s="6">
        <v>12693</v>
      </c>
      <c r="L143" s="6">
        <v>2953.67</v>
      </c>
      <c r="M143" s="6">
        <v>226.66</v>
      </c>
      <c r="N143" s="7">
        <v>1590.16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5342.95</v>
      </c>
      <c r="U143" s="6">
        <v>4770.49</v>
      </c>
      <c r="V143" s="6">
        <v>95.41</v>
      </c>
      <c r="AI143" s="2">
        <v>165405.45000000001</v>
      </c>
      <c r="AJ143" s="2">
        <v>12693</v>
      </c>
      <c r="AK143" s="2">
        <v>2953.67</v>
      </c>
      <c r="AL143" s="2">
        <v>226.66</v>
      </c>
      <c r="AM143" s="5">
        <v>1590.16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5342.95</v>
      </c>
      <c r="AT143" s="12">
        <v>4770.49</v>
      </c>
      <c r="AU143" s="2">
        <v>95.41</v>
      </c>
      <c r="BL143" s="1" t="s">
        <v>130</v>
      </c>
    </row>
    <row r="144" spans="1:64" x14ac:dyDescent="0.3">
      <c r="A144" t="s">
        <v>1342</v>
      </c>
      <c r="B144" s="1" t="s">
        <v>1342</v>
      </c>
      <c r="C144" s="9" t="s">
        <v>1343</v>
      </c>
      <c r="D144" s="1" t="s">
        <v>41</v>
      </c>
      <c r="E144" s="1" t="s">
        <v>88</v>
      </c>
      <c r="F144" s="10" t="s">
        <v>671</v>
      </c>
      <c r="G144" s="1">
        <v>0</v>
      </c>
      <c r="H144" s="1">
        <v>0.02</v>
      </c>
      <c r="I144" s="8">
        <v>45315</v>
      </c>
      <c r="J144" s="6">
        <v>87597</v>
      </c>
      <c r="K144" s="6">
        <v>21294</v>
      </c>
      <c r="L144" s="6">
        <v>1564.23</v>
      </c>
      <c r="M144" s="6">
        <v>380.25</v>
      </c>
      <c r="N144" s="7">
        <v>972.24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3266.73</v>
      </c>
      <c r="U144" s="6">
        <v>2916.7200000000003</v>
      </c>
      <c r="V144" s="6">
        <v>58.33</v>
      </c>
      <c r="AI144" s="2">
        <v>87597</v>
      </c>
      <c r="AJ144" s="2">
        <v>21294</v>
      </c>
      <c r="AK144" s="2">
        <v>1564.23</v>
      </c>
      <c r="AL144" s="2">
        <v>380.25</v>
      </c>
      <c r="AM144" s="5">
        <v>972.24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3266.73</v>
      </c>
      <c r="AT144" s="12">
        <v>2916.7200000000003</v>
      </c>
      <c r="AU144" s="2">
        <v>58.33</v>
      </c>
      <c r="BL144" s="1" t="s">
        <v>90</v>
      </c>
    </row>
    <row r="145" spans="1:64" x14ac:dyDescent="0.3">
      <c r="A145" t="s">
        <v>1375</v>
      </c>
      <c r="B145" s="1" t="s">
        <v>1376</v>
      </c>
      <c r="C145" s="9" t="s">
        <v>1377</v>
      </c>
      <c r="D145" s="1" t="s">
        <v>41</v>
      </c>
      <c r="E145" s="1" t="s">
        <v>128</v>
      </c>
      <c r="F145" s="10" t="s">
        <v>372</v>
      </c>
      <c r="G145" s="1">
        <v>0</v>
      </c>
      <c r="H145" s="1">
        <v>0.02</v>
      </c>
      <c r="I145" s="8">
        <v>44720</v>
      </c>
      <c r="J145" s="6">
        <v>47270.5</v>
      </c>
      <c r="K145" s="6">
        <v>0</v>
      </c>
      <c r="L145" s="6">
        <v>844.12</v>
      </c>
      <c r="M145" s="6">
        <v>0</v>
      </c>
      <c r="N145" s="7">
        <v>422.05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1418.11</v>
      </c>
      <c r="U145" s="6">
        <v>1266.17</v>
      </c>
      <c r="V145" s="6">
        <v>25.32</v>
      </c>
      <c r="AI145" s="2">
        <v>47270.5</v>
      </c>
      <c r="AJ145" s="2">
        <v>0</v>
      </c>
      <c r="AK145" s="2">
        <v>844.12</v>
      </c>
      <c r="AL145" s="2">
        <v>0</v>
      </c>
      <c r="AM145" s="5">
        <v>422.05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1418.11</v>
      </c>
      <c r="AT145" s="12">
        <v>1266.17</v>
      </c>
      <c r="AU145" s="2">
        <v>25.32</v>
      </c>
      <c r="BL145" s="1" t="s">
        <v>130</v>
      </c>
    </row>
    <row r="146" spans="1:64" x14ac:dyDescent="0.3">
      <c r="A146" t="s">
        <v>1375</v>
      </c>
      <c r="B146" s="1" t="s">
        <v>1375</v>
      </c>
      <c r="C146" s="9" t="s">
        <v>1378</v>
      </c>
      <c r="D146" s="1" t="s">
        <v>41</v>
      </c>
      <c r="E146" s="1" t="s">
        <v>128</v>
      </c>
      <c r="F146" s="10" t="s">
        <v>372</v>
      </c>
      <c r="G146" s="1">
        <v>0</v>
      </c>
      <c r="H146" s="1">
        <v>0.02</v>
      </c>
      <c r="I146" s="8">
        <v>45573</v>
      </c>
      <c r="J146" s="6">
        <v>83168</v>
      </c>
      <c r="K146" s="6">
        <v>16874</v>
      </c>
      <c r="L146" s="6">
        <v>1485.14</v>
      </c>
      <c r="M146" s="6">
        <v>301.32</v>
      </c>
      <c r="N146" s="7">
        <v>893.23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3001.25</v>
      </c>
      <c r="U146" s="6">
        <v>2679.69</v>
      </c>
      <c r="V146" s="6">
        <v>53.59</v>
      </c>
      <c r="AI146" s="2">
        <v>83168</v>
      </c>
      <c r="AJ146" s="2">
        <v>16874</v>
      </c>
      <c r="AK146" s="2">
        <v>1485.14</v>
      </c>
      <c r="AL146" s="2">
        <v>301.32</v>
      </c>
      <c r="AM146" s="5">
        <v>893.23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3001.25</v>
      </c>
      <c r="AT146" s="12">
        <v>2679.69</v>
      </c>
      <c r="AU146" s="2">
        <v>53.59</v>
      </c>
      <c r="BL146" s="1" t="s">
        <v>130</v>
      </c>
    </row>
    <row r="147" spans="1:64" x14ac:dyDescent="0.3">
      <c r="A147" t="s">
        <v>1403</v>
      </c>
      <c r="B147" s="1" t="s">
        <v>1403</v>
      </c>
      <c r="C147" s="9" t="s">
        <v>1404</v>
      </c>
      <c r="D147" s="1" t="s">
        <v>41</v>
      </c>
      <c r="E147" s="1" t="s">
        <v>128</v>
      </c>
      <c r="F147" s="10" t="s">
        <v>385</v>
      </c>
      <c r="G147" s="1">
        <v>0</v>
      </c>
      <c r="H147" s="1">
        <v>0.02</v>
      </c>
      <c r="I147" s="8">
        <v>45349</v>
      </c>
      <c r="J147" s="6">
        <v>453984</v>
      </c>
      <c r="K147" s="6">
        <v>43826</v>
      </c>
      <c r="L147" s="6">
        <v>8106.86</v>
      </c>
      <c r="M147" s="6">
        <v>782.61</v>
      </c>
      <c r="N147" s="7">
        <v>4444.7299999999996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14934.3</v>
      </c>
      <c r="U147" s="6">
        <v>13334.199999999999</v>
      </c>
      <c r="V147" s="6">
        <v>266.68</v>
      </c>
      <c r="AI147" s="2">
        <v>453984</v>
      </c>
      <c r="AJ147" s="2">
        <v>43826</v>
      </c>
      <c r="AK147" s="2">
        <v>8106.86</v>
      </c>
      <c r="AL147" s="2">
        <v>782.61</v>
      </c>
      <c r="AM147" s="5">
        <v>4444.7299999999996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14934.3</v>
      </c>
      <c r="AT147" s="12">
        <v>13334.199999999999</v>
      </c>
      <c r="AU147" s="2">
        <v>266.68</v>
      </c>
      <c r="BL147" s="1" t="s">
        <v>326</v>
      </c>
    </row>
    <row r="148" spans="1:64" x14ac:dyDescent="0.3">
      <c r="A148" t="s">
        <v>265</v>
      </c>
      <c r="B148" s="1" t="s">
        <v>265</v>
      </c>
      <c r="C148" s="9" t="s">
        <v>266</v>
      </c>
      <c r="D148" s="1" t="s">
        <v>42</v>
      </c>
      <c r="E148" s="1" t="s">
        <v>88</v>
      </c>
      <c r="F148" s="10" t="s">
        <v>267</v>
      </c>
      <c r="G148" s="1">
        <v>2.5000000000000001E-2</v>
      </c>
      <c r="H148" s="1">
        <v>0.02</v>
      </c>
      <c r="I148" s="8">
        <v>45527</v>
      </c>
      <c r="J148" s="6">
        <v>1358077</v>
      </c>
      <c r="K148" s="6">
        <v>258509</v>
      </c>
      <c r="L148" s="6">
        <v>24251.38</v>
      </c>
      <c r="M148" s="6">
        <v>4616.2299999999996</v>
      </c>
      <c r="N148" s="7">
        <v>14433.8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48497.58</v>
      </c>
      <c r="U148" s="6">
        <v>43301.41</v>
      </c>
      <c r="V148" s="6">
        <v>866.03</v>
      </c>
      <c r="AI148" s="2">
        <v>1358077</v>
      </c>
      <c r="AJ148" s="2">
        <v>258509</v>
      </c>
      <c r="AK148" s="2">
        <v>24251.38</v>
      </c>
      <c r="AL148" s="2">
        <v>4616.2299999999996</v>
      </c>
      <c r="AM148" s="5">
        <v>14433.8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48497.58</v>
      </c>
      <c r="AT148" s="12">
        <v>43301.41</v>
      </c>
      <c r="AU148" s="2">
        <v>866.03</v>
      </c>
      <c r="BL148" s="1" t="s">
        <v>90</v>
      </c>
    </row>
    <row r="149" spans="1:64" x14ac:dyDescent="0.3">
      <c r="A149" t="s">
        <v>265</v>
      </c>
      <c r="B149" s="1" t="s">
        <v>268</v>
      </c>
      <c r="C149" s="9" t="s">
        <v>269</v>
      </c>
      <c r="D149" s="1" t="s">
        <v>42</v>
      </c>
      <c r="E149" s="1" t="s">
        <v>88</v>
      </c>
      <c r="F149" s="10" t="s">
        <v>267</v>
      </c>
      <c r="G149" s="1">
        <v>0</v>
      </c>
      <c r="H149" s="1">
        <v>0.02</v>
      </c>
      <c r="I149" s="8">
        <v>45616</v>
      </c>
      <c r="J149" s="6">
        <v>149293</v>
      </c>
      <c r="K149" s="6">
        <v>49680</v>
      </c>
      <c r="L149" s="6">
        <v>2665.95</v>
      </c>
      <c r="M149" s="6">
        <v>887.14</v>
      </c>
      <c r="N149" s="7">
        <v>1776.54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5969.19</v>
      </c>
      <c r="U149" s="6">
        <v>5329.6299999999992</v>
      </c>
      <c r="V149" s="6">
        <v>106.59</v>
      </c>
      <c r="AI149" s="2">
        <v>149293</v>
      </c>
      <c r="AJ149" s="2">
        <v>49680</v>
      </c>
      <c r="AK149" s="2">
        <v>2665.95</v>
      </c>
      <c r="AL149" s="2">
        <v>887.14</v>
      </c>
      <c r="AM149" s="5">
        <v>1776.54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5969.19</v>
      </c>
      <c r="AT149" s="12">
        <v>5329.6299999999992</v>
      </c>
      <c r="AU149" s="2">
        <v>106.59</v>
      </c>
      <c r="BL149" s="1" t="s">
        <v>90</v>
      </c>
    </row>
    <row r="150" spans="1:64" x14ac:dyDescent="0.3">
      <c r="A150" t="s">
        <v>470</v>
      </c>
      <c r="B150" s="1" t="s">
        <v>470</v>
      </c>
      <c r="C150" s="9" t="s">
        <v>471</v>
      </c>
      <c r="D150" s="1" t="s">
        <v>42</v>
      </c>
      <c r="E150" s="1" t="s">
        <v>88</v>
      </c>
      <c r="F150" s="10" t="s">
        <v>472</v>
      </c>
      <c r="G150" s="1">
        <v>2.5000000000000001E-2</v>
      </c>
      <c r="H150" s="1">
        <v>0.02</v>
      </c>
      <c r="I150" s="8">
        <v>44418</v>
      </c>
      <c r="J150" s="6">
        <v>368343.60000000003</v>
      </c>
      <c r="K150" s="6">
        <v>81963.199999999997</v>
      </c>
      <c r="L150" s="6">
        <v>6577.56</v>
      </c>
      <c r="M150" s="6">
        <v>1463.62</v>
      </c>
      <c r="N150" s="7">
        <v>4020.6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13509.19</v>
      </c>
      <c r="U150" s="6">
        <v>12061.78</v>
      </c>
      <c r="V150" s="6">
        <v>241.24</v>
      </c>
      <c r="AI150" s="2">
        <v>368343.60000000003</v>
      </c>
      <c r="AJ150" s="2">
        <v>81963.199999999997</v>
      </c>
      <c r="AK150" s="2">
        <v>6577.56</v>
      </c>
      <c r="AL150" s="2">
        <v>1463.62</v>
      </c>
      <c r="AM150" s="5">
        <v>4020.6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13509.19</v>
      </c>
      <c r="AT150" s="12">
        <v>12061.78</v>
      </c>
      <c r="AU150" s="2">
        <v>241.24</v>
      </c>
      <c r="BL150" s="1" t="s">
        <v>90</v>
      </c>
    </row>
    <row r="151" spans="1:64" x14ac:dyDescent="0.3">
      <c r="A151" t="s">
        <v>470</v>
      </c>
      <c r="B151" s="1" t="s">
        <v>473</v>
      </c>
      <c r="C151" s="9" t="s">
        <v>474</v>
      </c>
      <c r="D151" s="1" t="s">
        <v>42</v>
      </c>
      <c r="E151" s="1" t="s">
        <v>88</v>
      </c>
      <c r="F151" s="10" t="s">
        <v>472</v>
      </c>
      <c r="G151" s="1">
        <v>2.5000000000000001E-2</v>
      </c>
      <c r="H151" s="1">
        <v>0.02</v>
      </c>
      <c r="I151" s="8">
        <v>44418</v>
      </c>
      <c r="J151" s="6">
        <v>238129</v>
      </c>
      <c r="K151" s="6">
        <v>76610</v>
      </c>
      <c r="L151" s="6">
        <v>4252.3</v>
      </c>
      <c r="M151" s="6">
        <v>1368.04</v>
      </c>
      <c r="N151" s="7">
        <v>2810.17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9442.17</v>
      </c>
      <c r="U151" s="6">
        <v>8430.51</v>
      </c>
      <c r="V151" s="6">
        <v>168.61</v>
      </c>
      <c r="AI151" s="2">
        <v>238129</v>
      </c>
      <c r="AJ151" s="2">
        <v>76610</v>
      </c>
      <c r="AK151" s="2">
        <v>4252.3</v>
      </c>
      <c r="AL151" s="2">
        <v>1368.04</v>
      </c>
      <c r="AM151" s="5">
        <v>2810.17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9442.17</v>
      </c>
      <c r="AT151" s="12">
        <v>8430.51</v>
      </c>
      <c r="AU151" s="2">
        <v>168.61</v>
      </c>
      <c r="BL151" s="1" t="s">
        <v>90</v>
      </c>
    </row>
    <row r="152" spans="1:64" x14ac:dyDescent="0.3">
      <c r="A152" t="s">
        <v>502</v>
      </c>
      <c r="B152" s="1" t="s">
        <v>502</v>
      </c>
      <c r="C152" s="9" t="s">
        <v>503</v>
      </c>
      <c r="D152" s="1" t="s">
        <v>42</v>
      </c>
      <c r="E152" s="1" t="s">
        <v>88</v>
      </c>
      <c r="F152" s="10" t="s">
        <v>472</v>
      </c>
      <c r="G152" s="1">
        <v>3.5000000000000003E-2</v>
      </c>
      <c r="H152" s="1">
        <v>0.02</v>
      </c>
      <c r="I152" s="8">
        <v>45118</v>
      </c>
      <c r="J152" s="6">
        <v>510480.17</v>
      </c>
      <c r="K152" s="6">
        <v>214412.56</v>
      </c>
      <c r="L152" s="6">
        <v>9115.7099999999991</v>
      </c>
      <c r="M152" s="6">
        <v>3828.79</v>
      </c>
      <c r="N152" s="7">
        <v>6472.26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21746.77</v>
      </c>
      <c r="U152" s="6">
        <v>19416.760000000002</v>
      </c>
      <c r="V152" s="6">
        <v>388.34</v>
      </c>
      <c r="AI152" s="2">
        <v>510480.17</v>
      </c>
      <c r="AJ152" s="2">
        <v>214412.56</v>
      </c>
      <c r="AK152" s="2">
        <v>9115.7099999999991</v>
      </c>
      <c r="AL152" s="2">
        <v>3828.79</v>
      </c>
      <c r="AM152" s="5">
        <v>6472.26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21746.77</v>
      </c>
      <c r="AT152" s="12">
        <v>19416.760000000002</v>
      </c>
      <c r="AU152" s="2">
        <v>388.34</v>
      </c>
      <c r="BL152" s="1" t="s">
        <v>90</v>
      </c>
    </row>
    <row r="153" spans="1:64" x14ac:dyDescent="0.3">
      <c r="A153" t="s">
        <v>502</v>
      </c>
      <c r="B153" s="1" t="s">
        <v>504</v>
      </c>
      <c r="C153" s="9" t="s">
        <v>505</v>
      </c>
      <c r="D153" s="1" t="s">
        <v>42</v>
      </c>
      <c r="E153" s="1" t="s">
        <v>88</v>
      </c>
      <c r="F153" s="10" t="s">
        <v>472</v>
      </c>
      <c r="G153" s="1">
        <v>0.04</v>
      </c>
      <c r="H153" s="1">
        <v>0.02</v>
      </c>
      <c r="I153" s="8">
        <v>45118</v>
      </c>
      <c r="J153" s="6">
        <v>-858</v>
      </c>
      <c r="K153" s="6">
        <v>33465</v>
      </c>
      <c r="L153" s="6">
        <v>-15.32</v>
      </c>
      <c r="M153" s="6">
        <v>597.59</v>
      </c>
      <c r="N153" s="7">
        <v>291.13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978.21</v>
      </c>
      <c r="U153" s="6">
        <v>873.4</v>
      </c>
      <c r="V153" s="6">
        <v>17.47</v>
      </c>
      <c r="AI153" s="2">
        <v>-858</v>
      </c>
      <c r="AJ153" s="2">
        <v>33465</v>
      </c>
      <c r="AK153" s="2">
        <v>-15.32</v>
      </c>
      <c r="AL153" s="2">
        <v>597.59</v>
      </c>
      <c r="AM153" s="5">
        <v>291.13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978.21</v>
      </c>
      <c r="AT153" s="12">
        <v>873.4</v>
      </c>
      <c r="AU153" s="2">
        <v>17.47</v>
      </c>
      <c r="BL153" s="1" t="s">
        <v>90</v>
      </c>
    </row>
    <row r="154" spans="1:64" x14ac:dyDescent="0.3">
      <c r="A154" t="s">
        <v>506</v>
      </c>
      <c r="B154" s="1" t="s">
        <v>506</v>
      </c>
      <c r="C154" s="9" t="s">
        <v>507</v>
      </c>
      <c r="D154" s="1" t="s">
        <v>42</v>
      </c>
      <c r="E154" s="1" t="s">
        <v>88</v>
      </c>
      <c r="F154" s="10" t="s">
        <v>472</v>
      </c>
      <c r="G154" s="1">
        <v>3.5000000000000003E-2</v>
      </c>
      <c r="H154" s="1">
        <v>0.02</v>
      </c>
      <c r="I154" s="8">
        <v>45160</v>
      </c>
      <c r="J154" s="6">
        <v>911982.85</v>
      </c>
      <c r="K154" s="6">
        <v>193567.93</v>
      </c>
      <c r="L154" s="6">
        <v>16285.41</v>
      </c>
      <c r="M154" s="6">
        <v>3456.57</v>
      </c>
      <c r="N154" s="7">
        <v>9870.99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33166.53</v>
      </c>
      <c r="U154" s="6">
        <v>29612.97</v>
      </c>
      <c r="V154" s="6">
        <v>592.26</v>
      </c>
      <c r="AI154" s="2">
        <v>911982.85</v>
      </c>
      <c r="AJ154" s="2">
        <v>193567.93</v>
      </c>
      <c r="AK154" s="2">
        <v>16285.41</v>
      </c>
      <c r="AL154" s="2">
        <v>3456.57</v>
      </c>
      <c r="AM154" s="5">
        <v>9870.99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33166.53</v>
      </c>
      <c r="AT154" s="12">
        <v>29612.97</v>
      </c>
      <c r="AU154" s="2">
        <v>592.26</v>
      </c>
      <c r="BL154" s="1" t="s">
        <v>90</v>
      </c>
    </row>
    <row r="155" spans="1:64" x14ac:dyDescent="0.3">
      <c r="A155" t="s">
        <v>506</v>
      </c>
      <c r="B155" s="1" t="s">
        <v>508</v>
      </c>
      <c r="C155" s="9" t="s">
        <v>509</v>
      </c>
      <c r="D155" s="1" t="s">
        <v>42</v>
      </c>
      <c r="E155" s="1" t="s">
        <v>88</v>
      </c>
      <c r="F155" s="10" t="s">
        <v>472</v>
      </c>
      <c r="G155" s="1">
        <v>0</v>
      </c>
      <c r="H155" s="1">
        <v>0.02</v>
      </c>
      <c r="I155" s="8">
        <v>45160</v>
      </c>
      <c r="J155" s="6">
        <v>-1677</v>
      </c>
      <c r="K155" s="6">
        <v>15446</v>
      </c>
      <c r="L155" s="6">
        <v>-29.95</v>
      </c>
      <c r="M155" s="6">
        <v>275.82</v>
      </c>
      <c r="N155" s="7">
        <v>122.94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413.07</v>
      </c>
      <c r="U155" s="6">
        <v>368.81</v>
      </c>
      <c r="V155" s="6">
        <v>7.38</v>
      </c>
      <c r="AI155" s="2">
        <v>-1677</v>
      </c>
      <c r="AJ155" s="2">
        <v>15446</v>
      </c>
      <c r="AK155" s="2">
        <v>-29.95</v>
      </c>
      <c r="AL155" s="2">
        <v>275.82</v>
      </c>
      <c r="AM155" s="5">
        <v>122.94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413.07</v>
      </c>
      <c r="AT155" s="12">
        <v>368.81</v>
      </c>
      <c r="AU155" s="2">
        <v>7.38</v>
      </c>
      <c r="BL155" s="1" t="s">
        <v>90</v>
      </c>
    </row>
    <row r="156" spans="1:64" x14ac:dyDescent="0.3">
      <c r="A156" t="s">
        <v>559</v>
      </c>
      <c r="B156" s="1" t="s">
        <v>559</v>
      </c>
      <c r="C156" s="9" t="s">
        <v>560</v>
      </c>
      <c r="D156" s="1" t="s">
        <v>42</v>
      </c>
      <c r="E156" s="1" t="s">
        <v>88</v>
      </c>
      <c r="F156" s="10" t="s">
        <v>472</v>
      </c>
      <c r="G156" s="1">
        <v>2.5000000000000001E-2</v>
      </c>
      <c r="H156" s="1">
        <v>0.02</v>
      </c>
      <c r="I156" s="8">
        <v>44093</v>
      </c>
      <c r="J156" s="6">
        <v>564639.93999999994</v>
      </c>
      <c r="K156" s="6">
        <v>215688.66</v>
      </c>
      <c r="L156" s="6">
        <v>10082.86</v>
      </c>
      <c r="M156" s="6">
        <v>3851.58</v>
      </c>
      <c r="N156" s="7">
        <v>6967.22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23409.86</v>
      </c>
      <c r="U156" s="6">
        <v>20901.66</v>
      </c>
      <c r="V156" s="6">
        <v>418.03</v>
      </c>
      <c r="AI156" s="2">
        <v>564639.93999999994</v>
      </c>
      <c r="AJ156" s="2">
        <v>215688.66</v>
      </c>
      <c r="AK156" s="2">
        <v>10082.86</v>
      </c>
      <c r="AL156" s="2">
        <v>3851.58</v>
      </c>
      <c r="AM156" s="5">
        <v>6967.22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23409.86</v>
      </c>
      <c r="AT156" s="12">
        <v>20901.66</v>
      </c>
      <c r="AU156" s="2">
        <v>418.03</v>
      </c>
      <c r="BL156" s="1" t="s">
        <v>90</v>
      </c>
    </row>
    <row r="157" spans="1:64" x14ac:dyDescent="0.3">
      <c r="A157" t="s">
        <v>559</v>
      </c>
      <c r="B157" s="1" t="s">
        <v>561</v>
      </c>
      <c r="C157" s="9" t="s">
        <v>562</v>
      </c>
      <c r="D157" s="1" t="s">
        <v>42</v>
      </c>
      <c r="E157" s="1" t="s">
        <v>88</v>
      </c>
      <c r="F157" s="10" t="s">
        <v>472</v>
      </c>
      <c r="G157" s="1">
        <v>2.5000000000000001E-2</v>
      </c>
      <c r="H157" s="1">
        <v>0.02</v>
      </c>
      <c r="I157" s="8">
        <v>44093</v>
      </c>
      <c r="J157" s="6">
        <v>44473</v>
      </c>
      <c r="K157" s="6">
        <v>49647</v>
      </c>
      <c r="L157" s="6">
        <v>794.16</v>
      </c>
      <c r="M157" s="6">
        <v>886.55</v>
      </c>
      <c r="N157" s="7">
        <v>840.36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2823.6</v>
      </c>
      <c r="U157" s="6">
        <v>2521.0700000000002</v>
      </c>
      <c r="V157" s="6">
        <v>50.42</v>
      </c>
      <c r="AI157" s="2">
        <v>44473</v>
      </c>
      <c r="AJ157" s="2">
        <v>49647</v>
      </c>
      <c r="AK157" s="2">
        <v>794.16</v>
      </c>
      <c r="AL157" s="2">
        <v>886.55</v>
      </c>
      <c r="AM157" s="5">
        <v>840.36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2823.6</v>
      </c>
      <c r="AT157" s="12">
        <v>2521.0700000000002</v>
      </c>
      <c r="AU157" s="2">
        <v>50.42</v>
      </c>
      <c r="BL157" s="1" t="s">
        <v>90</v>
      </c>
    </row>
    <row r="158" spans="1:64" x14ac:dyDescent="0.3">
      <c r="A158" t="s">
        <v>559</v>
      </c>
      <c r="B158" s="1" t="s">
        <v>563</v>
      </c>
      <c r="C158" s="9" t="s">
        <v>564</v>
      </c>
      <c r="D158" s="1" t="s">
        <v>42</v>
      </c>
      <c r="E158" s="1" t="s">
        <v>88</v>
      </c>
      <c r="F158" s="10" t="s">
        <v>472</v>
      </c>
      <c r="G158" s="1">
        <v>0</v>
      </c>
      <c r="H158" s="1">
        <v>0.02</v>
      </c>
      <c r="I158" s="8">
        <v>44093</v>
      </c>
      <c r="J158" s="6">
        <v>-5410</v>
      </c>
      <c r="K158" s="6">
        <v>31247</v>
      </c>
      <c r="L158" s="6">
        <v>-96.61</v>
      </c>
      <c r="M158" s="6">
        <v>557.98</v>
      </c>
      <c r="N158" s="7">
        <v>230.69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775.11</v>
      </c>
      <c r="U158" s="6">
        <v>692.06</v>
      </c>
      <c r="V158" s="6">
        <v>13.84</v>
      </c>
      <c r="AI158" s="2">
        <v>-5410</v>
      </c>
      <c r="AJ158" s="2">
        <v>31247</v>
      </c>
      <c r="AK158" s="2">
        <v>-96.61</v>
      </c>
      <c r="AL158" s="2">
        <v>557.98</v>
      </c>
      <c r="AM158" s="5">
        <v>230.69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775.11</v>
      </c>
      <c r="AT158" s="12">
        <v>692.06</v>
      </c>
      <c r="AU158" s="2">
        <v>13.84</v>
      </c>
      <c r="BL158" s="1" t="s">
        <v>90</v>
      </c>
    </row>
    <row r="159" spans="1:64" x14ac:dyDescent="0.3">
      <c r="A159" t="s">
        <v>559</v>
      </c>
      <c r="B159" s="1" t="s">
        <v>565</v>
      </c>
      <c r="C159" s="9" t="s">
        <v>566</v>
      </c>
      <c r="D159" s="1" t="s">
        <v>42</v>
      </c>
      <c r="E159" s="1" t="s">
        <v>88</v>
      </c>
      <c r="F159" s="10" t="s">
        <v>472</v>
      </c>
      <c r="G159" s="1">
        <v>0</v>
      </c>
      <c r="H159" s="1">
        <v>0.02</v>
      </c>
      <c r="I159" s="8">
        <v>44093</v>
      </c>
      <c r="J159" s="6">
        <v>-2497</v>
      </c>
      <c r="K159" s="6">
        <v>19059</v>
      </c>
      <c r="L159" s="6">
        <v>-44.59</v>
      </c>
      <c r="M159" s="6">
        <v>340.34</v>
      </c>
      <c r="N159" s="7">
        <v>147.88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496.87</v>
      </c>
      <c r="U159" s="6">
        <v>443.63</v>
      </c>
      <c r="V159" s="6">
        <v>8.8699999999999992</v>
      </c>
      <c r="AI159" s="2">
        <v>-2497</v>
      </c>
      <c r="AJ159" s="2">
        <v>19059</v>
      </c>
      <c r="AK159" s="2">
        <v>-44.59</v>
      </c>
      <c r="AL159" s="2">
        <v>340.34</v>
      </c>
      <c r="AM159" s="5">
        <v>147.88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496.87</v>
      </c>
      <c r="AT159" s="12">
        <v>443.63</v>
      </c>
      <c r="AU159" s="2">
        <v>8.8699999999999992</v>
      </c>
      <c r="BL159" s="1" t="s">
        <v>90</v>
      </c>
    </row>
    <row r="160" spans="1:64" x14ac:dyDescent="0.3">
      <c r="A160" t="s">
        <v>577</v>
      </c>
      <c r="B160" s="1" t="s">
        <v>577</v>
      </c>
      <c r="C160" s="9" t="s">
        <v>578</v>
      </c>
      <c r="D160" s="1" t="s">
        <v>42</v>
      </c>
      <c r="E160" s="1" t="s">
        <v>88</v>
      </c>
      <c r="F160" s="10" t="s">
        <v>267</v>
      </c>
      <c r="G160" s="1">
        <v>2.5000000000000001E-2</v>
      </c>
      <c r="H160" s="1">
        <v>0.02</v>
      </c>
      <c r="I160" s="8">
        <v>44374</v>
      </c>
      <c r="J160" s="6">
        <v>617259.44999999995</v>
      </c>
      <c r="K160" s="6">
        <v>164739</v>
      </c>
      <c r="L160" s="6">
        <v>11022.49</v>
      </c>
      <c r="M160" s="6">
        <v>2941.77</v>
      </c>
      <c r="N160" s="7">
        <v>6982.12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23459.95</v>
      </c>
      <c r="U160" s="6">
        <v>20946.38</v>
      </c>
      <c r="V160" s="6">
        <v>418.93</v>
      </c>
      <c r="AI160" s="2">
        <v>617259.44999999995</v>
      </c>
      <c r="AJ160" s="2">
        <v>164739</v>
      </c>
      <c r="AK160" s="2">
        <v>11022.49</v>
      </c>
      <c r="AL160" s="2">
        <v>2941.77</v>
      </c>
      <c r="AM160" s="5">
        <v>6982.12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23459.95</v>
      </c>
      <c r="AT160" s="12">
        <v>20946.38</v>
      </c>
      <c r="AU160" s="2">
        <v>418.93</v>
      </c>
      <c r="BL160" s="1" t="s">
        <v>90</v>
      </c>
    </row>
    <row r="161" spans="1:64" x14ac:dyDescent="0.3">
      <c r="A161" t="s">
        <v>577</v>
      </c>
      <c r="B161" s="1" t="s">
        <v>579</v>
      </c>
      <c r="C161" s="9" t="s">
        <v>580</v>
      </c>
      <c r="D161" s="1" t="s">
        <v>42</v>
      </c>
      <c r="E161" s="1" t="s">
        <v>88</v>
      </c>
      <c r="F161" s="10" t="s">
        <v>267</v>
      </c>
      <c r="G161" s="1">
        <v>0</v>
      </c>
      <c r="H161" s="1">
        <v>0.02</v>
      </c>
      <c r="I161" s="8">
        <v>44374</v>
      </c>
      <c r="J161" s="6">
        <v>201304</v>
      </c>
      <c r="K161" s="6">
        <v>40007</v>
      </c>
      <c r="L161" s="6">
        <v>3594.71</v>
      </c>
      <c r="M161" s="6">
        <v>714.41</v>
      </c>
      <c r="N161" s="7">
        <v>2154.56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7239.32</v>
      </c>
      <c r="U161" s="6">
        <v>6463.68</v>
      </c>
      <c r="V161" s="6">
        <v>129.27000000000001</v>
      </c>
      <c r="AI161" s="2">
        <v>201304</v>
      </c>
      <c r="AJ161" s="2">
        <v>40007</v>
      </c>
      <c r="AK161" s="2">
        <v>3594.71</v>
      </c>
      <c r="AL161" s="2">
        <v>714.41</v>
      </c>
      <c r="AM161" s="5">
        <v>2154.56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7239.32</v>
      </c>
      <c r="AT161" s="12">
        <v>6463.68</v>
      </c>
      <c r="AU161" s="2">
        <v>129.27000000000001</v>
      </c>
      <c r="BL161" s="1" t="s">
        <v>90</v>
      </c>
    </row>
    <row r="162" spans="1:64" x14ac:dyDescent="0.3">
      <c r="A162" t="s">
        <v>594</v>
      </c>
      <c r="B162" s="1" t="s">
        <v>594</v>
      </c>
      <c r="C162" s="9" t="s">
        <v>595</v>
      </c>
      <c r="D162" s="1" t="s">
        <v>42</v>
      </c>
      <c r="E162" s="1" t="s">
        <v>88</v>
      </c>
      <c r="F162" s="10" t="s">
        <v>472</v>
      </c>
      <c r="G162" s="1">
        <v>3.5000000000000003E-2</v>
      </c>
      <c r="H162" s="1">
        <v>0.02</v>
      </c>
      <c r="I162" s="8">
        <v>44693</v>
      </c>
      <c r="J162" s="6">
        <v>477876.16000000003</v>
      </c>
      <c r="K162" s="6">
        <v>122285.26000000001</v>
      </c>
      <c r="L162" s="6">
        <v>8533.5</v>
      </c>
      <c r="M162" s="6">
        <v>2183.67</v>
      </c>
      <c r="N162" s="7">
        <v>5358.58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18004.84</v>
      </c>
      <c r="U162" s="6">
        <v>16075.75</v>
      </c>
      <c r="V162" s="6">
        <v>321.52</v>
      </c>
      <c r="AI162" s="2">
        <v>477876.16000000003</v>
      </c>
      <c r="AJ162" s="2">
        <v>122285.26000000001</v>
      </c>
      <c r="AK162" s="2">
        <v>8533.5</v>
      </c>
      <c r="AL162" s="2">
        <v>2183.67</v>
      </c>
      <c r="AM162" s="5">
        <v>5358.58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18004.84</v>
      </c>
      <c r="AT162" s="12">
        <v>16075.75</v>
      </c>
      <c r="AU162" s="2">
        <v>321.52</v>
      </c>
      <c r="BL162" s="1" t="s">
        <v>90</v>
      </c>
    </row>
    <row r="163" spans="1:64" x14ac:dyDescent="0.3">
      <c r="A163" t="s">
        <v>594</v>
      </c>
      <c r="B163" s="1" t="s">
        <v>596</v>
      </c>
      <c r="C163" s="9" t="s">
        <v>597</v>
      </c>
      <c r="D163" s="1" t="s">
        <v>42</v>
      </c>
      <c r="E163" s="1" t="s">
        <v>88</v>
      </c>
      <c r="F163" s="10" t="s">
        <v>472</v>
      </c>
      <c r="G163" s="1">
        <v>0</v>
      </c>
      <c r="H163" s="1">
        <v>0.02</v>
      </c>
      <c r="I163" s="8">
        <v>44693</v>
      </c>
      <c r="J163" s="6">
        <v>47126</v>
      </c>
      <c r="K163" s="6">
        <v>37257</v>
      </c>
      <c r="L163" s="6">
        <v>841.54</v>
      </c>
      <c r="M163" s="6">
        <v>665.3</v>
      </c>
      <c r="N163" s="7">
        <v>753.42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2531.4899999999998</v>
      </c>
      <c r="U163" s="6">
        <v>2260.2599999999998</v>
      </c>
      <c r="V163" s="6">
        <v>45.21</v>
      </c>
      <c r="AI163" s="2">
        <v>47126</v>
      </c>
      <c r="AJ163" s="2">
        <v>37257</v>
      </c>
      <c r="AK163" s="2">
        <v>841.54</v>
      </c>
      <c r="AL163" s="2">
        <v>665.3</v>
      </c>
      <c r="AM163" s="5">
        <v>753.42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2531.4899999999998</v>
      </c>
      <c r="AT163" s="12">
        <v>2260.2599999999998</v>
      </c>
      <c r="AU163" s="2">
        <v>45.21</v>
      </c>
      <c r="BL163" s="1" t="s">
        <v>90</v>
      </c>
    </row>
    <row r="164" spans="1:64" x14ac:dyDescent="0.3">
      <c r="A164" t="s">
        <v>598</v>
      </c>
      <c r="B164" s="1" t="s">
        <v>598</v>
      </c>
      <c r="C164" s="9" t="s">
        <v>599</v>
      </c>
      <c r="D164" s="1" t="s">
        <v>42</v>
      </c>
      <c r="E164" s="1" t="s">
        <v>88</v>
      </c>
      <c r="F164" s="10" t="s">
        <v>267</v>
      </c>
      <c r="G164" s="1">
        <v>3.5000000000000003E-2</v>
      </c>
      <c r="H164" s="1">
        <v>0.02</v>
      </c>
      <c r="I164" s="8">
        <v>44774</v>
      </c>
      <c r="J164" s="6">
        <v>899920.73</v>
      </c>
      <c r="K164" s="6">
        <v>305308.46999999997</v>
      </c>
      <c r="L164" s="6">
        <v>16070.01</v>
      </c>
      <c r="M164" s="6">
        <v>5451.94</v>
      </c>
      <c r="N164" s="7">
        <v>10760.97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36156.870000000003</v>
      </c>
      <c r="U164" s="6">
        <v>32282.92</v>
      </c>
      <c r="V164" s="6">
        <v>645.66</v>
      </c>
      <c r="AI164" s="2">
        <v>899920.73</v>
      </c>
      <c r="AJ164" s="2">
        <v>305308.46999999997</v>
      </c>
      <c r="AK164" s="2">
        <v>16070.01</v>
      </c>
      <c r="AL164" s="2">
        <v>5451.94</v>
      </c>
      <c r="AM164" s="5">
        <v>10760.97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36156.870000000003</v>
      </c>
      <c r="AT164" s="12">
        <v>32282.92</v>
      </c>
      <c r="AU164" s="2">
        <v>645.66</v>
      </c>
      <c r="BL164" s="1" t="s">
        <v>90</v>
      </c>
    </row>
    <row r="165" spans="1:64" x14ac:dyDescent="0.3">
      <c r="A165" t="s">
        <v>598</v>
      </c>
      <c r="B165" s="1" t="s">
        <v>600</v>
      </c>
      <c r="C165" s="9" t="s">
        <v>601</v>
      </c>
      <c r="D165" s="1" t="s">
        <v>42</v>
      </c>
      <c r="E165" s="1" t="s">
        <v>88</v>
      </c>
      <c r="F165" s="10" t="s">
        <v>267</v>
      </c>
      <c r="G165" s="1">
        <v>0</v>
      </c>
      <c r="H165" s="1">
        <v>0.02</v>
      </c>
      <c r="I165" s="8">
        <v>44774</v>
      </c>
      <c r="J165" s="6">
        <v>124407</v>
      </c>
      <c r="K165" s="6">
        <v>64351</v>
      </c>
      <c r="L165" s="6">
        <v>2221.5500000000002</v>
      </c>
      <c r="M165" s="6">
        <v>1149.1199999999999</v>
      </c>
      <c r="N165" s="7">
        <v>1685.34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5662.73</v>
      </c>
      <c r="U165" s="6">
        <v>5056.01</v>
      </c>
      <c r="V165" s="6">
        <v>101.12</v>
      </c>
      <c r="AI165" s="2">
        <v>124407</v>
      </c>
      <c r="AJ165" s="2">
        <v>64351</v>
      </c>
      <c r="AK165" s="2">
        <v>2221.5500000000002</v>
      </c>
      <c r="AL165" s="2">
        <v>1149.1199999999999</v>
      </c>
      <c r="AM165" s="5">
        <v>1685.34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5662.73</v>
      </c>
      <c r="AT165" s="12">
        <v>5056.01</v>
      </c>
      <c r="AU165" s="2">
        <v>101.12</v>
      </c>
      <c r="BL165" s="1" t="s">
        <v>90</v>
      </c>
    </row>
    <row r="166" spans="1:64" x14ac:dyDescent="0.3">
      <c r="A166" t="s">
        <v>622</v>
      </c>
      <c r="B166" s="1" t="s">
        <v>622</v>
      </c>
      <c r="C166" s="9" t="s">
        <v>623</v>
      </c>
      <c r="D166" s="1" t="s">
        <v>42</v>
      </c>
      <c r="E166" s="1" t="s">
        <v>88</v>
      </c>
      <c r="F166" s="10" t="s">
        <v>472</v>
      </c>
      <c r="G166" s="1">
        <v>2.5000000000000001E-2</v>
      </c>
      <c r="H166" s="1">
        <v>0.02</v>
      </c>
      <c r="I166" s="8">
        <v>44415</v>
      </c>
      <c r="J166" s="6">
        <v>1096089.31</v>
      </c>
      <c r="K166" s="6">
        <v>152914.49</v>
      </c>
      <c r="L166" s="6">
        <v>19573.03</v>
      </c>
      <c r="M166" s="6">
        <v>2730.62</v>
      </c>
      <c r="N166" s="7">
        <v>11151.82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37470.129999999997</v>
      </c>
      <c r="U166" s="6">
        <v>33455.47</v>
      </c>
      <c r="V166" s="6">
        <v>669.11</v>
      </c>
      <c r="AI166" s="2">
        <v>1096089.31</v>
      </c>
      <c r="AJ166" s="2">
        <v>152914.49</v>
      </c>
      <c r="AK166" s="2">
        <v>19573.03</v>
      </c>
      <c r="AL166" s="2">
        <v>2730.62</v>
      </c>
      <c r="AM166" s="5">
        <v>11151.82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37470.129999999997</v>
      </c>
      <c r="AT166" s="12">
        <v>33455.47</v>
      </c>
      <c r="AU166" s="2">
        <v>669.11</v>
      </c>
      <c r="BL166" s="1" t="s">
        <v>90</v>
      </c>
    </row>
    <row r="167" spans="1:64" x14ac:dyDescent="0.3">
      <c r="A167" t="s">
        <v>658</v>
      </c>
      <c r="B167" s="1" t="s">
        <v>658</v>
      </c>
      <c r="C167" s="9" t="s">
        <v>659</v>
      </c>
      <c r="D167" s="1" t="s">
        <v>42</v>
      </c>
      <c r="E167" s="1" t="s">
        <v>88</v>
      </c>
      <c r="F167" s="10" t="s">
        <v>267</v>
      </c>
      <c r="G167" s="1">
        <v>0</v>
      </c>
      <c r="H167" s="1">
        <v>0.02</v>
      </c>
      <c r="I167" s="8">
        <v>45171</v>
      </c>
      <c r="J167" s="6">
        <v>365222</v>
      </c>
      <c r="K167" s="6">
        <v>76407</v>
      </c>
      <c r="L167" s="6">
        <v>6521.82</v>
      </c>
      <c r="M167" s="6">
        <v>1364.41</v>
      </c>
      <c r="N167" s="7">
        <v>3943.12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13248.87</v>
      </c>
      <c r="U167" s="6">
        <v>11829.349999999999</v>
      </c>
      <c r="V167" s="6">
        <v>236.59</v>
      </c>
      <c r="AI167" s="2">
        <v>365222</v>
      </c>
      <c r="AJ167" s="2">
        <v>76407</v>
      </c>
      <c r="AK167" s="2">
        <v>6521.82</v>
      </c>
      <c r="AL167" s="2">
        <v>1364.41</v>
      </c>
      <c r="AM167" s="5">
        <v>3943.12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13248.87</v>
      </c>
      <c r="AT167" s="12">
        <v>11829.349999999999</v>
      </c>
      <c r="AU167" s="2">
        <v>236.59</v>
      </c>
      <c r="BL167" s="1" t="s">
        <v>90</v>
      </c>
    </row>
    <row r="168" spans="1:64" x14ac:dyDescent="0.3">
      <c r="A168" t="s">
        <v>658</v>
      </c>
      <c r="B168" s="1" t="s">
        <v>660</v>
      </c>
      <c r="C168" s="9" t="s">
        <v>661</v>
      </c>
      <c r="D168" s="1" t="s">
        <v>42</v>
      </c>
      <c r="E168" s="1" t="s">
        <v>88</v>
      </c>
      <c r="F168" s="10" t="s">
        <v>267</v>
      </c>
      <c r="G168" s="1">
        <v>0</v>
      </c>
      <c r="H168" s="1">
        <v>0.02</v>
      </c>
      <c r="I168" s="8">
        <v>45171</v>
      </c>
      <c r="J168" s="6">
        <v>-26935</v>
      </c>
      <c r="K168" s="6">
        <v>13741</v>
      </c>
      <c r="L168" s="6">
        <v>-480.98</v>
      </c>
      <c r="M168" s="6">
        <v>245.37</v>
      </c>
      <c r="N168" s="7">
        <v>-117.8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-395.82</v>
      </c>
      <c r="U168" s="6">
        <v>-353.41</v>
      </c>
      <c r="V168" s="6">
        <v>-7.07</v>
      </c>
      <c r="AI168" s="2">
        <v>-26935</v>
      </c>
      <c r="AJ168" s="2">
        <v>13741</v>
      </c>
      <c r="AK168" s="2">
        <v>-480.98</v>
      </c>
      <c r="AL168" s="2">
        <v>245.37</v>
      </c>
      <c r="AM168" s="5">
        <v>-117.8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-395.82</v>
      </c>
      <c r="AT168" s="12">
        <v>-353.41</v>
      </c>
      <c r="AU168" s="2">
        <v>-7.07</v>
      </c>
      <c r="BL168" s="1" t="s">
        <v>90</v>
      </c>
    </row>
    <row r="169" spans="1:64" x14ac:dyDescent="0.3">
      <c r="A169" t="s">
        <v>667</v>
      </c>
      <c r="B169" s="1" t="s">
        <v>667</v>
      </c>
      <c r="C169" s="9" t="s">
        <v>668</v>
      </c>
      <c r="D169" s="1" t="s">
        <v>42</v>
      </c>
      <c r="E169" s="1" t="s">
        <v>88</v>
      </c>
      <c r="F169" s="10" t="s">
        <v>472</v>
      </c>
      <c r="G169" s="1">
        <v>0</v>
      </c>
      <c r="H169" s="1">
        <v>0.02</v>
      </c>
      <c r="I169" s="8">
        <v>45501</v>
      </c>
      <c r="J169" s="6">
        <v>827989.96</v>
      </c>
      <c r="K169" s="6">
        <v>195805</v>
      </c>
      <c r="L169" s="6">
        <v>14785.54</v>
      </c>
      <c r="M169" s="6">
        <v>3496.52</v>
      </c>
      <c r="N169" s="7">
        <v>9141.0300000000007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30713.86</v>
      </c>
      <c r="U169" s="6">
        <v>27423.090000000004</v>
      </c>
      <c r="V169" s="6">
        <v>548.46</v>
      </c>
      <c r="AI169" s="2">
        <v>827989.96</v>
      </c>
      <c r="AJ169" s="2">
        <v>195805</v>
      </c>
      <c r="AK169" s="2">
        <v>14785.54</v>
      </c>
      <c r="AL169" s="2">
        <v>3496.52</v>
      </c>
      <c r="AM169" s="5">
        <v>9141.0300000000007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30713.86</v>
      </c>
      <c r="AT169" s="12">
        <v>27423.090000000004</v>
      </c>
      <c r="AU169" s="2">
        <v>548.46</v>
      </c>
      <c r="BL169" s="1" t="s">
        <v>90</v>
      </c>
    </row>
    <row r="170" spans="1:64" x14ac:dyDescent="0.3">
      <c r="A170" t="s">
        <v>763</v>
      </c>
      <c r="B170" s="1" t="s">
        <v>763</v>
      </c>
      <c r="C170" s="9" t="s">
        <v>764</v>
      </c>
      <c r="D170" s="1" t="s">
        <v>42</v>
      </c>
      <c r="E170" s="1" t="s">
        <v>88</v>
      </c>
      <c r="F170" s="10" t="s">
        <v>472</v>
      </c>
      <c r="G170" s="1">
        <v>0</v>
      </c>
      <c r="H170" s="1">
        <v>0.02</v>
      </c>
      <c r="I170" s="8">
        <v>44612</v>
      </c>
      <c r="J170" s="6">
        <v>766496.94</v>
      </c>
      <c r="K170" s="6">
        <v>165975.53</v>
      </c>
      <c r="L170" s="6">
        <v>13687.45</v>
      </c>
      <c r="M170" s="6">
        <v>2963.85</v>
      </c>
      <c r="N170" s="7">
        <v>8325.64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27974.17</v>
      </c>
      <c r="U170" s="6">
        <v>24976.94</v>
      </c>
      <c r="V170" s="6">
        <v>499.54</v>
      </c>
      <c r="AI170" s="2">
        <v>766496.94</v>
      </c>
      <c r="AJ170" s="2">
        <v>165975.53</v>
      </c>
      <c r="AK170" s="2">
        <v>13687.45</v>
      </c>
      <c r="AL170" s="2">
        <v>2963.85</v>
      </c>
      <c r="AM170" s="5">
        <v>8325.64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27974.17</v>
      </c>
      <c r="AT170" s="12">
        <v>24976.94</v>
      </c>
      <c r="AU170" s="2">
        <v>499.54</v>
      </c>
      <c r="BL170" s="1" t="s">
        <v>90</v>
      </c>
    </row>
    <row r="171" spans="1:64" x14ac:dyDescent="0.3">
      <c r="A171" t="s">
        <v>773</v>
      </c>
      <c r="B171" s="1" t="s">
        <v>773</v>
      </c>
      <c r="C171" s="9" t="s">
        <v>774</v>
      </c>
      <c r="D171" s="1" t="s">
        <v>42</v>
      </c>
      <c r="E171" s="1" t="s">
        <v>88</v>
      </c>
      <c r="F171" s="10" t="s">
        <v>267</v>
      </c>
      <c r="G171" s="1">
        <v>0</v>
      </c>
      <c r="H171" s="1">
        <v>0.02</v>
      </c>
      <c r="I171" s="8">
        <v>44768</v>
      </c>
      <c r="J171" s="6">
        <v>768892.05</v>
      </c>
      <c r="K171" s="6">
        <v>143527</v>
      </c>
      <c r="L171" s="6">
        <v>13730.21</v>
      </c>
      <c r="M171" s="6">
        <v>2562.98</v>
      </c>
      <c r="N171" s="7">
        <v>8146.6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27372.560000000001</v>
      </c>
      <c r="U171" s="6">
        <v>24439.79</v>
      </c>
      <c r="V171" s="6">
        <v>488.8</v>
      </c>
      <c r="AI171" s="2">
        <v>768892.05</v>
      </c>
      <c r="AJ171" s="2">
        <v>143527</v>
      </c>
      <c r="AK171" s="2">
        <v>13730.21</v>
      </c>
      <c r="AL171" s="2">
        <v>2562.98</v>
      </c>
      <c r="AM171" s="5">
        <v>8146.6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27372.560000000001</v>
      </c>
      <c r="AT171" s="12">
        <v>24439.79</v>
      </c>
      <c r="AU171" s="2">
        <v>488.8</v>
      </c>
      <c r="BL171" s="1" t="s">
        <v>90</v>
      </c>
    </row>
    <row r="172" spans="1:64" x14ac:dyDescent="0.3">
      <c r="A172" t="s">
        <v>773</v>
      </c>
      <c r="B172" s="1" t="s">
        <v>775</v>
      </c>
      <c r="C172" s="9" t="s">
        <v>776</v>
      </c>
      <c r="D172" s="1" t="s">
        <v>42</v>
      </c>
      <c r="E172" s="1" t="s">
        <v>88</v>
      </c>
      <c r="F172" s="10" t="s">
        <v>267</v>
      </c>
      <c r="G172" s="1">
        <v>0</v>
      </c>
      <c r="H172" s="1">
        <v>0.02</v>
      </c>
      <c r="I172" s="8">
        <v>45377</v>
      </c>
      <c r="J172" s="6">
        <v>417973</v>
      </c>
      <c r="K172" s="6">
        <v>53576</v>
      </c>
      <c r="L172" s="6">
        <v>7463.8</v>
      </c>
      <c r="M172" s="6">
        <v>956.71</v>
      </c>
      <c r="N172" s="7">
        <v>4210.26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14146.46</v>
      </c>
      <c r="U172" s="6">
        <v>12630.77</v>
      </c>
      <c r="V172" s="6">
        <v>252.62</v>
      </c>
      <c r="AI172" s="2">
        <v>417973</v>
      </c>
      <c r="AJ172" s="2">
        <v>53576</v>
      </c>
      <c r="AK172" s="2">
        <v>7463.8</v>
      </c>
      <c r="AL172" s="2">
        <v>956.71</v>
      </c>
      <c r="AM172" s="5">
        <v>4210.26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14146.46</v>
      </c>
      <c r="AT172" s="12">
        <v>12630.77</v>
      </c>
      <c r="AU172" s="2">
        <v>252.62</v>
      </c>
      <c r="BL172" s="1" t="s">
        <v>90</v>
      </c>
    </row>
    <row r="173" spans="1:64" x14ac:dyDescent="0.3">
      <c r="A173" t="s">
        <v>787</v>
      </c>
      <c r="B173" s="1" t="s">
        <v>787</v>
      </c>
      <c r="C173" s="9" t="s">
        <v>788</v>
      </c>
      <c r="D173" s="1" t="s">
        <v>42</v>
      </c>
      <c r="E173" s="1" t="s">
        <v>88</v>
      </c>
      <c r="F173" s="10" t="s">
        <v>267</v>
      </c>
      <c r="G173" s="1">
        <v>3.5000000000000003E-2</v>
      </c>
      <c r="H173" s="1">
        <v>0.02</v>
      </c>
      <c r="I173" s="8">
        <v>45003</v>
      </c>
      <c r="J173" s="6">
        <v>372286.16000000003</v>
      </c>
      <c r="K173" s="6">
        <v>94997</v>
      </c>
      <c r="L173" s="6">
        <v>6647.96</v>
      </c>
      <c r="M173" s="6">
        <v>1696.38</v>
      </c>
      <c r="N173" s="7">
        <v>4172.17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14018.49</v>
      </c>
      <c r="U173" s="6">
        <v>12516.51</v>
      </c>
      <c r="V173" s="6">
        <v>250.33</v>
      </c>
      <c r="AI173" s="2">
        <v>372286.16000000003</v>
      </c>
      <c r="AJ173" s="2">
        <v>94997</v>
      </c>
      <c r="AK173" s="2">
        <v>6647.96</v>
      </c>
      <c r="AL173" s="2">
        <v>1696.38</v>
      </c>
      <c r="AM173" s="5">
        <v>4172.17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14018.49</v>
      </c>
      <c r="AT173" s="12">
        <v>12516.51</v>
      </c>
      <c r="AU173" s="2">
        <v>250.33</v>
      </c>
      <c r="BL173" s="1" t="s">
        <v>90</v>
      </c>
    </row>
    <row r="174" spans="1:64" x14ac:dyDescent="0.3">
      <c r="A174" t="s">
        <v>787</v>
      </c>
      <c r="B174" s="1" t="s">
        <v>789</v>
      </c>
      <c r="C174" s="9" t="s">
        <v>790</v>
      </c>
      <c r="D174" s="1" t="s">
        <v>42</v>
      </c>
      <c r="E174" s="1" t="s">
        <v>88</v>
      </c>
      <c r="F174" s="10" t="s">
        <v>267</v>
      </c>
      <c r="G174" s="1">
        <v>0</v>
      </c>
      <c r="H174" s="1">
        <v>0.02</v>
      </c>
      <c r="I174" s="8">
        <v>45003</v>
      </c>
      <c r="J174" s="6">
        <v>41657</v>
      </c>
      <c r="K174" s="6">
        <v>50625</v>
      </c>
      <c r="L174" s="6">
        <v>743.87</v>
      </c>
      <c r="M174" s="6">
        <v>904.02</v>
      </c>
      <c r="N174" s="7">
        <v>823.95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2768.46</v>
      </c>
      <c r="U174" s="6">
        <v>2471.84</v>
      </c>
      <c r="V174" s="6">
        <v>49.44</v>
      </c>
      <c r="AI174" s="2">
        <v>41657</v>
      </c>
      <c r="AJ174" s="2">
        <v>50625</v>
      </c>
      <c r="AK174" s="2">
        <v>743.87</v>
      </c>
      <c r="AL174" s="2">
        <v>904.02</v>
      </c>
      <c r="AM174" s="5">
        <v>823.95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2768.46</v>
      </c>
      <c r="AT174" s="12">
        <v>2471.84</v>
      </c>
      <c r="AU174" s="2">
        <v>49.44</v>
      </c>
      <c r="BL174" s="1" t="s">
        <v>90</v>
      </c>
    </row>
    <row r="175" spans="1:64" x14ac:dyDescent="0.3">
      <c r="A175" t="s">
        <v>827</v>
      </c>
      <c r="B175" s="1" t="s">
        <v>827</v>
      </c>
      <c r="C175" s="9" t="s">
        <v>828</v>
      </c>
      <c r="D175" s="1" t="s">
        <v>42</v>
      </c>
      <c r="E175" s="1" t="s">
        <v>88</v>
      </c>
      <c r="F175" s="10" t="s">
        <v>472</v>
      </c>
      <c r="G175" s="1">
        <v>0</v>
      </c>
      <c r="H175" s="1">
        <v>0.02</v>
      </c>
      <c r="I175" s="8">
        <v>45051</v>
      </c>
      <c r="J175" s="6">
        <v>427755.10000000003</v>
      </c>
      <c r="K175" s="6">
        <v>155892.25</v>
      </c>
      <c r="L175" s="6">
        <v>7638.48</v>
      </c>
      <c r="M175" s="6">
        <v>2783.79</v>
      </c>
      <c r="N175" s="7">
        <v>5211.13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17509.41</v>
      </c>
      <c r="U175" s="6">
        <v>15633.400000000001</v>
      </c>
      <c r="V175" s="6">
        <v>312.67</v>
      </c>
      <c r="AI175" s="2">
        <v>427755.10000000003</v>
      </c>
      <c r="AJ175" s="2">
        <v>155892.25</v>
      </c>
      <c r="AK175" s="2">
        <v>7638.48</v>
      </c>
      <c r="AL175" s="2">
        <v>2783.79</v>
      </c>
      <c r="AM175" s="5">
        <v>5211.13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17509.41</v>
      </c>
      <c r="AT175" s="12">
        <v>15633.400000000001</v>
      </c>
      <c r="AU175" s="2">
        <v>312.67</v>
      </c>
      <c r="BL175" s="1" t="s">
        <v>90</v>
      </c>
    </row>
    <row r="176" spans="1:64" x14ac:dyDescent="0.3">
      <c r="A176" t="s">
        <v>827</v>
      </c>
      <c r="B176" s="1" t="s">
        <v>829</v>
      </c>
      <c r="C176" s="9" t="s">
        <v>830</v>
      </c>
      <c r="D176" s="1" t="s">
        <v>42</v>
      </c>
      <c r="E176" s="1" t="s">
        <v>88</v>
      </c>
      <c r="F176" s="10" t="s">
        <v>472</v>
      </c>
      <c r="G176" s="1">
        <v>0</v>
      </c>
      <c r="H176" s="1">
        <v>0.02</v>
      </c>
      <c r="I176" s="8">
        <v>45051</v>
      </c>
      <c r="J176" s="6">
        <v>252818</v>
      </c>
      <c r="K176" s="6">
        <v>121621</v>
      </c>
      <c r="L176" s="6">
        <v>4514.6099999999997</v>
      </c>
      <c r="M176" s="6">
        <v>2171.8000000000002</v>
      </c>
      <c r="N176" s="7">
        <v>3343.21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11233.17</v>
      </c>
      <c r="U176" s="6">
        <v>10029.619999999999</v>
      </c>
      <c r="V176" s="6">
        <v>200.59</v>
      </c>
      <c r="AI176" s="2">
        <v>252818</v>
      </c>
      <c r="AJ176" s="2">
        <v>121621</v>
      </c>
      <c r="AK176" s="2">
        <v>4514.6099999999997</v>
      </c>
      <c r="AL176" s="2">
        <v>2171.8000000000002</v>
      </c>
      <c r="AM176" s="5">
        <v>3343.21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11233.17</v>
      </c>
      <c r="AT176" s="12">
        <v>10029.619999999999</v>
      </c>
      <c r="AU176" s="2">
        <v>200.59</v>
      </c>
      <c r="BL176" s="1" t="s">
        <v>90</v>
      </c>
    </row>
    <row r="177" spans="1:64" x14ac:dyDescent="0.3">
      <c r="A177" t="s">
        <v>1009</v>
      </c>
      <c r="B177" s="1" t="s">
        <v>1010</v>
      </c>
      <c r="C177" s="9" t="s">
        <v>1011</v>
      </c>
      <c r="D177" s="1" t="s">
        <v>42</v>
      </c>
      <c r="E177" s="1" t="s">
        <v>88</v>
      </c>
      <c r="F177" s="10" t="s">
        <v>267</v>
      </c>
      <c r="G177" s="1">
        <v>0</v>
      </c>
      <c r="H177" s="1">
        <v>0.02</v>
      </c>
      <c r="I177" s="8">
        <v>44454</v>
      </c>
      <c r="J177" s="6">
        <v>49081</v>
      </c>
      <c r="K177" s="6">
        <v>62456</v>
      </c>
      <c r="L177" s="6">
        <v>876.45</v>
      </c>
      <c r="M177" s="6">
        <v>1115.29</v>
      </c>
      <c r="N177" s="7">
        <v>995.87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3346.12</v>
      </c>
      <c r="U177" s="6">
        <v>2987.61</v>
      </c>
      <c r="V177" s="6">
        <v>59.75</v>
      </c>
      <c r="AI177" s="2">
        <v>49081</v>
      </c>
      <c r="AJ177" s="2">
        <v>62456</v>
      </c>
      <c r="AK177" s="2">
        <v>876.45</v>
      </c>
      <c r="AL177" s="2">
        <v>1115.29</v>
      </c>
      <c r="AM177" s="5">
        <v>995.87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3346.12</v>
      </c>
      <c r="AT177" s="12">
        <v>2987.61</v>
      </c>
      <c r="AU177" s="2">
        <v>59.75</v>
      </c>
      <c r="BL177" s="1" t="s">
        <v>90</v>
      </c>
    </row>
    <row r="178" spans="1:64" x14ac:dyDescent="0.3">
      <c r="A178" t="s">
        <v>1009</v>
      </c>
      <c r="B178" s="1" t="s">
        <v>1009</v>
      </c>
      <c r="C178" s="9" t="s">
        <v>1012</v>
      </c>
      <c r="D178" s="1" t="s">
        <v>42</v>
      </c>
      <c r="E178" s="1" t="s">
        <v>88</v>
      </c>
      <c r="F178" s="10" t="s">
        <v>267</v>
      </c>
      <c r="G178" s="1">
        <v>0</v>
      </c>
      <c r="H178" s="1">
        <v>0.02</v>
      </c>
      <c r="I178" s="8">
        <v>44454</v>
      </c>
      <c r="J178" s="6">
        <v>334842.05</v>
      </c>
      <c r="K178" s="6">
        <v>100288</v>
      </c>
      <c r="L178" s="6">
        <v>5979.32</v>
      </c>
      <c r="M178" s="6">
        <v>1790.86</v>
      </c>
      <c r="N178" s="7">
        <v>3885.09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13053.9</v>
      </c>
      <c r="U178" s="6">
        <v>11655.27</v>
      </c>
      <c r="V178" s="6">
        <v>233.11</v>
      </c>
      <c r="AI178" s="2">
        <v>334842.05</v>
      </c>
      <c r="AJ178" s="2">
        <v>100288</v>
      </c>
      <c r="AK178" s="2">
        <v>5979.32</v>
      </c>
      <c r="AL178" s="2">
        <v>1790.86</v>
      </c>
      <c r="AM178" s="5">
        <v>3885.09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13053.9</v>
      </c>
      <c r="AT178" s="12">
        <v>11655.27</v>
      </c>
      <c r="AU178" s="2">
        <v>233.11</v>
      </c>
      <c r="BL178" s="1" t="s">
        <v>90</v>
      </c>
    </row>
    <row r="179" spans="1:64" x14ac:dyDescent="0.3">
      <c r="A179" t="s">
        <v>1009</v>
      </c>
      <c r="B179" s="1" t="s">
        <v>1013</v>
      </c>
      <c r="C179" s="9" t="s">
        <v>1014</v>
      </c>
      <c r="D179" s="1" t="s">
        <v>42</v>
      </c>
      <c r="E179" s="1" t="s">
        <v>88</v>
      </c>
      <c r="F179" s="10" t="s">
        <v>267</v>
      </c>
      <c r="G179" s="1">
        <v>0</v>
      </c>
      <c r="H179" s="1">
        <v>0.02</v>
      </c>
      <c r="I179" s="8">
        <v>44714</v>
      </c>
      <c r="J179" s="6">
        <v>26661</v>
      </c>
      <c r="K179" s="6">
        <v>35173</v>
      </c>
      <c r="L179" s="6">
        <v>476.09</v>
      </c>
      <c r="M179" s="6">
        <v>628.09</v>
      </c>
      <c r="N179" s="7">
        <v>552.09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1855.02</v>
      </c>
      <c r="U179" s="6">
        <v>1656.27</v>
      </c>
      <c r="V179" s="6">
        <v>33.130000000000003</v>
      </c>
      <c r="AI179" s="2">
        <v>26661</v>
      </c>
      <c r="AJ179" s="2">
        <v>35173</v>
      </c>
      <c r="AK179" s="2">
        <v>476.09</v>
      </c>
      <c r="AL179" s="2">
        <v>628.09</v>
      </c>
      <c r="AM179" s="5">
        <v>552.09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1855.02</v>
      </c>
      <c r="AT179" s="12">
        <v>1656.27</v>
      </c>
      <c r="AU179" s="2">
        <v>33.130000000000003</v>
      </c>
      <c r="BL179" s="1" t="s">
        <v>90</v>
      </c>
    </row>
    <row r="180" spans="1:64" x14ac:dyDescent="0.3">
      <c r="A180" t="s">
        <v>1272</v>
      </c>
      <c r="B180" s="1" t="s">
        <v>1272</v>
      </c>
      <c r="C180" s="9" t="s">
        <v>1273</v>
      </c>
      <c r="D180" s="1" t="s">
        <v>42</v>
      </c>
      <c r="E180" s="1" t="s">
        <v>88</v>
      </c>
      <c r="F180" s="10" t="s">
        <v>472</v>
      </c>
      <c r="G180" s="1">
        <v>0</v>
      </c>
      <c r="H180" s="1">
        <v>0.02</v>
      </c>
      <c r="I180" s="8">
        <v>45143</v>
      </c>
      <c r="J180" s="6">
        <v>595472.9</v>
      </c>
      <c r="K180" s="6">
        <v>129789</v>
      </c>
      <c r="L180" s="6">
        <v>10633.45</v>
      </c>
      <c r="M180" s="6">
        <v>2317.66</v>
      </c>
      <c r="N180" s="7">
        <v>6475.55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21757.86</v>
      </c>
      <c r="U180" s="6">
        <v>19426.66</v>
      </c>
      <c r="V180" s="6">
        <v>388.53</v>
      </c>
      <c r="AI180" s="2">
        <v>595472.9</v>
      </c>
      <c r="AJ180" s="2">
        <v>129789</v>
      </c>
      <c r="AK180" s="2">
        <v>10633.45</v>
      </c>
      <c r="AL180" s="2">
        <v>2317.66</v>
      </c>
      <c r="AM180" s="5">
        <v>6475.55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21757.86</v>
      </c>
      <c r="AT180" s="12">
        <v>19426.66</v>
      </c>
      <c r="AU180" s="2">
        <v>388.53</v>
      </c>
      <c r="BL180" s="1" t="s">
        <v>90</v>
      </c>
    </row>
    <row r="181" spans="1:64" x14ac:dyDescent="0.3">
      <c r="A181" t="s">
        <v>142</v>
      </c>
      <c r="B181" s="1" t="s">
        <v>142</v>
      </c>
      <c r="C181" s="9" t="s">
        <v>143</v>
      </c>
      <c r="D181" s="1" t="s">
        <v>43</v>
      </c>
      <c r="E181" s="1" t="s">
        <v>135</v>
      </c>
      <c r="F181" s="10" t="s">
        <v>144</v>
      </c>
      <c r="G181" s="1">
        <v>2.5000000000000001E-2</v>
      </c>
      <c r="H181" s="1">
        <v>0.02</v>
      </c>
      <c r="I181" s="8">
        <v>44009</v>
      </c>
      <c r="J181" s="6">
        <v>845955.57000000007</v>
      </c>
      <c r="K181" s="6">
        <v>152438.56</v>
      </c>
      <c r="L181" s="6">
        <v>15106.35</v>
      </c>
      <c r="M181" s="6">
        <v>2722.12</v>
      </c>
      <c r="N181" s="7">
        <v>8914.23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29951.82</v>
      </c>
      <c r="U181" s="6">
        <v>26742.7</v>
      </c>
      <c r="V181" s="6">
        <v>534.85</v>
      </c>
      <c r="AI181" s="2">
        <v>845955.57000000007</v>
      </c>
      <c r="AJ181" s="2">
        <v>152438.56</v>
      </c>
      <c r="AK181" s="2">
        <v>15106.35</v>
      </c>
      <c r="AL181" s="2">
        <v>2722.12</v>
      </c>
      <c r="AM181" s="5">
        <v>8914.23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29951.82</v>
      </c>
      <c r="AT181" s="12">
        <v>26742.7</v>
      </c>
      <c r="AU181" s="2">
        <v>534.85</v>
      </c>
      <c r="BL181" s="1" t="s">
        <v>137</v>
      </c>
    </row>
    <row r="182" spans="1:64" x14ac:dyDescent="0.3">
      <c r="A182" t="s">
        <v>314</v>
      </c>
      <c r="B182" s="1" t="s">
        <v>314</v>
      </c>
      <c r="C182" s="9" t="s">
        <v>315</v>
      </c>
      <c r="D182" s="1" t="s">
        <v>43</v>
      </c>
      <c r="E182" s="1" t="s">
        <v>135</v>
      </c>
      <c r="F182" s="10" t="s">
        <v>316</v>
      </c>
      <c r="G182" s="1">
        <v>2.5000000000000001E-2</v>
      </c>
      <c r="H182" s="1">
        <v>0.02</v>
      </c>
      <c r="I182" s="8">
        <v>44183</v>
      </c>
      <c r="J182" s="6">
        <v>323212</v>
      </c>
      <c r="K182" s="6">
        <v>43973</v>
      </c>
      <c r="L182" s="6">
        <v>5771.64</v>
      </c>
      <c r="M182" s="6">
        <v>785.23</v>
      </c>
      <c r="N182" s="7">
        <v>3278.44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11015.55</v>
      </c>
      <c r="U182" s="6">
        <v>9835.3100000000013</v>
      </c>
      <c r="V182" s="6">
        <v>196.71</v>
      </c>
      <c r="AI182" s="2">
        <v>323212</v>
      </c>
      <c r="AJ182" s="2">
        <v>43973</v>
      </c>
      <c r="AK182" s="2">
        <v>5771.64</v>
      </c>
      <c r="AL182" s="2">
        <v>785.23</v>
      </c>
      <c r="AM182" s="5">
        <v>3278.44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11015.55</v>
      </c>
      <c r="AT182" s="12">
        <v>9835.3100000000013</v>
      </c>
      <c r="AU182" s="2">
        <v>196.71</v>
      </c>
      <c r="BL182" s="1" t="s">
        <v>302</v>
      </c>
    </row>
    <row r="183" spans="1:64" x14ac:dyDescent="0.3">
      <c r="A183" t="s">
        <v>314</v>
      </c>
      <c r="B183" s="1" t="s">
        <v>317</v>
      </c>
      <c r="C183" s="9" t="s">
        <v>318</v>
      </c>
      <c r="D183" s="1" t="s">
        <v>43</v>
      </c>
      <c r="E183" s="1" t="s">
        <v>135</v>
      </c>
      <c r="F183" s="10" t="s">
        <v>316</v>
      </c>
      <c r="G183" s="1">
        <v>0</v>
      </c>
      <c r="H183" s="1">
        <v>0.02</v>
      </c>
      <c r="I183" s="8">
        <v>45260</v>
      </c>
      <c r="J183" s="6">
        <v>171615</v>
      </c>
      <c r="K183" s="6">
        <v>2125</v>
      </c>
      <c r="L183" s="6">
        <v>3064.55</v>
      </c>
      <c r="M183" s="6">
        <v>37.950000000000003</v>
      </c>
      <c r="N183" s="7">
        <v>1551.25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5212.2</v>
      </c>
      <c r="U183" s="6">
        <v>4653.75</v>
      </c>
      <c r="V183" s="6">
        <v>93.08</v>
      </c>
      <c r="AI183" s="2">
        <v>171615</v>
      </c>
      <c r="AJ183" s="2">
        <v>2125</v>
      </c>
      <c r="AK183" s="2">
        <v>3064.55</v>
      </c>
      <c r="AL183" s="2">
        <v>37.950000000000003</v>
      </c>
      <c r="AM183" s="5">
        <v>1551.25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5212.2</v>
      </c>
      <c r="AT183" s="12">
        <v>4653.75</v>
      </c>
      <c r="AU183" s="2">
        <v>93.08</v>
      </c>
      <c r="BL183" s="1" t="s">
        <v>302</v>
      </c>
    </row>
    <row r="184" spans="1:64" x14ac:dyDescent="0.3">
      <c r="A184" t="s">
        <v>383</v>
      </c>
      <c r="B184" s="1" t="s">
        <v>383</v>
      </c>
      <c r="C184" s="9" t="s">
        <v>384</v>
      </c>
      <c r="D184" s="1" t="s">
        <v>43</v>
      </c>
      <c r="E184" s="1" t="s">
        <v>128</v>
      </c>
      <c r="F184" s="10" t="s">
        <v>385</v>
      </c>
      <c r="G184" s="1">
        <v>3.5000000000000003E-2</v>
      </c>
      <c r="H184" s="1">
        <v>0.02</v>
      </c>
      <c r="I184" s="8">
        <v>45242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AI184" s="2">
        <v>0</v>
      </c>
      <c r="AJ184" s="2">
        <v>0</v>
      </c>
      <c r="AK184" s="2">
        <v>0</v>
      </c>
      <c r="AL184" s="2">
        <v>0</v>
      </c>
      <c r="AM184" s="5">
        <v>0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0</v>
      </c>
      <c r="AT184" s="12">
        <v>0</v>
      </c>
      <c r="AU184" s="2">
        <v>0</v>
      </c>
      <c r="BL184" s="1" t="s">
        <v>326</v>
      </c>
    </row>
    <row r="185" spans="1:64" x14ac:dyDescent="0.3">
      <c r="A185" t="s">
        <v>500</v>
      </c>
      <c r="B185" s="1" t="s">
        <v>500</v>
      </c>
      <c r="C185" s="9" t="s">
        <v>501</v>
      </c>
      <c r="D185" s="1" t="s">
        <v>43</v>
      </c>
      <c r="E185" s="1" t="s">
        <v>135</v>
      </c>
      <c r="F185" s="10" t="s">
        <v>316</v>
      </c>
      <c r="G185" s="1">
        <v>0</v>
      </c>
      <c r="H185" s="1">
        <v>0.02</v>
      </c>
      <c r="I185" s="8">
        <v>45091</v>
      </c>
      <c r="J185" s="6">
        <v>282757.59999999998</v>
      </c>
      <c r="K185" s="6">
        <v>59786</v>
      </c>
      <c r="L185" s="6">
        <v>5049.24</v>
      </c>
      <c r="M185" s="6">
        <v>1067.6099999999999</v>
      </c>
      <c r="N185" s="7">
        <v>3058.43</v>
      </c>
      <c r="O185" s="6">
        <v>62648.49</v>
      </c>
      <c r="P185" s="6">
        <v>17587.41</v>
      </c>
      <c r="Q185" s="6">
        <v>1118.72</v>
      </c>
      <c r="R185" s="6">
        <v>314.06</v>
      </c>
      <c r="S185" s="7">
        <v>0</v>
      </c>
      <c r="T185" s="11">
        <v>11881.03</v>
      </c>
      <c r="U185" s="6">
        <v>10608.059999999998</v>
      </c>
      <c r="V185" s="6">
        <v>212.16</v>
      </c>
      <c r="AI185" s="2">
        <v>282757.59999999998</v>
      </c>
      <c r="AJ185" s="2">
        <v>59786</v>
      </c>
      <c r="AK185" s="2">
        <v>5049.24</v>
      </c>
      <c r="AL185" s="2">
        <v>1067.6099999999999</v>
      </c>
      <c r="AM185" s="5">
        <v>3058.43</v>
      </c>
      <c r="AN185" s="12">
        <v>62648.49</v>
      </c>
      <c r="AO185" s="2">
        <v>17587.41</v>
      </c>
      <c r="AP185" s="2">
        <v>1118.72</v>
      </c>
      <c r="AQ185" s="2">
        <v>314.06</v>
      </c>
      <c r="AR185" s="5">
        <v>0</v>
      </c>
      <c r="AS185" s="2">
        <v>11881.03</v>
      </c>
      <c r="AT185" s="12">
        <v>10608.059999999998</v>
      </c>
      <c r="AU185" s="2">
        <v>212.16</v>
      </c>
      <c r="BL185" s="1" t="s">
        <v>302</v>
      </c>
    </row>
    <row r="186" spans="1:64" x14ac:dyDescent="0.3">
      <c r="A186" t="s">
        <v>567</v>
      </c>
      <c r="B186" s="1" t="s">
        <v>567</v>
      </c>
      <c r="C186" s="9" t="s">
        <v>568</v>
      </c>
      <c r="D186" s="1" t="s">
        <v>43</v>
      </c>
      <c r="E186" s="1" t="s">
        <v>135</v>
      </c>
      <c r="F186" s="10" t="s">
        <v>144</v>
      </c>
      <c r="G186" s="1">
        <v>2.5000000000000001E-2</v>
      </c>
      <c r="H186" s="1">
        <v>0.02</v>
      </c>
      <c r="I186" s="8">
        <v>44183</v>
      </c>
      <c r="J186" s="6">
        <v>441727.00000000006</v>
      </c>
      <c r="K186" s="6">
        <v>112626</v>
      </c>
      <c r="L186" s="6">
        <v>7887.98</v>
      </c>
      <c r="M186" s="6">
        <v>2011.18</v>
      </c>
      <c r="N186" s="7">
        <v>4949.58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16630.59</v>
      </c>
      <c r="U186" s="6">
        <v>14848.74</v>
      </c>
      <c r="V186" s="6">
        <v>296.97000000000003</v>
      </c>
      <c r="AI186" s="2">
        <v>441727.00000000006</v>
      </c>
      <c r="AJ186" s="2">
        <v>112626</v>
      </c>
      <c r="AK186" s="2">
        <v>7887.98</v>
      </c>
      <c r="AL186" s="2">
        <v>2011.18</v>
      </c>
      <c r="AM186" s="5">
        <v>4949.58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16630.59</v>
      </c>
      <c r="AT186" s="12">
        <v>14848.74</v>
      </c>
      <c r="AU186" s="2">
        <v>296.97000000000003</v>
      </c>
      <c r="BL186" s="1" t="s">
        <v>137</v>
      </c>
    </row>
    <row r="187" spans="1:64" x14ac:dyDescent="0.3">
      <c r="A187" t="s">
        <v>581</v>
      </c>
      <c r="B187" s="1" t="s">
        <v>581</v>
      </c>
      <c r="C187" s="9" t="s">
        <v>582</v>
      </c>
      <c r="D187" s="1" t="s">
        <v>43</v>
      </c>
      <c r="E187" s="1" t="s">
        <v>135</v>
      </c>
      <c r="F187" s="10" t="s">
        <v>583</v>
      </c>
      <c r="G187" s="1">
        <v>2.5000000000000001E-2</v>
      </c>
      <c r="H187" s="1">
        <v>0.02</v>
      </c>
      <c r="I187" s="8">
        <v>44385</v>
      </c>
      <c r="J187" s="6">
        <v>693957.8</v>
      </c>
      <c r="K187" s="6">
        <v>104153.01000000001</v>
      </c>
      <c r="L187" s="6">
        <v>12392.11</v>
      </c>
      <c r="M187" s="6">
        <v>1859.87</v>
      </c>
      <c r="N187" s="7">
        <v>7125.99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23943.33</v>
      </c>
      <c r="U187" s="6">
        <v>21377.97</v>
      </c>
      <c r="V187" s="6">
        <v>427.56</v>
      </c>
      <c r="AI187" s="2">
        <v>693957.8</v>
      </c>
      <c r="AJ187" s="2">
        <v>104153.01000000001</v>
      </c>
      <c r="AK187" s="2">
        <v>12392.11</v>
      </c>
      <c r="AL187" s="2">
        <v>1859.87</v>
      </c>
      <c r="AM187" s="5">
        <v>7125.99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23943.33</v>
      </c>
      <c r="AT187" s="12">
        <v>21377.97</v>
      </c>
      <c r="AU187" s="2">
        <v>427.56</v>
      </c>
      <c r="BL187" s="1" t="s">
        <v>137</v>
      </c>
    </row>
    <row r="188" spans="1:64" x14ac:dyDescent="0.3">
      <c r="A188" t="s">
        <v>637</v>
      </c>
      <c r="B188" s="1" t="s">
        <v>637</v>
      </c>
      <c r="C188" s="9" t="s">
        <v>638</v>
      </c>
      <c r="D188" s="1" t="s">
        <v>43</v>
      </c>
      <c r="E188" s="1" t="s">
        <v>88</v>
      </c>
      <c r="F188" s="10" t="s">
        <v>639</v>
      </c>
      <c r="G188" s="1">
        <v>3.5000000000000003E-2</v>
      </c>
      <c r="H188" s="1">
        <v>0.02</v>
      </c>
      <c r="I188" s="8">
        <v>45131</v>
      </c>
      <c r="J188" s="6">
        <v>340986.6</v>
      </c>
      <c r="K188" s="6">
        <v>101735</v>
      </c>
      <c r="L188" s="6">
        <v>6089.04</v>
      </c>
      <c r="M188" s="6">
        <v>1816.7</v>
      </c>
      <c r="N188" s="7">
        <v>3952.88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13281.65</v>
      </c>
      <c r="U188" s="6">
        <v>11858.619999999999</v>
      </c>
      <c r="V188" s="6">
        <v>237.17</v>
      </c>
      <c r="AI188" s="2">
        <v>340986.6</v>
      </c>
      <c r="AJ188" s="2">
        <v>101735</v>
      </c>
      <c r="AK188" s="2">
        <v>6089.04</v>
      </c>
      <c r="AL188" s="2">
        <v>1816.7</v>
      </c>
      <c r="AM188" s="5">
        <v>3952.88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13281.65</v>
      </c>
      <c r="AT188" s="12">
        <v>11858.619999999999</v>
      </c>
      <c r="AU188" s="2">
        <v>237.17</v>
      </c>
      <c r="BL188" s="1" t="s">
        <v>90</v>
      </c>
    </row>
    <row r="189" spans="1:64" x14ac:dyDescent="0.3">
      <c r="A189" t="s">
        <v>640</v>
      </c>
      <c r="B189" s="1" t="s">
        <v>640</v>
      </c>
      <c r="C189" s="9" t="s">
        <v>641</v>
      </c>
      <c r="D189" s="1" t="s">
        <v>43</v>
      </c>
      <c r="E189" s="1" t="s">
        <v>88</v>
      </c>
      <c r="F189" s="10" t="s">
        <v>639</v>
      </c>
      <c r="G189" s="1">
        <v>3.5000000000000003E-2</v>
      </c>
      <c r="H189" s="1">
        <v>0.02</v>
      </c>
      <c r="I189" s="8">
        <v>45143</v>
      </c>
      <c r="J189" s="6">
        <v>463197</v>
      </c>
      <c r="K189" s="6">
        <v>74768</v>
      </c>
      <c r="L189" s="6">
        <v>8271.3799999999992</v>
      </c>
      <c r="M189" s="6">
        <v>1335.14</v>
      </c>
      <c r="N189" s="7">
        <v>4803.26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16138.95</v>
      </c>
      <c r="U189" s="6">
        <v>14409.779999999999</v>
      </c>
      <c r="V189" s="6">
        <v>288.2</v>
      </c>
      <c r="AI189" s="2">
        <v>463197</v>
      </c>
      <c r="AJ189" s="2">
        <v>74768</v>
      </c>
      <c r="AK189" s="2">
        <v>8271.3799999999992</v>
      </c>
      <c r="AL189" s="2">
        <v>1335.14</v>
      </c>
      <c r="AM189" s="5">
        <v>4803.26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16138.95</v>
      </c>
      <c r="AT189" s="12">
        <v>14409.779999999999</v>
      </c>
      <c r="AU189" s="2">
        <v>288.2</v>
      </c>
      <c r="BL189" s="1" t="s">
        <v>90</v>
      </c>
    </row>
    <row r="190" spans="1:64" x14ac:dyDescent="0.3">
      <c r="A190" t="s">
        <v>665</v>
      </c>
      <c r="B190" s="1" t="s">
        <v>665</v>
      </c>
      <c r="C190" s="9" t="s">
        <v>666</v>
      </c>
      <c r="D190" s="1" t="s">
        <v>43</v>
      </c>
      <c r="E190" s="1" t="s">
        <v>88</v>
      </c>
      <c r="F190" s="10" t="s">
        <v>639</v>
      </c>
      <c r="G190" s="1">
        <v>0</v>
      </c>
      <c r="H190" s="1">
        <v>0.02</v>
      </c>
      <c r="I190" s="8">
        <v>45434</v>
      </c>
      <c r="J190" s="6">
        <v>257098</v>
      </c>
      <c r="K190" s="6">
        <v>83163.100000000006</v>
      </c>
      <c r="L190" s="6">
        <v>4591.04</v>
      </c>
      <c r="M190" s="6">
        <v>1485.05</v>
      </c>
      <c r="N190" s="7">
        <v>3038.04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10207.83</v>
      </c>
      <c r="U190" s="6">
        <v>9114.130000000001</v>
      </c>
      <c r="V190" s="6">
        <v>182.28</v>
      </c>
      <c r="AI190" s="2">
        <v>257098</v>
      </c>
      <c r="AJ190" s="2">
        <v>83163.100000000006</v>
      </c>
      <c r="AK190" s="2">
        <v>4591.04</v>
      </c>
      <c r="AL190" s="2">
        <v>1485.05</v>
      </c>
      <c r="AM190" s="5">
        <v>3038.04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10207.83</v>
      </c>
      <c r="AT190" s="12">
        <v>9114.130000000001</v>
      </c>
      <c r="AU190" s="2">
        <v>182.28</v>
      </c>
      <c r="BL190" s="1" t="s">
        <v>90</v>
      </c>
    </row>
    <row r="191" spans="1:64" x14ac:dyDescent="0.3">
      <c r="A191" t="s">
        <v>672</v>
      </c>
      <c r="B191" s="1" t="s">
        <v>672</v>
      </c>
      <c r="C191" s="9" t="s">
        <v>673</v>
      </c>
      <c r="D191" s="1" t="s">
        <v>43</v>
      </c>
      <c r="E191" s="1" t="s">
        <v>128</v>
      </c>
      <c r="F191" s="10" t="s">
        <v>385</v>
      </c>
      <c r="G191" s="1">
        <v>0</v>
      </c>
      <c r="H191" s="1">
        <v>0.02</v>
      </c>
      <c r="I191" s="8">
        <v>45607</v>
      </c>
      <c r="J191" s="6">
        <v>336476</v>
      </c>
      <c r="K191" s="6">
        <v>47046</v>
      </c>
      <c r="L191" s="6">
        <v>6008.5</v>
      </c>
      <c r="M191" s="6">
        <v>840.11</v>
      </c>
      <c r="N191" s="7">
        <v>3424.3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11505.66</v>
      </c>
      <c r="U191" s="6">
        <v>10272.91</v>
      </c>
      <c r="V191" s="6">
        <v>205.46</v>
      </c>
      <c r="AI191" s="2">
        <v>336476</v>
      </c>
      <c r="AJ191" s="2">
        <v>47046</v>
      </c>
      <c r="AK191" s="2">
        <v>6008.5</v>
      </c>
      <c r="AL191" s="2">
        <v>840.11</v>
      </c>
      <c r="AM191" s="5">
        <v>3424.3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11505.66</v>
      </c>
      <c r="AT191" s="12">
        <v>10272.91</v>
      </c>
      <c r="AU191" s="2">
        <v>205.46</v>
      </c>
      <c r="BL191" s="1" t="s">
        <v>326</v>
      </c>
    </row>
    <row r="192" spans="1:64" x14ac:dyDescent="0.3">
      <c r="A192" t="s">
        <v>684</v>
      </c>
      <c r="B192" s="1" t="s">
        <v>684</v>
      </c>
      <c r="C192" s="9" t="s">
        <v>685</v>
      </c>
      <c r="D192" s="1" t="s">
        <v>43</v>
      </c>
      <c r="E192" s="1" t="s">
        <v>128</v>
      </c>
      <c r="F192" s="10" t="s">
        <v>385</v>
      </c>
      <c r="G192" s="1">
        <v>0</v>
      </c>
      <c r="H192" s="1">
        <v>0.02</v>
      </c>
      <c r="I192" s="8">
        <v>45575</v>
      </c>
      <c r="J192" s="6">
        <v>271345.95</v>
      </c>
      <c r="K192" s="6">
        <v>26183.75</v>
      </c>
      <c r="L192" s="6">
        <v>4845.46</v>
      </c>
      <c r="M192" s="6">
        <v>467.56</v>
      </c>
      <c r="N192" s="7">
        <v>2656.52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8925.8799999999992</v>
      </c>
      <c r="U192" s="6">
        <v>7969.5400000000009</v>
      </c>
      <c r="V192" s="6">
        <v>159.38999999999999</v>
      </c>
      <c r="AI192" s="2">
        <v>271345.95</v>
      </c>
      <c r="AJ192" s="2">
        <v>26183.75</v>
      </c>
      <c r="AK192" s="2">
        <v>4845.46</v>
      </c>
      <c r="AL192" s="2">
        <v>467.56</v>
      </c>
      <c r="AM192" s="5">
        <v>2656.52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8925.8799999999992</v>
      </c>
      <c r="AT192" s="12">
        <v>7969.5400000000009</v>
      </c>
      <c r="AU192" s="2">
        <v>159.38999999999999</v>
      </c>
      <c r="BL192" s="1" t="s">
        <v>326</v>
      </c>
    </row>
    <row r="193" spans="1:64" x14ac:dyDescent="0.3">
      <c r="A193" t="s">
        <v>750</v>
      </c>
      <c r="B193" s="1" t="s">
        <v>750</v>
      </c>
      <c r="C193" s="9" t="s">
        <v>751</v>
      </c>
      <c r="D193" s="1" t="s">
        <v>43</v>
      </c>
      <c r="E193" s="1" t="s">
        <v>135</v>
      </c>
      <c r="F193" s="10" t="s">
        <v>752</v>
      </c>
      <c r="G193" s="1">
        <v>0</v>
      </c>
      <c r="H193" s="1">
        <v>0.02</v>
      </c>
      <c r="I193" s="8">
        <v>44511</v>
      </c>
      <c r="J193" s="6">
        <v>327390.01</v>
      </c>
      <c r="K193" s="6">
        <v>47944.99</v>
      </c>
      <c r="L193" s="6">
        <v>5846.25</v>
      </c>
      <c r="M193" s="6">
        <v>856.16</v>
      </c>
      <c r="N193" s="7">
        <v>3351.21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11260.05</v>
      </c>
      <c r="U193" s="6">
        <v>10053.619999999999</v>
      </c>
      <c r="V193" s="6">
        <v>201.07</v>
      </c>
      <c r="AI193" s="2">
        <v>327390.01</v>
      </c>
      <c r="AJ193" s="2">
        <v>47944.99</v>
      </c>
      <c r="AK193" s="2">
        <v>5846.25</v>
      </c>
      <c r="AL193" s="2">
        <v>856.16</v>
      </c>
      <c r="AM193" s="5">
        <v>3351.21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11260.05</v>
      </c>
      <c r="AT193" s="12">
        <v>10053.619999999999</v>
      </c>
      <c r="AU193" s="2">
        <v>201.07</v>
      </c>
      <c r="BL193" s="1" t="s">
        <v>302</v>
      </c>
    </row>
    <row r="194" spans="1:64" x14ac:dyDescent="0.3">
      <c r="A194" t="s">
        <v>750</v>
      </c>
      <c r="B194" s="1" t="s">
        <v>753</v>
      </c>
      <c r="C194" s="9" t="s">
        <v>754</v>
      </c>
      <c r="D194" s="1" t="s">
        <v>43</v>
      </c>
      <c r="E194" s="1" t="s">
        <v>135</v>
      </c>
      <c r="F194" s="10" t="s">
        <v>752</v>
      </c>
      <c r="G194" s="1">
        <v>0</v>
      </c>
      <c r="H194" s="1">
        <v>0.02</v>
      </c>
      <c r="I194" s="8">
        <v>45268</v>
      </c>
      <c r="J194" s="6">
        <v>349708.5</v>
      </c>
      <c r="K194" s="6">
        <v>9600</v>
      </c>
      <c r="L194" s="6">
        <v>6244.79</v>
      </c>
      <c r="M194" s="6">
        <v>171.43</v>
      </c>
      <c r="N194" s="7">
        <v>3208.11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10779.25</v>
      </c>
      <c r="U194" s="6">
        <v>9624.33</v>
      </c>
      <c r="V194" s="6">
        <v>192.49</v>
      </c>
      <c r="AI194" s="2">
        <v>349708.5</v>
      </c>
      <c r="AJ194" s="2">
        <v>9600</v>
      </c>
      <c r="AK194" s="2">
        <v>6244.79</v>
      </c>
      <c r="AL194" s="2">
        <v>171.43</v>
      </c>
      <c r="AM194" s="5">
        <v>3208.11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10779.25</v>
      </c>
      <c r="AT194" s="12">
        <v>9624.33</v>
      </c>
      <c r="AU194" s="2">
        <v>192.49</v>
      </c>
      <c r="BL194" s="1" t="s">
        <v>302</v>
      </c>
    </row>
    <row r="195" spans="1:64" x14ac:dyDescent="0.3">
      <c r="A195" t="s">
        <v>804</v>
      </c>
      <c r="B195" s="1" t="s">
        <v>804</v>
      </c>
      <c r="C195" s="9" t="s">
        <v>805</v>
      </c>
      <c r="D195" s="1" t="s">
        <v>43</v>
      </c>
      <c r="E195" s="1" t="s">
        <v>128</v>
      </c>
      <c r="F195" s="10" t="s">
        <v>385</v>
      </c>
      <c r="G195" s="1">
        <v>0</v>
      </c>
      <c r="H195" s="1">
        <v>0.02</v>
      </c>
      <c r="I195" s="8">
        <v>44831</v>
      </c>
      <c r="J195" s="6">
        <v>466490</v>
      </c>
      <c r="K195" s="6">
        <v>63881</v>
      </c>
      <c r="L195" s="6">
        <v>8330.18</v>
      </c>
      <c r="M195" s="6">
        <v>1140.73</v>
      </c>
      <c r="N195" s="7">
        <v>4735.46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15911.13</v>
      </c>
      <c r="U195" s="6">
        <v>14206.369999999999</v>
      </c>
      <c r="V195" s="6">
        <v>284.13</v>
      </c>
      <c r="AI195" s="2">
        <v>466490</v>
      </c>
      <c r="AJ195" s="2">
        <v>63881</v>
      </c>
      <c r="AK195" s="2">
        <v>8330.18</v>
      </c>
      <c r="AL195" s="2">
        <v>1140.73</v>
      </c>
      <c r="AM195" s="5">
        <v>4735.46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15911.13</v>
      </c>
      <c r="AT195" s="12">
        <v>14206.369999999999</v>
      </c>
      <c r="AU195" s="2">
        <v>284.13</v>
      </c>
      <c r="BL195" s="1" t="s">
        <v>326</v>
      </c>
    </row>
    <row r="196" spans="1:64" x14ac:dyDescent="0.3">
      <c r="A196" t="s">
        <v>814</v>
      </c>
      <c r="B196" s="1" t="s">
        <v>814</v>
      </c>
      <c r="C196" s="9" t="s">
        <v>815</v>
      </c>
      <c r="D196" s="1" t="s">
        <v>43</v>
      </c>
      <c r="E196" s="1" t="s">
        <v>88</v>
      </c>
      <c r="F196" s="10" t="s">
        <v>639</v>
      </c>
      <c r="G196" s="1">
        <v>0</v>
      </c>
      <c r="H196" s="1">
        <v>0.02</v>
      </c>
      <c r="I196" s="8">
        <v>44985</v>
      </c>
      <c r="J196" s="6">
        <v>347442.05</v>
      </c>
      <c r="K196" s="6">
        <v>71663</v>
      </c>
      <c r="L196" s="6">
        <v>6204.32</v>
      </c>
      <c r="M196" s="6">
        <v>1279.7</v>
      </c>
      <c r="N196" s="7">
        <v>3742.01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12573.15</v>
      </c>
      <c r="U196" s="6">
        <v>11226.029999999999</v>
      </c>
      <c r="V196" s="6">
        <v>224.52</v>
      </c>
      <c r="AI196" s="2">
        <v>347442.05</v>
      </c>
      <c r="AJ196" s="2">
        <v>71663</v>
      </c>
      <c r="AK196" s="2">
        <v>6204.32</v>
      </c>
      <c r="AL196" s="2">
        <v>1279.7</v>
      </c>
      <c r="AM196" s="5">
        <v>3742.01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12573.15</v>
      </c>
      <c r="AT196" s="12">
        <v>11226.029999999999</v>
      </c>
      <c r="AU196" s="2">
        <v>224.52</v>
      </c>
      <c r="BL196" s="1" t="s">
        <v>90</v>
      </c>
    </row>
    <row r="197" spans="1:64" x14ac:dyDescent="0.3">
      <c r="A197" t="s">
        <v>820</v>
      </c>
      <c r="B197" s="1" t="s">
        <v>820</v>
      </c>
      <c r="C197" s="9" t="s">
        <v>821</v>
      </c>
      <c r="D197" s="1" t="s">
        <v>43</v>
      </c>
      <c r="E197" s="1" t="s">
        <v>88</v>
      </c>
      <c r="F197" s="10" t="s">
        <v>639</v>
      </c>
      <c r="G197" s="1">
        <v>0</v>
      </c>
      <c r="H197" s="1">
        <v>0.02</v>
      </c>
      <c r="I197" s="8">
        <v>45209</v>
      </c>
      <c r="J197" s="6">
        <v>155408</v>
      </c>
      <c r="K197" s="6">
        <v>30539</v>
      </c>
      <c r="L197" s="6">
        <v>2775.14</v>
      </c>
      <c r="M197" s="6">
        <v>545.34</v>
      </c>
      <c r="N197" s="7">
        <v>1660.24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5578.41</v>
      </c>
      <c r="U197" s="6">
        <v>4980.72</v>
      </c>
      <c r="V197" s="6">
        <v>99.61</v>
      </c>
      <c r="AI197" s="2">
        <v>155408</v>
      </c>
      <c r="AJ197" s="2">
        <v>30539</v>
      </c>
      <c r="AK197" s="2">
        <v>2775.14</v>
      </c>
      <c r="AL197" s="2">
        <v>545.34</v>
      </c>
      <c r="AM197" s="5">
        <v>1660.24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5578.41</v>
      </c>
      <c r="AT197" s="12">
        <v>4980.72</v>
      </c>
      <c r="AU197" s="2">
        <v>99.61</v>
      </c>
      <c r="BL197" s="1" t="s">
        <v>90</v>
      </c>
    </row>
    <row r="198" spans="1:64" x14ac:dyDescent="0.3">
      <c r="A198" t="s">
        <v>822</v>
      </c>
      <c r="B198" s="1" t="s">
        <v>822</v>
      </c>
      <c r="C198" s="9" t="s">
        <v>823</v>
      </c>
      <c r="D198" s="1" t="s">
        <v>43</v>
      </c>
      <c r="E198" s="1" t="s">
        <v>88</v>
      </c>
      <c r="F198" s="10" t="s">
        <v>639</v>
      </c>
      <c r="G198" s="1">
        <v>0</v>
      </c>
      <c r="H198" s="1">
        <v>0.02</v>
      </c>
      <c r="I198" s="8">
        <v>45198</v>
      </c>
      <c r="J198" s="6">
        <v>123877.4</v>
      </c>
      <c r="K198" s="6">
        <v>65432</v>
      </c>
      <c r="L198" s="6">
        <v>2212.1</v>
      </c>
      <c r="M198" s="6">
        <v>1168.43</v>
      </c>
      <c r="N198" s="7">
        <v>1690.26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5679.28</v>
      </c>
      <c r="U198" s="6">
        <v>5070.79</v>
      </c>
      <c r="V198" s="6">
        <v>101.42</v>
      </c>
      <c r="AI198" s="2">
        <v>123877.4</v>
      </c>
      <c r="AJ198" s="2">
        <v>65432</v>
      </c>
      <c r="AK198" s="2">
        <v>2212.1</v>
      </c>
      <c r="AL198" s="2">
        <v>1168.43</v>
      </c>
      <c r="AM198" s="5">
        <v>1690.26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5679.28</v>
      </c>
      <c r="AT198" s="12">
        <v>5070.79</v>
      </c>
      <c r="AU198" s="2">
        <v>101.42</v>
      </c>
      <c r="BL198" s="1" t="s">
        <v>90</v>
      </c>
    </row>
    <row r="199" spans="1:64" x14ac:dyDescent="0.3">
      <c r="A199" t="s">
        <v>831</v>
      </c>
      <c r="B199" s="1" t="s">
        <v>831</v>
      </c>
      <c r="C199" s="9" t="s">
        <v>832</v>
      </c>
      <c r="D199" s="1" t="s">
        <v>43</v>
      </c>
      <c r="E199" s="1" t="s">
        <v>135</v>
      </c>
      <c r="F199" s="10" t="s">
        <v>752</v>
      </c>
      <c r="G199" s="1">
        <v>0</v>
      </c>
      <c r="H199" s="1">
        <v>0.02</v>
      </c>
      <c r="I199" s="8">
        <v>45429</v>
      </c>
      <c r="J199" s="6">
        <v>421356.48000000004</v>
      </c>
      <c r="K199" s="6">
        <v>42123.42</v>
      </c>
      <c r="L199" s="6">
        <v>7524.22</v>
      </c>
      <c r="M199" s="6">
        <v>752.21</v>
      </c>
      <c r="N199" s="7">
        <v>4138.21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13904.4</v>
      </c>
      <c r="U199" s="6">
        <v>12414.64</v>
      </c>
      <c r="V199" s="6">
        <v>248.29</v>
      </c>
      <c r="AI199" s="2">
        <v>421356.48000000004</v>
      </c>
      <c r="AJ199" s="2">
        <v>42123.42</v>
      </c>
      <c r="AK199" s="2">
        <v>7524.22</v>
      </c>
      <c r="AL199" s="2">
        <v>752.21</v>
      </c>
      <c r="AM199" s="5">
        <v>4138.21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13904.4</v>
      </c>
      <c r="AT199" s="12">
        <v>12414.64</v>
      </c>
      <c r="AU199" s="2">
        <v>248.29</v>
      </c>
      <c r="BL199" s="1" t="s">
        <v>302</v>
      </c>
    </row>
    <row r="200" spans="1:64" x14ac:dyDescent="0.3">
      <c r="A200" t="s">
        <v>958</v>
      </c>
      <c r="B200" s="1" t="s">
        <v>958</v>
      </c>
      <c r="C200" s="9" t="s">
        <v>959</v>
      </c>
      <c r="D200" s="1" t="s">
        <v>43</v>
      </c>
      <c r="E200" s="1" t="s">
        <v>135</v>
      </c>
      <c r="F200" s="10" t="s">
        <v>583</v>
      </c>
      <c r="G200" s="1">
        <v>0</v>
      </c>
      <c r="H200" s="1">
        <v>0.02</v>
      </c>
      <c r="I200" s="8">
        <v>45706</v>
      </c>
      <c r="J200" s="6">
        <v>254365</v>
      </c>
      <c r="K200" s="6">
        <v>58352</v>
      </c>
      <c r="L200" s="6">
        <v>4542.2299999999996</v>
      </c>
      <c r="M200" s="6">
        <v>1042</v>
      </c>
      <c r="N200" s="7">
        <v>2792.12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9381.51</v>
      </c>
      <c r="U200" s="6">
        <v>8376.3499999999985</v>
      </c>
      <c r="V200" s="6">
        <v>167.53</v>
      </c>
      <c r="AI200" s="2">
        <v>254365</v>
      </c>
      <c r="AJ200" s="2">
        <v>58352</v>
      </c>
      <c r="AK200" s="2">
        <v>4542.2299999999996</v>
      </c>
      <c r="AL200" s="2">
        <v>1042</v>
      </c>
      <c r="AM200" s="5">
        <v>2792.12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9381.51</v>
      </c>
      <c r="AT200" s="12">
        <v>8376.3499999999985</v>
      </c>
      <c r="AU200" s="2">
        <v>167.53</v>
      </c>
      <c r="BL200" s="1" t="s">
        <v>137</v>
      </c>
    </row>
    <row r="201" spans="1:64" x14ac:dyDescent="0.3">
      <c r="A201" t="s">
        <v>1019</v>
      </c>
      <c r="B201" s="1" t="s">
        <v>1019</v>
      </c>
      <c r="C201" s="9" t="s">
        <v>1020</v>
      </c>
      <c r="D201" s="1" t="s">
        <v>43</v>
      </c>
      <c r="E201" s="1" t="s">
        <v>135</v>
      </c>
      <c r="F201" s="10" t="s">
        <v>316</v>
      </c>
      <c r="G201" s="1">
        <v>0</v>
      </c>
      <c r="H201" s="1">
        <v>0.02</v>
      </c>
      <c r="I201" s="8">
        <v>44500</v>
      </c>
      <c r="J201" s="6">
        <v>404811</v>
      </c>
      <c r="K201" s="6">
        <v>47047</v>
      </c>
      <c r="L201" s="6">
        <v>7228.77</v>
      </c>
      <c r="M201" s="6">
        <v>840.12</v>
      </c>
      <c r="N201" s="7">
        <v>4034.45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13555.74</v>
      </c>
      <c r="U201" s="6">
        <v>12103.34</v>
      </c>
      <c r="V201" s="6">
        <v>242.07</v>
      </c>
      <c r="AI201" s="2">
        <v>404811</v>
      </c>
      <c r="AJ201" s="2">
        <v>47047</v>
      </c>
      <c r="AK201" s="2">
        <v>7228.77</v>
      </c>
      <c r="AL201" s="2">
        <v>840.12</v>
      </c>
      <c r="AM201" s="5">
        <v>4034.45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13555.74</v>
      </c>
      <c r="AT201" s="12">
        <v>12103.34</v>
      </c>
      <c r="AU201" s="2">
        <v>242.07</v>
      </c>
      <c r="BL201" s="1" t="s">
        <v>302</v>
      </c>
    </row>
    <row r="202" spans="1:64" x14ac:dyDescent="0.3">
      <c r="A202" t="s">
        <v>1049</v>
      </c>
      <c r="B202" s="1" t="s">
        <v>1049</v>
      </c>
      <c r="C202" s="9" t="s">
        <v>1050</v>
      </c>
      <c r="D202" s="1" t="s">
        <v>43</v>
      </c>
      <c r="E202" s="1" t="s">
        <v>128</v>
      </c>
      <c r="F202" s="10" t="s">
        <v>385</v>
      </c>
      <c r="G202" s="1">
        <v>0</v>
      </c>
      <c r="H202" s="1">
        <v>0.02</v>
      </c>
      <c r="I202" s="8">
        <v>44548</v>
      </c>
      <c r="J202" s="6">
        <v>276483</v>
      </c>
      <c r="K202" s="6">
        <v>28071</v>
      </c>
      <c r="L202" s="6">
        <v>4937.2</v>
      </c>
      <c r="M202" s="6">
        <v>501.27</v>
      </c>
      <c r="N202" s="7">
        <v>2719.23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9136.6200000000008</v>
      </c>
      <c r="U202" s="6">
        <v>8157.6999999999989</v>
      </c>
      <c r="V202" s="6">
        <v>163.15</v>
      </c>
      <c r="AI202" s="2">
        <v>276483</v>
      </c>
      <c r="AJ202" s="2">
        <v>28071</v>
      </c>
      <c r="AK202" s="2">
        <v>4937.2</v>
      </c>
      <c r="AL202" s="2">
        <v>501.27</v>
      </c>
      <c r="AM202" s="5">
        <v>2719.23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9136.6200000000008</v>
      </c>
      <c r="AT202" s="12">
        <v>8157.6999999999989</v>
      </c>
      <c r="AU202" s="2">
        <v>163.15</v>
      </c>
      <c r="BL202" s="1" t="s">
        <v>326</v>
      </c>
    </row>
    <row r="203" spans="1:64" x14ac:dyDescent="0.3">
      <c r="A203" t="s">
        <v>1053</v>
      </c>
      <c r="B203" s="1" t="s">
        <v>1053</v>
      </c>
      <c r="C203" s="9" t="s">
        <v>1054</v>
      </c>
      <c r="D203" s="1" t="s">
        <v>43</v>
      </c>
      <c r="E203" s="1" t="s">
        <v>128</v>
      </c>
      <c r="F203" s="10" t="s">
        <v>385</v>
      </c>
      <c r="G203" s="1">
        <v>0</v>
      </c>
      <c r="H203" s="1">
        <v>0.02</v>
      </c>
      <c r="I203" s="8">
        <v>44576</v>
      </c>
      <c r="J203" s="6">
        <v>289543</v>
      </c>
      <c r="K203" s="6">
        <v>65857</v>
      </c>
      <c r="L203" s="6">
        <v>5170.41</v>
      </c>
      <c r="M203" s="6">
        <v>1176.02</v>
      </c>
      <c r="N203" s="7">
        <v>3173.21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10662</v>
      </c>
      <c r="U203" s="6">
        <v>9519.64</v>
      </c>
      <c r="V203" s="6">
        <v>190.39</v>
      </c>
      <c r="AI203" s="2">
        <v>289543</v>
      </c>
      <c r="AJ203" s="2">
        <v>65857</v>
      </c>
      <c r="AK203" s="2">
        <v>5170.41</v>
      </c>
      <c r="AL203" s="2">
        <v>1176.02</v>
      </c>
      <c r="AM203" s="5">
        <v>3173.21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10662</v>
      </c>
      <c r="AT203" s="12">
        <v>9519.64</v>
      </c>
      <c r="AU203" s="2">
        <v>190.39</v>
      </c>
      <c r="BL203" s="1" t="s">
        <v>326</v>
      </c>
    </row>
    <row r="204" spans="1:64" x14ac:dyDescent="0.3">
      <c r="A204" t="s">
        <v>1154</v>
      </c>
      <c r="B204" s="1" t="s">
        <v>1154</v>
      </c>
      <c r="C204" s="9" t="s">
        <v>1155</v>
      </c>
      <c r="D204" s="1" t="s">
        <v>43</v>
      </c>
      <c r="E204" s="1" t="s">
        <v>128</v>
      </c>
      <c r="F204" s="10" t="s">
        <v>385</v>
      </c>
      <c r="G204" s="1">
        <v>0</v>
      </c>
      <c r="H204" s="1">
        <v>0.02</v>
      </c>
      <c r="I204" s="8">
        <v>44897</v>
      </c>
      <c r="J204" s="6">
        <v>619576.19999999995</v>
      </c>
      <c r="K204" s="6">
        <v>35852</v>
      </c>
      <c r="L204" s="6">
        <v>11063.86</v>
      </c>
      <c r="M204" s="6">
        <v>640.21</v>
      </c>
      <c r="N204" s="7">
        <v>5852.04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19662.84</v>
      </c>
      <c r="U204" s="6">
        <v>17556.11</v>
      </c>
      <c r="V204" s="6">
        <v>351.12</v>
      </c>
      <c r="AI204" s="2">
        <v>619576.19999999995</v>
      </c>
      <c r="AJ204" s="2">
        <v>35852</v>
      </c>
      <c r="AK204" s="2">
        <v>11063.86</v>
      </c>
      <c r="AL204" s="2">
        <v>640.21</v>
      </c>
      <c r="AM204" s="5">
        <v>5852.04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19662.84</v>
      </c>
      <c r="AT204" s="12">
        <v>17556.11</v>
      </c>
      <c r="AU204" s="2">
        <v>351.12</v>
      </c>
      <c r="BL204" s="1" t="s">
        <v>326</v>
      </c>
    </row>
    <row r="205" spans="1:64" x14ac:dyDescent="0.3">
      <c r="A205" t="s">
        <v>1233</v>
      </c>
      <c r="B205" s="1" t="s">
        <v>1234</v>
      </c>
      <c r="C205" s="9" t="s">
        <v>1235</v>
      </c>
      <c r="D205" s="1" t="s">
        <v>43</v>
      </c>
      <c r="E205" s="1" t="s">
        <v>128</v>
      </c>
      <c r="F205" s="10" t="s">
        <v>385</v>
      </c>
      <c r="G205" s="1">
        <v>0</v>
      </c>
      <c r="H205" s="1">
        <v>0.02</v>
      </c>
      <c r="I205" s="8">
        <v>45036</v>
      </c>
      <c r="J205" s="6">
        <v>150594</v>
      </c>
      <c r="K205" s="6">
        <v>900</v>
      </c>
      <c r="L205" s="6">
        <v>2689.18</v>
      </c>
      <c r="M205" s="6">
        <v>16.07</v>
      </c>
      <c r="N205" s="7">
        <v>1352.62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4544.8100000000004</v>
      </c>
      <c r="U205" s="6">
        <v>4057.87</v>
      </c>
      <c r="V205" s="6">
        <v>81.16</v>
      </c>
      <c r="AI205" s="2">
        <v>150594</v>
      </c>
      <c r="AJ205" s="2">
        <v>900</v>
      </c>
      <c r="AK205" s="2">
        <v>2689.18</v>
      </c>
      <c r="AL205" s="2">
        <v>16.07</v>
      </c>
      <c r="AM205" s="5">
        <v>1352.62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4544.8100000000004</v>
      </c>
      <c r="AT205" s="12">
        <v>4057.87</v>
      </c>
      <c r="AU205" s="2">
        <v>81.16</v>
      </c>
      <c r="BL205" s="1" t="s">
        <v>326</v>
      </c>
    </row>
    <row r="206" spans="1:64" x14ac:dyDescent="0.3">
      <c r="A206" t="s">
        <v>1233</v>
      </c>
      <c r="B206" s="1" t="s">
        <v>1233</v>
      </c>
      <c r="C206" s="9" t="s">
        <v>1236</v>
      </c>
      <c r="D206" s="1" t="s">
        <v>43</v>
      </c>
      <c r="E206" s="1" t="s">
        <v>128</v>
      </c>
      <c r="F206" s="10" t="s">
        <v>385</v>
      </c>
      <c r="G206" s="1">
        <v>0</v>
      </c>
      <c r="H206" s="1">
        <v>0.02</v>
      </c>
      <c r="I206" s="8">
        <v>45031</v>
      </c>
      <c r="J206" s="6">
        <v>196644.80000000002</v>
      </c>
      <c r="K206" s="6">
        <v>7904</v>
      </c>
      <c r="L206" s="6">
        <v>3511.52</v>
      </c>
      <c r="M206" s="6">
        <v>141.13999999999999</v>
      </c>
      <c r="N206" s="7">
        <v>1826.33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6136.47</v>
      </c>
      <c r="U206" s="6">
        <v>5478.99</v>
      </c>
      <c r="V206" s="6">
        <v>109.58</v>
      </c>
      <c r="AI206" s="2">
        <v>196644.80000000002</v>
      </c>
      <c r="AJ206" s="2">
        <v>7904</v>
      </c>
      <c r="AK206" s="2">
        <v>3511.52</v>
      </c>
      <c r="AL206" s="2">
        <v>141.13999999999999</v>
      </c>
      <c r="AM206" s="5">
        <v>1826.33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6136.47</v>
      </c>
      <c r="AT206" s="12">
        <v>5478.99</v>
      </c>
      <c r="AU206" s="2">
        <v>109.58</v>
      </c>
      <c r="BL206" s="1" t="s">
        <v>326</v>
      </c>
    </row>
    <row r="207" spans="1:64" x14ac:dyDescent="0.3">
      <c r="A207" t="s">
        <v>1233</v>
      </c>
      <c r="B207" s="1" t="s">
        <v>1237</v>
      </c>
      <c r="C207" s="9" t="s">
        <v>1238</v>
      </c>
      <c r="D207" s="1" t="s">
        <v>43</v>
      </c>
      <c r="E207" s="1" t="s">
        <v>128</v>
      </c>
      <c r="F207" s="10" t="s">
        <v>385</v>
      </c>
      <c r="G207" s="1">
        <v>0</v>
      </c>
      <c r="H207" s="1">
        <v>0.02</v>
      </c>
      <c r="I207" s="8">
        <v>45034</v>
      </c>
      <c r="J207" s="6">
        <v>95032</v>
      </c>
      <c r="K207" s="6">
        <v>150</v>
      </c>
      <c r="L207" s="6">
        <v>1697</v>
      </c>
      <c r="M207" s="6">
        <v>2.68</v>
      </c>
      <c r="N207" s="7">
        <v>849.84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2855.46</v>
      </c>
      <c r="U207" s="6">
        <v>2549.52</v>
      </c>
      <c r="V207" s="6">
        <v>50.99</v>
      </c>
      <c r="AI207" s="2">
        <v>95032</v>
      </c>
      <c r="AJ207" s="2">
        <v>150</v>
      </c>
      <c r="AK207" s="2">
        <v>1697</v>
      </c>
      <c r="AL207" s="2">
        <v>2.68</v>
      </c>
      <c r="AM207" s="5">
        <v>849.84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2855.46</v>
      </c>
      <c r="AT207" s="12">
        <v>2549.52</v>
      </c>
      <c r="AU207" s="2">
        <v>50.99</v>
      </c>
      <c r="BL207" s="1" t="s">
        <v>1239</v>
      </c>
    </row>
    <row r="208" spans="1:64" x14ac:dyDescent="0.3">
      <c r="A208" t="s">
        <v>1233</v>
      </c>
      <c r="B208" s="1" t="s">
        <v>1240</v>
      </c>
      <c r="C208" s="9" t="s">
        <v>1241</v>
      </c>
      <c r="D208" s="1" t="s">
        <v>43</v>
      </c>
      <c r="E208" s="1" t="s">
        <v>128</v>
      </c>
      <c r="F208" s="10" t="s">
        <v>385</v>
      </c>
      <c r="G208" s="1">
        <v>0</v>
      </c>
      <c r="H208" s="1">
        <v>0.02</v>
      </c>
      <c r="I208" s="8">
        <v>45035</v>
      </c>
      <c r="J208" s="6">
        <v>201230</v>
      </c>
      <c r="K208" s="6">
        <v>80</v>
      </c>
      <c r="L208" s="6">
        <v>3593.39</v>
      </c>
      <c r="M208" s="6">
        <v>1.43</v>
      </c>
      <c r="N208" s="7">
        <v>1797.41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6039.3</v>
      </c>
      <c r="U208" s="6">
        <v>5392.23</v>
      </c>
      <c r="V208" s="6">
        <v>107.84</v>
      </c>
      <c r="AI208" s="2">
        <v>201230</v>
      </c>
      <c r="AJ208" s="2">
        <v>80</v>
      </c>
      <c r="AK208" s="2">
        <v>3593.39</v>
      </c>
      <c r="AL208" s="2">
        <v>1.43</v>
      </c>
      <c r="AM208" s="5">
        <v>1797.41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6039.3</v>
      </c>
      <c r="AT208" s="12">
        <v>5392.23</v>
      </c>
      <c r="AU208" s="2">
        <v>107.84</v>
      </c>
      <c r="BL208" s="1" t="s">
        <v>326</v>
      </c>
    </row>
    <row r="209" spans="1:64" x14ac:dyDescent="0.3">
      <c r="A209" t="s">
        <v>1233</v>
      </c>
      <c r="B209" s="1" t="s">
        <v>1242</v>
      </c>
      <c r="C209" s="9" t="s">
        <v>1243</v>
      </c>
      <c r="D209" s="1" t="s">
        <v>43</v>
      </c>
      <c r="E209" s="1" t="s">
        <v>128</v>
      </c>
      <c r="F209" s="10" t="s">
        <v>385</v>
      </c>
      <c r="G209" s="1">
        <v>0</v>
      </c>
      <c r="H209" s="1">
        <v>0.02</v>
      </c>
      <c r="I209" s="8">
        <v>45112</v>
      </c>
      <c r="J209" s="6">
        <v>98639.5</v>
      </c>
      <c r="K209" s="6">
        <v>0</v>
      </c>
      <c r="L209" s="6">
        <v>1761.42</v>
      </c>
      <c r="M209" s="6">
        <v>0</v>
      </c>
      <c r="N209" s="7">
        <v>880.71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2959.19</v>
      </c>
      <c r="U209" s="6">
        <v>2642.13</v>
      </c>
      <c r="V209" s="6">
        <v>52.84</v>
      </c>
      <c r="AI209" s="2">
        <v>98639.5</v>
      </c>
      <c r="AJ209" s="2">
        <v>0</v>
      </c>
      <c r="AK209" s="2">
        <v>1761.42</v>
      </c>
      <c r="AL209" s="2">
        <v>0</v>
      </c>
      <c r="AM209" s="5">
        <v>880.71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2959.19</v>
      </c>
      <c r="AT209" s="12">
        <v>2642.13</v>
      </c>
      <c r="AU209" s="2">
        <v>52.84</v>
      </c>
      <c r="BL209" s="1" t="s">
        <v>326</v>
      </c>
    </row>
    <row r="210" spans="1:64" x14ac:dyDescent="0.3">
      <c r="A210" t="s">
        <v>1246</v>
      </c>
      <c r="B210" s="1" t="s">
        <v>1246</v>
      </c>
      <c r="C210" s="9" t="s">
        <v>1247</v>
      </c>
      <c r="D210" s="1" t="s">
        <v>43</v>
      </c>
      <c r="E210" s="1" t="s">
        <v>128</v>
      </c>
      <c r="F210" s="10" t="s">
        <v>385</v>
      </c>
      <c r="G210" s="1">
        <v>0</v>
      </c>
      <c r="H210" s="1">
        <v>0.02</v>
      </c>
      <c r="I210" s="8">
        <v>45152</v>
      </c>
      <c r="J210" s="6">
        <v>592565.75</v>
      </c>
      <c r="K210" s="6">
        <v>18701</v>
      </c>
      <c r="L210" s="6">
        <v>10581.54</v>
      </c>
      <c r="M210" s="6">
        <v>333.95</v>
      </c>
      <c r="N210" s="7">
        <v>5457.74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18338.02</v>
      </c>
      <c r="U210" s="6">
        <v>16373.230000000001</v>
      </c>
      <c r="V210" s="6">
        <v>327.45999999999998</v>
      </c>
      <c r="AI210" s="2">
        <v>592565.75</v>
      </c>
      <c r="AJ210" s="2">
        <v>18701</v>
      </c>
      <c r="AK210" s="2">
        <v>10581.54</v>
      </c>
      <c r="AL210" s="2">
        <v>333.95</v>
      </c>
      <c r="AM210" s="5">
        <v>5457.74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18338.02</v>
      </c>
      <c r="AT210" s="12">
        <v>16373.230000000001</v>
      </c>
      <c r="AU210" s="2">
        <v>327.45999999999998</v>
      </c>
      <c r="BL210" s="1" t="s">
        <v>326</v>
      </c>
    </row>
    <row r="211" spans="1:64" x14ac:dyDescent="0.3">
      <c r="A211" t="s">
        <v>1246</v>
      </c>
      <c r="B211" s="1" t="s">
        <v>1248</v>
      </c>
      <c r="C211" s="9" t="s">
        <v>1249</v>
      </c>
      <c r="D211" s="1" t="s">
        <v>43</v>
      </c>
      <c r="E211" s="1" t="s">
        <v>128</v>
      </c>
      <c r="F211" s="10" t="s">
        <v>385</v>
      </c>
      <c r="G211" s="1">
        <v>0</v>
      </c>
      <c r="H211" s="1">
        <v>0.02</v>
      </c>
      <c r="I211" s="8">
        <v>45173</v>
      </c>
      <c r="J211" s="6">
        <v>128500</v>
      </c>
      <c r="K211" s="6">
        <v>12470</v>
      </c>
      <c r="L211" s="6">
        <v>2294.64</v>
      </c>
      <c r="M211" s="6">
        <v>222.68</v>
      </c>
      <c r="N211" s="7">
        <v>1258.6600000000001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4229.1000000000004</v>
      </c>
      <c r="U211" s="6">
        <v>3775.9799999999996</v>
      </c>
      <c r="V211" s="6">
        <v>75.52</v>
      </c>
      <c r="AI211" s="2">
        <v>128500</v>
      </c>
      <c r="AJ211" s="2">
        <v>12470</v>
      </c>
      <c r="AK211" s="2">
        <v>2294.64</v>
      </c>
      <c r="AL211" s="2">
        <v>222.68</v>
      </c>
      <c r="AM211" s="5">
        <v>1258.6600000000001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4229.1000000000004</v>
      </c>
      <c r="AT211" s="12">
        <v>3775.9799999999996</v>
      </c>
      <c r="AU211" s="2">
        <v>75.52</v>
      </c>
      <c r="BL211" s="1" t="s">
        <v>1239</v>
      </c>
    </row>
    <row r="212" spans="1:64" x14ac:dyDescent="0.3">
      <c r="A212" t="s">
        <v>1246</v>
      </c>
      <c r="B212" s="1" t="s">
        <v>1250</v>
      </c>
      <c r="C212" s="9" t="s">
        <v>1251</v>
      </c>
      <c r="D212" s="1" t="s">
        <v>43</v>
      </c>
      <c r="E212" s="1" t="s">
        <v>128</v>
      </c>
      <c r="F212" s="10" t="s">
        <v>385</v>
      </c>
      <c r="G212" s="1">
        <v>0</v>
      </c>
      <c r="H212" s="1">
        <v>0.02</v>
      </c>
      <c r="I212" s="8">
        <v>45250</v>
      </c>
      <c r="J212" s="6">
        <v>131949.9</v>
      </c>
      <c r="K212" s="6">
        <v>14065</v>
      </c>
      <c r="L212" s="6">
        <v>2356.25</v>
      </c>
      <c r="M212" s="6">
        <v>251.16</v>
      </c>
      <c r="N212" s="7">
        <v>1303.71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4380.45</v>
      </c>
      <c r="U212" s="6">
        <v>3911.12</v>
      </c>
      <c r="V212" s="6">
        <v>78.22</v>
      </c>
      <c r="AI212" s="2">
        <v>131949.9</v>
      </c>
      <c r="AJ212" s="2">
        <v>14065</v>
      </c>
      <c r="AK212" s="2">
        <v>2356.25</v>
      </c>
      <c r="AL212" s="2">
        <v>251.16</v>
      </c>
      <c r="AM212" s="5">
        <v>1303.71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4380.45</v>
      </c>
      <c r="AT212" s="12">
        <v>3911.12</v>
      </c>
      <c r="AU212" s="2">
        <v>78.22</v>
      </c>
      <c r="BL212" s="1" t="s">
        <v>1239</v>
      </c>
    </row>
    <row r="213" spans="1:64" x14ac:dyDescent="0.3">
      <c r="A213" t="s">
        <v>1252</v>
      </c>
      <c r="B213" s="1" t="s">
        <v>1252</v>
      </c>
      <c r="C213" s="9" t="s">
        <v>1253</v>
      </c>
      <c r="D213" s="1" t="s">
        <v>43</v>
      </c>
      <c r="E213" s="1" t="s">
        <v>128</v>
      </c>
      <c r="F213" s="10" t="s">
        <v>385</v>
      </c>
      <c r="G213" s="1">
        <v>0</v>
      </c>
      <c r="H213" s="1">
        <v>0.02</v>
      </c>
      <c r="I213" s="8">
        <v>45131</v>
      </c>
      <c r="J213" s="6">
        <v>144426</v>
      </c>
      <c r="K213" s="6">
        <v>15686</v>
      </c>
      <c r="L213" s="6">
        <v>2579.04</v>
      </c>
      <c r="M213" s="6">
        <v>280.11</v>
      </c>
      <c r="N213" s="7">
        <v>1429.57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4803.37</v>
      </c>
      <c r="U213" s="6">
        <v>4288.72</v>
      </c>
      <c r="V213" s="6">
        <v>85.77</v>
      </c>
      <c r="AI213" s="2">
        <v>144426</v>
      </c>
      <c r="AJ213" s="2">
        <v>15686</v>
      </c>
      <c r="AK213" s="2">
        <v>2579.04</v>
      </c>
      <c r="AL213" s="2">
        <v>280.11</v>
      </c>
      <c r="AM213" s="5">
        <v>1429.57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4803.37</v>
      </c>
      <c r="AT213" s="12">
        <v>4288.72</v>
      </c>
      <c r="AU213" s="2">
        <v>85.77</v>
      </c>
      <c r="BL213" s="1" t="s">
        <v>326</v>
      </c>
    </row>
    <row r="214" spans="1:64" x14ac:dyDescent="0.3">
      <c r="A214" t="s">
        <v>1274</v>
      </c>
      <c r="B214" s="1" t="s">
        <v>1274</v>
      </c>
      <c r="C214" s="9" t="s">
        <v>1275</v>
      </c>
      <c r="D214" s="1" t="s">
        <v>43</v>
      </c>
      <c r="E214" s="1" t="s">
        <v>128</v>
      </c>
      <c r="F214" s="10" t="s">
        <v>385</v>
      </c>
      <c r="G214" s="1">
        <v>0</v>
      </c>
      <c r="H214" s="1">
        <v>0.02</v>
      </c>
      <c r="I214" s="8">
        <v>45283</v>
      </c>
      <c r="J214" s="6">
        <v>89352</v>
      </c>
      <c r="K214" s="6">
        <v>3199</v>
      </c>
      <c r="L214" s="6">
        <v>1595.57</v>
      </c>
      <c r="M214" s="6">
        <v>57.12</v>
      </c>
      <c r="N214" s="7">
        <v>826.35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2776.52</v>
      </c>
      <c r="U214" s="6">
        <v>2479.04</v>
      </c>
      <c r="V214" s="6">
        <v>49.58</v>
      </c>
      <c r="AI214" s="2">
        <v>89352</v>
      </c>
      <c r="AJ214" s="2">
        <v>3199</v>
      </c>
      <c r="AK214" s="2">
        <v>1595.57</v>
      </c>
      <c r="AL214" s="2">
        <v>57.12</v>
      </c>
      <c r="AM214" s="5">
        <v>826.35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2776.52</v>
      </c>
      <c r="AT214" s="12">
        <v>2479.04</v>
      </c>
      <c r="AU214" s="2">
        <v>49.58</v>
      </c>
      <c r="BL214" s="1" t="s">
        <v>326</v>
      </c>
    </row>
    <row r="215" spans="1:64" x14ac:dyDescent="0.3">
      <c r="A215" t="s">
        <v>1274</v>
      </c>
      <c r="B215" s="1" t="s">
        <v>1276</v>
      </c>
      <c r="C215" s="9" t="s">
        <v>1277</v>
      </c>
      <c r="D215" s="1" t="s">
        <v>43</v>
      </c>
      <c r="E215" s="1" t="s">
        <v>128</v>
      </c>
      <c r="F215" s="10" t="s">
        <v>385</v>
      </c>
      <c r="G215" s="1">
        <v>0</v>
      </c>
      <c r="H215" s="1">
        <v>0.02</v>
      </c>
      <c r="I215" s="8">
        <v>45296</v>
      </c>
      <c r="J215" s="6">
        <v>308520</v>
      </c>
      <c r="K215" s="6">
        <v>10030</v>
      </c>
      <c r="L215" s="6">
        <v>5509.29</v>
      </c>
      <c r="M215" s="6">
        <v>179.11</v>
      </c>
      <c r="N215" s="7">
        <v>2844.2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9556.51</v>
      </c>
      <c r="U215" s="6">
        <v>8532.5999999999985</v>
      </c>
      <c r="V215" s="6">
        <v>170.65</v>
      </c>
      <c r="AI215" s="2">
        <v>308520</v>
      </c>
      <c r="AJ215" s="2">
        <v>10030</v>
      </c>
      <c r="AK215" s="2">
        <v>5509.29</v>
      </c>
      <c r="AL215" s="2">
        <v>179.11</v>
      </c>
      <c r="AM215" s="5">
        <v>2844.2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9556.51</v>
      </c>
      <c r="AT215" s="12">
        <v>8532.5999999999985</v>
      </c>
      <c r="AU215" s="2">
        <v>170.65</v>
      </c>
      <c r="BL215" s="1" t="s">
        <v>326</v>
      </c>
    </row>
    <row r="216" spans="1:64" x14ac:dyDescent="0.3">
      <c r="A216" t="s">
        <v>1300</v>
      </c>
      <c r="B216" s="1" t="s">
        <v>1300</v>
      </c>
      <c r="C216" s="9" t="s">
        <v>1301</v>
      </c>
      <c r="D216" s="1" t="s">
        <v>43</v>
      </c>
      <c r="E216" s="1" t="s">
        <v>88</v>
      </c>
      <c r="F216" s="10" t="s">
        <v>639</v>
      </c>
      <c r="G216" s="1">
        <v>0</v>
      </c>
      <c r="H216" s="1">
        <v>0.02</v>
      </c>
      <c r="I216" s="8">
        <v>45350</v>
      </c>
      <c r="J216" s="6">
        <v>344384.45</v>
      </c>
      <c r="K216" s="6">
        <v>36596</v>
      </c>
      <c r="L216" s="6">
        <v>6149.72</v>
      </c>
      <c r="M216" s="6">
        <v>653.5</v>
      </c>
      <c r="N216" s="7">
        <v>3401.61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11429.41</v>
      </c>
      <c r="U216" s="6">
        <v>10204.83</v>
      </c>
      <c r="V216" s="6">
        <v>204.1</v>
      </c>
      <c r="AI216" s="2">
        <v>344384.45</v>
      </c>
      <c r="AJ216" s="2">
        <v>36596</v>
      </c>
      <c r="AK216" s="2">
        <v>6149.72</v>
      </c>
      <c r="AL216" s="2">
        <v>653.5</v>
      </c>
      <c r="AM216" s="5">
        <v>3401.61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11429.41</v>
      </c>
      <c r="AT216" s="12">
        <v>10204.83</v>
      </c>
      <c r="AU216" s="2">
        <v>204.1</v>
      </c>
      <c r="BL216" s="1" t="s">
        <v>90</v>
      </c>
    </row>
    <row r="217" spans="1:64" x14ac:dyDescent="0.3">
      <c r="A217" t="s">
        <v>1300</v>
      </c>
      <c r="B217" s="1" t="s">
        <v>1302</v>
      </c>
      <c r="C217" s="9" t="s">
        <v>1303</v>
      </c>
      <c r="D217" s="1" t="s">
        <v>43</v>
      </c>
      <c r="E217" s="1" t="s">
        <v>88</v>
      </c>
      <c r="F217" s="10" t="s">
        <v>639</v>
      </c>
      <c r="G217" s="1">
        <v>0</v>
      </c>
      <c r="H217" s="1">
        <v>0.02</v>
      </c>
      <c r="I217" s="8">
        <v>45389</v>
      </c>
      <c r="J217" s="6">
        <v>145947.76</v>
      </c>
      <c r="K217" s="6">
        <v>0</v>
      </c>
      <c r="L217" s="6">
        <v>2606.21</v>
      </c>
      <c r="M217" s="6">
        <v>0</v>
      </c>
      <c r="N217" s="7">
        <v>1303.1099999999999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4378.4399999999996</v>
      </c>
      <c r="U217" s="6">
        <v>3909.3199999999997</v>
      </c>
      <c r="V217" s="6">
        <v>78.19</v>
      </c>
      <c r="AI217" s="2">
        <v>145947.76</v>
      </c>
      <c r="AJ217" s="2">
        <v>0</v>
      </c>
      <c r="AK217" s="2">
        <v>2606.21</v>
      </c>
      <c r="AL217" s="2">
        <v>0</v>
      </c>
      <c r="AM217" s="5">
        <v>1303.1099999999999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4378.4399999999996</v>
      </c>
      <c r="AT217" s="12">
        <v>3909.3199999999997</v>
      </c>
      <c r="AU217" s="2">
        <v>78.19</v>
      </c>
      <c r="BL217" s="1" t="s">
        <v>90</v>
      </c>
    </row>
    <row r="218" spans="1:64" x14ac:dyDescent="0.3">
      <c r="A218" t="s">
        <v>1334</v>
      </c>
      <c r="B218" s="1" t="s">
        <v>1334</v>
      </c>
      <c r="C218" s="9" t="s">
        <v>1335</v>
      </c>
      <c r="D218" s="1" t="s">
        <v>43</v>
      </c>
      <c r="E218" s="1" t="s">
        <v>135</v>
      </c>
      <c r="F218" s="10" t="s">
        <v>144</v>
      </c>
      <c r="G218" s="1">
        <v>0</v>
      </c>
      <c r="H218" s="1">
        <v>0.02</v>
      </c>
      <c r="I218" s="8">
        <v>45252</v>
      </c>
      <c r="J218" s="6">
        <v>306851</v>
      </c>
      <c r="K218" s="6">
        <v>54782</v>
      </c>
      <c r="L218" s="6">
        <v>5479.48</v>
      </c>
      <c r="M218" s="6">
        <v>978.25</v>
      </c>
      <c r="N218" s="7">
        <v>3228.87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10848.99</v>
      </c>
      <c r="U218" s="6">
        <v>9686.5999999999985</v>
      </c>
      <c r="V218" s="6">
        <v>193.73</v>
      </c>
      <c r="AI218" s="2">
        <v>306851</v>
      </c>
      <c r="AJ218" s="2">
        <v>54782</v>
      </c>
      <c r="AK218" s="2">
        <v>5479.48</v>
      </c>
      <c r="AL218" s="2">
        <v>978.25</v>
      </c>
      <c r="AM218" s="5">
        <v>3228.87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10848.99</v>
      </c>
      <c r="AT218" s="12">
        <v>9686.5999999999985</v>
      </c>
      <c r="AU218" s="2">
        <v>193.73</v>
      </c>
      <c r="BL218" s="1" t="s">
        <v>436</v>
      </c>
    </row>
    <row r="219" spans="1:64" x14ac:dyDescent="0.3">
      <c r="A219" t="s">
        <v>1336</v>
      </c>
      <c r="B219" s="1" t="s">
        <v>1336</v>
      </c>
      <c r="C219" s="9" t="s">
        <v>1337</v>
      </c>
      <c r="D219" s="1" t="s">
        <v>43</v>
      </c>
      <c r="E219" s="1" t="s">
        <v>135</v>
      </c>
      <c r="F219" s="10" t="s">
        <v>316</v>
      </c>
      <c r="G219" s="1">
        <v>0</v>
      </c>
      <c r="H219" s="1">
        <v>0.02</v>
      </c>
      <c r="I219" s="8">
        <v>45296</v>
      </c>
      <c r="J219" s="6">
        <v>324816.23</v>
      </c>
      <c r="K219" s="6">
        <v>58650</v>
      </c>
      <c r="L219" s="6">
        <v>5800.29</v>
      </c>
      <c r="M219" s="6">
        <v>1047.32</v>
      </c>
      <c r="N219" s="7">
        <v>3423.8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11503.98</v>
      </c>
      <c r="U219" s="6">
        <v>10271.41</v>
      </c>
      <c r="V219" s="6">
        <v>205.43</v>
      </c>
      <c r="AI219" s="2">
        <v>324816.23</v>
      </c>
      <c r="AJ219" s="2">
        <v>58650</v>
      </c>
      <c r="AK219" s="2">
        <v>5800.29</v>
      </c>
      <c r="AL219" s="2">
        <v>1047.32</v>
      </c>
      <c r="AM219" s="5">
        <v>3423.8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11503.98</v>
      </c>
      <c r="AT219" s="12">
        <v>10271.41</v>
      </c>
      <c r="AU219" s="2">
        <v>205.43</v>
      </c>
      <c r="BL219" s="1" t="s">
        <v>302</v>
      </c>
    </row>
    <row r="220" spans="1:64" x14ac:dyDescent="0.3">
      <c r="A220" t="s">
        <v>1351</v>
      </c>
      <c r="B220" s="1" t="s">
        <v>1351</v>
      </c>
      <c r="C220" s="9" t="s">
        <v>1352</v>
      </c>
      <c r="D220" s="1" t="s">
        <v>43</v>
      </c>
      <c r="E220" s="1" t="s">
        <v>135</v>
      </c>
      <c r="F220" s="10" t="s">
        <v>144</v>
      </c>
      <c r="G220" s="1">
        <v>0</v>
      </c>
      <c r="H220" s="1">
        <v>0.02</v>
      </c>
      <c r="I220" s="8">
        <v>45311</v>
      </c>
      <c r="J220" s="6">
        <v>528102</v>
      </c>
      <c r="K220" s="6">
        <v>75624</v>
      </c>
      <c r="L220" s="6">
        <v>9430.39</v>
      </c>
      <c r="M220" s="6">
        <v>1350.43</v>
      </c>
      <c r="N220" s="7">
        <v>5390.41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18111.78</v>
      </c>
      <c r="U220" s="6">
        <v>16171.23</v>
      </c>
      <c r="V220" s="6">
        <v>323.42</v>
      </c>
      <c r="AI220" s="2">
        <v>528102</v>
      </c>
      <c r="AJ220" s="2">
        <v>75624</v>
      </c>
      <c r="AK220" s="2">
        <v>9430.39</v>
      </c>
      <c r="AL220" s="2">
        <v>1350.43</v>
      </c>
      <c r="AM220" s="5">
        <v>5390.41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18111.78</v>
      </c>
      <c r="AT220" s="12">
        <v>16171.23</v>
      </c>
      <c r="AU220" s="2">
        <v>323.42</v>
      </c>
      <c r="BL220" s="1" t="s">
        <v>137</v>
      </c>
    </row>
    <row r="221" spans="1:64" x14ac:dyDescent="0.3">
      <c r="A221" t="s">
        <v>1353</v>
      </c>
      <c r="B221" s="1" t="s">
        <v>1353</v>
      </c>
      <c r="C221" s="9" t="s">
        <v>1354</v>
      </c>
      <c r="D221" s="1" t="s">
        <v>43</v>
      </c>
      <c r="E221" s="1" t="s">
        <v>135</v>
      </c>
      <c r="F221" s="10" t="s">
        <v>583</v>
      </c>
      <c r="G221" s="1">
        <v>0</v>
      </c>
      <c r="H221" s="1">
        <v>0.02</v>
      </c>
      <c r="I221" s="8">
        <v>45297</v>
      </c>
      <c r="J221" s="6">
        <v>315610</v>
      </c>
      <c r="K221" s="6">
        <v>29305</v>
      </c>
      <c r="L221" s="6">
        <v>5635.89</v>
      </c>
      <c r="M221" s="6">
        <v>523.29999999999995</v>
      </c>
      <c r="N221" s="7">
        <v>3079.6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10347.44</v>
      </c>
      <c r="U221" s="6">
        <v>9238.7900000000009</v>
      </c>
      <c r="V221" s="6">
        <v>184.78</v>
      </c>
      <c r="AI221" s="2">
        <v>315610</v>
      </c>
      <c r="AJ221" s="2">
        <v>29305</v>
      </c>
      <c r="AK221" s="2">
        <v>5635.89</v>
      </c>
      <c r="AL221" s="2">
        <v>523.29999999999995</v>
      </c>
      <c r="AM221" s="5">
        <v>3079.6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10347.44</v>
      </c>
      <c r="AT221" s="12">
        <v>9238.7900000000009</v>
      </c>
      <c r="AU221" s="2">
        <v>184.78</v>
      </c>
      <c r="BL221" s="1" t="s">
        <v>137</v>
      </c>
    </row>
    <row r="222" spans="1:64" x14ac:dyDescent="0.3">
      <c r="A222" t="s">
        <v>1379</v>
      </c>
      <c r="B222" s="1" t="s">
        <v>1380</v>
      </c>
      <c r="C222" s="9" t="s">
        <v>1381</v>
      </c>
      <c r="D222" s="1" t="s">
        <v>43</v>
      </c>
      <c r="E222" s="1" t="s">
        <v>135</v>
      </c>
      <c r="F222" s="10" t="s">
        <v>144</v>
      </c>
      <c r="G222" s="1">
        <v>0</v>
      </c>
      <c r="H222" s="1">
        <v>0.02</v>
      </c>
      <c r="I222" s="8">
        <v>45198</v>
      </c>
      <c r="J222" s="6">
        <v>573602.85</v>
      </c>
      <c r="K222" s="6">
        <v>13425</v>
      </c>
      <c r="L222" s="6">
        <v>10242.91</v>
      </c>
      <c r="M222" s="6">
        <v>239.73</v>
      </c>
      <c r="N222" s="7">
        <v>5241.32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17610.84</v>
      </c>
      <c r="U222" s="6">
        <v>15723.96</v>
      </c>
      <c r="V222" s="6">
        <v>314.48</v>
      </c>
      <c r="AI222" s="2">
        <v>573602.85</v>
      </c>
      <c r="AJ222" s="2">
        <v>13425</v>
      </c>
      <c r="AK222" s="2">
        <v>10242.91</v>
      </c>
      <c r="AL222" s="2">
        <v>239.73</v>
      </c>
      <c r="AM222" s="5">
        <v>5241.32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17610.84</v>
      </c>
      <c r="AT222" s="12">
        <v>15723.96</v>
      </c>
      <c r="AU222" s="2">
        <v>314.48</v>
      </c>
      <c r="BL222" s="1" t="s">
        <v>137</v>
      </c>
    </row>
    <row r="223" spans="1:64" x14ac:dyDescent="0.3">
      <c r="A223" t="s">
        <v>1379</v>
      </c>
      <c r="B223" s="1" t="s">
        <v>1382</v>
      </c>
      <c r="C223" s="9" t="s">
        <v>1383</v>
      </c>
      <c r="D223" s="1" t="s">
        <v>43</v>
      </c>
      <c r="E223" s="1" t="s">
        <v>135</v>
      </c>
      <c r="F223" s="10" t="s">
        <v>144</v>
      </c>
      <c r="G223" s="1">
        <v>0</v>
      </c>
      <c r="H223" s="1">
        <v>0.02</v>
      </c>
      <c r="I223" s="8">
        <v>45204</v>
      </c>
      <c r="J223" s="6">
        <v>200583.85</v>
      </c>
      <c r="K223" s="6">
        <v>20555</v>
      </c>
      <c r="L223" s="6">
        <v>3581.86</v>
      </c>
      <c r="M223" s="6">
        <v>367.05</v>
      </c>
      <c r="N223" s="7">
        <v>1974.46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6634.17</v>
      </c>
      <c r="U223" s="6">
        <v>5923.3700000000008</v>
      </c>
      <c r="V223" s="6">
        <v>118.47</v>
      </c>
      <c r="AI223" s="2">
        <v>200583.85</v>
      </c>
      <c r="AJ223" s="2">
        <v>20555</v>
      </c>
      <c r="AK223" s="2">
        <v>3581.86</v>
      </c>
      <c r="AL223" s="2">
        <v>367.05</v>
      </c>
      <c r="AM223" s="5">
        <v>1974.46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6634.17</v>
      </c>
      <c r="AT223" s="12">
        <v>5923.3700000000008</v>
      </c>
      <c r="AU223" s="2">
        <v>118.47</v>
      </c>
      <c r="BL223" s="1" t="s">
        <v>137</v>
      </c>
    </row>
    <row r="224" spans="1:64" x14ac:dyDescent="0.3">
      <c r="A224" t="s">
        <v>1379</v>
      </c>
      <c r="B224" s="1" t="s">
        <v>1379</v>
      </c>
      <c r="C224" s="9" t="s">
        <v>1384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45373</v>
      </c>
      <c r="J224" s="6">
        <v>247281.2</v>
      </c>
      <c r="K224" s="6">
        <v>56050</v>
      </c>
      <c r="L224" s="6">
        <v>4415.7299999999996</v>
      </c>
      <c r="M224" s="6">
        <v>1000.89</v>
      </c>
      <c r="N224" s="7">
        <v>2708.31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9099.92</v>
      </c>
      <c r="U224" s="6">
        <v>8124.93</v>
      </c>
      <c r="V224" s="6">
        <v>162.5</v>
      </c>
      <c r="AI224" s="2">
        <v>247281.2</v>
      </c>
      <c r="AJ224" s="2">
        <v>56050</v>
      </c>
      <c r="AK224" s="2">
        <v>4415.7299999999996</v>
      </c>
      <c r="AL224" s="2">
        <v>1000.89</v>
      </c>
      <c r="AM224" s="5">
        <v>2708.31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9099.92</v>
      </c>
      <c r="AT224" s="12">
        <v>8124.93</v>
      </c>
      <c r="AU224" s="2">
        <v>162.5</v>
      </c>
      <c r="BL224" s="1" t="s">
        <v>137</v>
      </c>
    </row>
    <row r="225" spans="1:64" x14ac:dyDescent="0.3">
      <c r="A225" t="s">
        <v>86</v>
      </c>
      <c r="B225" s="1" t="s">
        <v>86</v>
      </c>
      <c r="C225" s="9" t="s">
        <v>87</v>
      </c>
      <c r="D225" s="1" t="s">
        <v>44</v>
      </c>
      <c r="E225" s="1" t="s">
        <v>88</v>
      </c>
      <c r="F225" s="10" t="s">
        <v>89</v>
      </c>
      <c r="G225" s="1">
        <v>0</v>
      </c>
      <c r="H225" s="1">
        <v>0.02</v>
      </c>
      <c r="I225" s="8">
        <v>44328</v>
      </c>
      <c r="J225" s="6">
        <v>379032.95999999996</v>
      </c>
      <c r="K225" s="6">
        <v>95706</v>
      </c>
      <c r="L225" s="6">
        <v>6768.45</v>
      </c>
      <c r="M225" s="6">
        <v>1709.04</v>
      </c>
      <c r="N225" s="7">
        <v>4238.74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14242.18</v>
      </c>
      <c r="U225" s="6">
        <v>12716.23</v>
      </c>
      <c r="V225" s="6">
        <v>254.32</v>
      </c>
      <c r="AI225" s="2">
        <v>379032.95999999996</v>
      </c>
      <c r="AJ225" s="2">
        <v>95706</v>
      </c>
      <c r="AK225" s="2">
        <v>6768.45</v>
      </c>
      <c r="AL225" s="2">
        <v>1709.04</v>
      </c>
      <c r="AM225" s="5">
        <v>4238.74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14242.18</v>
      </c>
      <c r="AT225" s="12">
        <v>12716.23</v>
      </c>
      <c r="AU225" s="2">
        <v>254.32</v>
      </c>
      <c r="BL225" s="1" t="s">
        <v>90</v>
      </c>
    </row>
    <row r="226" spans="1:64" x14ac:dyDescent="0.3">
      <c r="A226" t="s">
        <v>86</v>
      </c>
      <c r="B226" s="1" t="s">
        <v>91</v>
      </c>
      <c r="C226" s="9" t="s">
        <v>92</v>
      </c>
      <c r="D226" s="1" t="s">
        <v>44</v>
      </c>
      <c r="E226" s="1" t="s">
        <v>88</v>
      </c>
      <c r="F226" s="10" t="s">
        <v>89</v>
      </c>
      <c r="G226" s="1">
        <v>0</v>
      </c>
      <c r="H226" s="1">
        <v>0.02</v>
      </c>
      <c r="I226" s="8">
        <v>44365</v>
      </c>
      <c r="J226" s="6">
        <v>306968</v>
      </c>
      <c r="K226" s="6">
        <v>41837</v>
      </c>
      <c r="L226" s="6">
        <v>5481.57</v>
      </c>
      <c r="M226" s="6">
        <v>747.09</v>
      </c>
      <c r="N226" s="7">
        <v>3114.33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10464.15</v>
      </c>
      <c r="U226" s="6">
        <v>9342.99</v>
      </c>
      <c r="V226" s="6">
        <v>186.86</v>
      </c>
      <c r="AI226" s="2">
        <v>306968</v>
      </c>
      <c r="AJ226" s="2">
        <v>41837</v>
      </c>
      <c r="AK226" s="2">
        <v>5481.57</v>
      </c>
      <c r="AL226" s="2">
        <v>747.09</v>
      </c>
      <c r="AM226" s="5">
        <v>3114.33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10464.15</v>
      </c>
      <c r="AT226" s="12">
        <v>9342.99</v>
      </c>
      <c r="AU226" s="2">
        <v>186.86</v>
      </c>
      <c r="BL226" s="1" t="s">
        <v>90</v>
      </c>
    </row>
    <row r="227" spans="1:64" x14ac:dyDescent="0.3">
      <c r="A227" t="s">
        <v>99</v>
      </c>
      <c r="B227" s="1" t="s">
        <v>99</v>
      </c>
      <c r="C227" s="9" t="s">
        <v>100</v>
      </c>
      <c r="D227" s="1" t="s">
        <v>44</v>
      </c>
      <c r="E227" s="1" t="s">
        <v>88</v>
      </c>
      <c r="F227" s="10" t="s">
        <v>101</v>
      </c>
      <c r="G227" s="1">
        <v>2.5000000000000001E-2</v>
      </c>
      <c r="H227" s="1">
        <v>0.02</v>
      </c>
      <c r="I227" s="8">
        <v>45725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AI227" s="2">
        <v>0</v>
      </c>
      <c r="AJ227" s="2">
        <v>0</v>
      </c>
      <c r="AK227" s="2">
        <v>0</v>
      </c>
      <c r="AL227" s="2">
        <v>0</v>
      </c>
      <c r="AM227" s="5">
        <v>0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0</v>
      </c>
      <c r="AT227" s="12">
        <v>0</v>
      </c>
      <c r="AU227" s="2">
        <v>0</v>
      </c>
      <c r="BL227" s="1" t="s">
        <v>90</v>
      </c>
    </row>
    <row r="228" spans="1:64" x14ac:dyDescent="0.3">
      <c r="A228" t="s">
        <v>102</v>
      </c>
      <c r="B228" s="1" t="s">
        <v>102</v>
      </c>
      <c r="C228" s="9" t="s">
        <v>103</v>
      </c>
      <c r="D228" s="1" t="s">
        <v>44</v>
      </c>
      <c r="E228" s="1" t="s">
        <v>88</v>
      </c>
      <c r="F228" s="10" t="s">
        <v>104</v>
      </c>
      <c r="G228" s="1">
        <v>2.5000000000000001E-2</v>
      </c>
      <c r="H228" s="1">
        <v>0.02</v>
      </c>
      <c r="I228" s="8">
        <v>44009</v>
      </c>
      <c r="J228" s="6">
        <v>501089</v>
      </c>
      <c r="K228" s="6">
        <v>147476</v>
      </c>
      <c r="L228" s="6">
        <v>8948.02</v>
      </c>
      <c r="M228" s="6">
        <v>2633.5</v>
      </c>
      <c r="N228" s="7">
        <v>5790.76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19456.95</v>
      </c>
      <c r="U228" s="6">
        <v>17372.28</v>
      </c>
      <c r="V228" s="6">
        <v>347.45</v>
      </c>
      <c r="AI228" s="2">
        <v>501089</v>
      </c>
      <c r="AJ228" s="2">
        <v>147476</v>
      </c>
      <c r="AK228" s="2">
        <v>8948.02</v>
      </c>
      <c r="AL228" s="2">
        <v>2633.5</v>
      </c>
      <c r="AM228" s="5">
        <v>5790.76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19456.95</v>
      </c>
      <c r="AT228" s="12">
        <v>17372.28</v>
      </c>
      <c r="AU228" s="2">
        <v>347.45</v>
      </c>
      <c r="BL228" s="1" t="s">
        <v>90</v>
      </c>
    </row>
    <row r="229" spans="1:64" x14ac:dyDescent="0.3">
      <c r="A229" t="s">
        <v>112</v>
      </c>
      <c r="B229" s="1" t="s">
        <v>112</v>
      </c>
      <c r="C229" s="9" t="s">
        <v>113</v>
      </c>
      <c r="D229" s="1" t="s">
        <v>44</v>
      </c>
      <c r="E229" s="1" t="s">
        <v>88</v>
      </c>
      <c r="F229" s="10" t="s">
        <v>114</v>
      </c>
      <c r="G229" s="1">
        <v>2.5000000000000001E-2</v>
      </c>
      <c r="H229" s="1">
        <v>0.02</v>
      </c>
      <c r="I229" s="8">
        <v>45657</v>
      </c>
      <c r="J229" s="6">
        <v>492066.38</v>
      </c>
      <c r="K229" s="6">
        <v>122615.23</v>
      </c>
      <c r="L229" s="6">
        <v>8786.9</v>
      </c>
      <c r="M229" s="6">
        <v>2189.5500000000002</v>
      </c>
      <c r="N229" s="7">
        <v>5488.23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18440.439999999999</v>
      </c>
      <c r="U229" s="6">
        <v>16464.68</v>
      </c>
      <c r="V229" s="6">
        <v>329.29</v>
      </c>
      <c r="AI229" s="2">
        <v>492066.38</v>
      </c>
      <c r="AJ229" s="2">
        <v>122615.23</v>
      </c>
      <c r="AK229" s="2">
        <v>8786.9</v>
      </c>
      <c r="AL229" s="2">
        <v>2189.5500000000002</v>
      </c>
      <c r="AM229" s="5">
        <v>5488.23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18440.439999999999</v>
      </c>
      <c r="AT229" s="12">
        <v>16464.68</v>
      </c>
      <c r="AU229" s="2">
        <v>329.29</v>
      </c>
      <c r="BL229" s="1" t="s">
        <v>90</v>
      </c>
    </row>
    <row r="230" spans="1:64" x14ac:dyDescent="0.3">
      <c r="A230" t="s">
        <v>118</v>
      </c>
      <c r="B230" s="1" t="s">
        <v>118</v>
      </c>
      <c r="C230" s="9" t="s">
        <v>119</v>
      </c>
      <c r="D230" s="1" t="s">
        <v>44</v>
      </c>
      <c r="E230" s="1" t="s">
        <v>88</v>
      </c>
      <c r="F230" s="10" t="s">
        <v>114</v>
      </c>
      <c r="G230" s="1">
        <v>2.5000000000000001E-2</v>
      </c>
      <c r="H230" s="1">
        <v>0.02</v>
      </c>
      <c r="I230" s="8">
        <v>44009</v>
      </c>
      <c r="J230" s="6">
        <v>738405.79</v>
      </c>
      <c r="K230" s="6">
        <v>151545</v>
      </c>
      <c r="L230" s="6">
        <v>13185.82</v>
      </c>
      <c r="M230" s="6">
        <v>2706.16</v>
      </c>
      <c r="N230" s="7">
        <v>7945.99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26698.53</v>
      </c>
      <c r="U230" s="6">
        <v>23837.97</v>
      </c>
      <c r="V230" s="6">
        <v>476.76</v>
      </c>
      <c r="AI230" s="2">
        <v>738405.79</v>
      </c>
      <c r="AJ230" s="2">
        <v>151545</v>
      </c>
      <c r="AK230" s="2">
        <v>13185.82</v>
      </c>
      <c r="AL230" s="2">
        <v>2706.16</v>
      </c>
      <c r="AM230" s="5">
        <v>7945.99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26698.53</v>
      </c>
      <c r="AT230" s="12">
        <v>23837.97</v>
      </c>
      <c r="AU230" s="2">
        <v>476.76</v>
      </c>
      <c r="BL230" s="1" t="s">
        <v>90</v>
      </c>
    </row>
    <row r="231" spans="1:64" x14ac:dyDescent="0.3">
      <c r="A231" t="s">
        <v>156</v>
      </c>
      <c r="B231" s="1" t="s">
        <v>156</v>
      </c>
      <c r="C231" s="9" t="s">
        <v>157</v>
      </c>
      <c r="D231" s="1" t="s">
        <v>44</v>
      </c>
      <c r="E231" s="1" t="s">
        <v>88</v>
      </c>
      <c r="F231" s="10" t="s">
        <v>101</v>
      </c>
      <c r="G231" s="1">
        <v>2.5000000000000001E-2</v>
      </c>
      <c r="H231" s="1">
        <v>0.02</v>
      </c>
      <c r="I231" s="8">
        <v>45716</v>
      </c>
      <c r="J231" s="6">
        <v>257922.99000000002</v>
      </c>
      <c r="K231" s="6">
        <v>90327.91</v>
      </c>
      <c r="L231" s="6">
        <v>4605.7700000000004</v>
      </c>
      <c r="M231" s="6">
        <v>1613</v>
      </c>
      <c r="N231" s="7">
        <v>3109.38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10447.530000000001</v>
      </c>
      <c r="U231" s="6">
        <v>9328.1500000000015</v>
      </c>
      <c r="V231" s="6">
        <v>186.56</v>
      </c>
      <c r="AI231" s="2">
        <v>257922.99000000002</v>
      </c>
      <c r="AJ231" s="2">
        <v>90327.91</v>
      </c>
      <c r="AK231" s="2">
        <v>4605.7700000000004</v>
      </c>
      <c r="AL231" s="2">
        <v>1613</v>
      </c>
      <c r="AM231" s="5">
        <v>3109.38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10447.530000000001</v>
      </c>
      <c r="AT231" s="12">
        <v>9328.1500000000015</v>
      </c>
      <c r="AU231" s="2">
        <v>186.56</v>
      </c>
      <c r="BL231" s="1" t="s">
        <v>90</v>
      </c>
    </row>
    <row r="232" spans="1:64" x14ac:dyDescent="0.3">
      <c r="A232" t="s">
        <v>164</v>
      </c>
      <c r="B232" s="1" t="s">
        <v>164</v>
      </c>
      <c r="C232" s="9" t="s">
        <v>165</v>
      </c>
      <c r="D232" s="1" t="s">
        <v>44</v>
      </c>
      <c r="E232" s="1" t="s">
        <v>88</v>
      </c>
      <c r="F232" s="10" t="s">
        <v>89</v>
      </c>
      <c r="G232" s="1">
        <v>2.5000000000000001E-2</v>
      </c>
      <c r="H232" s="1">
        <v>0.02</v>
      </c>
      <c r="I232" s="8">
        <v>45657</v>
      </c>
      <c r="J232" s="6">
        <v>588592</v>
      </c>
      <c r="K232" s="6">
        <v>143717</v>
      </c>
      <c r="L232" s="6">
        <v>10510.57</v>
      </c>
      <c r="M232" s="6">
        <v>2566.38</v>
      </c>
      <c r="N232" s="7">
        <v>6538.47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21969.27</v>
      </c>
      <c r="U232" s="6">
        <v>19615.420000000002</v>
      </c>
      <c r="V232" s="6">
        <v>392.31</v>
      </c>
      <c r="AI232" s="2">
        <v>588592</v>
      </c>
      <c r="AJ232" s="2">
        <v>143717</v>
      </c>
      <c r="AK232" s="2">
        <v>10510.57</v>
      </c>
      <c r="AL232" s="2">
        <v>2566.38</v>
      </c>
      <c r="AM232" s="5">
        <v>6538.47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21969.27</v>
      </c>
      <c r="AT232" s="12">
        <v>19615.420000000002</v>
      </c>
      <c r="AU232" s="2">
        <v>392.31</v>
      </c>
      <c r="BL232" s="1" t="s">
        <v>90</v>
      </c>
    </row>
    <row r="233" spans="1:64" x14ac:dyDescent="0.3">
      <c r="A233" t="s">
        <v>164</v>
      </c>
      <c r="B233" s="1" t="s">
        <v>166</v>
      </c>
      <c r="C233" s="9" t="s">
        <v>167</v>
      </c>
      <c r="D233" s="1" t="s">
        <v>44</v>
      </c>
      <c r="E233" s="1" t="s">
        <v>88</v>
      </c>
      <c r="F233" s="10" t="s">
        <v>89</v>
      </c>
      <c r="G233" s="1">
        <v>2.5000000000000001E-2</v>
      </c>
      <c r="H233" s="1">
        <v>0.02</v>
      </c>
      <c r="I233" s="8">
        <v>45657</v>
      </c>
      <c r="J233" s="6">
        <v>314334</v>
      </c>
      <c r="K233" s="6">
        <v>60487</v>
      </c>
      <c r="L233" s="6">
        <v>5613.11</v>
      </c>
      <c r="M233" s="6">
        <v>1080.1199999999999</v>
      </c>
      <c r="N233" s="7">
        <v>3346.62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11244.63</v>
      </c>
      <c r="U233" s="6">
        <v>10039.849999999999</v>
      </c>
      <c r="V233" s="6">
        <v>200.8</v>
      </c>
      <c r="AI233" s="2">
        <v>314334</v>
      </c>
      <c r="AJ233" s="2">
        <v>60487</v>
      </c>
      <c r="AK233" s="2">
        <v>5613.11</v>
      </c>
      <c r="AL233" s="2">
        <v>1080.1199999999999</v>
      </c>
      <c r="AM233" s="5">
        <v>3346.62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11244.63</v>
      </c>
      <c r="AT233" s="12">
        <v>10039.849999999999</v>
      </c>
      <c r="AU233" s="2">
        <v>200.8</v>
      </c>
      <c r="BL233" s="1" t="s">
        <v>90</v>
      </c>
    </row>
    <row r="234" spans="1:64" x14ac:dyDescent="0.3">
      <c r="A234" t="s">
        <v>164</v>
      </c>
      <c r="B234" s="1" t="s">
        <v>168</v>
      </c>
      <c r="C234" s="9" t="s">
        <v>169</v>
      </c>
      <c r="D234" s="1" t="s">
        <v>44</v>
      </c>
      <c r="E234" s="1" t="s">
        <v>88</v>
      </c>
      <c r="F234" s="10" t="s">
        <v>89</v>
      </c>
      <c r="G234" s="1">
        <v>0</v>
      </c>
      <c r="H234" s="1">
        <v>0.02</v>
      </c>
      <c r="I234" s="8">
        <v>45657</v>
      </c>
      <c r="J234" s="6">
        <v>244663</v>
      </c>
      <c r="K234" s="6">
        <v>88285</v>
      </c>
      <c r="L234" s="6">
        <v>4368.9799999999996</v>
      </c>
      <c r="M234" s="6">
        <v>1576.52</v>
      </c>
      <c r="N234" s="7">
        <v>2972.75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9988.44</v>
      </c>
      <c r="U234" s="6">
        <v>8918.25</v>
      </c>
      <c r="V234" s="6">
        <v>178.36</v>
      </c>
      <c r="AI234" s="2">
        <v>244663</v>
      </c>
      <c r="AJ234" s="2">
        <v>88285</v>
      </c>
      <c r="AK234" s="2">
        <v>4368.9799999999996</v>
      </c>
      <c r="AL234" s="2">
        <v>1576.52</v>
      </c>
      <c r="AM234" s="5">
        <v>2972.75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9988.44</v>
      </c>
      <c r="AT234" s="12">
        <v>8918.25</v>
      </c>
      <c r="AU234" s="2">
        <v>178.36</v>
      </c>
      <c r="BL234" s="1" t="s">
        <v>90</v>
      </c>
    </row>
    <row r="235" spans="1:64" x14ac:dyDescent="0.3">
      <c r="A235" t="s">
        <v>170</v>
      </c>
      <c r="B235" s="1" t="s">
        <v>170</v>
      </c>
      <c r="C235" s="9" t="s">
        <v>171</v>
      </c>
      <c r="D235" s="1" t="s">
        <v>44</v>
      </c>
      <c r="E235" s="1" t="s">
        <v>88</v>
      </c>
      <c r="F235" s="10" t="s">
        <v>89</v>
      </c>
      <c r="G235" s="1">
        <v>2.5000000000000001E-2</v>
      </c>
      <c r="H235" s="1">
        <v>0.02</v>
      </c>
      <c r="I235" s="8">
        <v>45657</v>
      </c>
      <c r="J235" s="6">
        <v>397675.52999999997</v>
      </c>
      <c r="K235" s="6">
        <v>96991.169999999984</v>
      </c>
      <c r="L235" s="6">
        <v>7101.35</v>
      </c>
      <c r="M235" s="6">
        <v>1731.98</v>
      </c>
      <c r="N235" s="7">
        <v>4416.67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14840</v>
      </c>
      <c r="U235" s="6">
        <v>13250</v>
      </c>
      <c r="V235" s="6">
        <v>265</v>
      </c>
      <c r="AI235" s="2">
        <v>397675.52999999997</v>
      </c>
      <c r="AJ235" s="2">
        <v>96991.169999999984</v>
      </c>
      <c r="AK235" s="2">
        <v>7101.35</v>
      </c>
      <c r="AL235" s="2">
        <v>1731.98</v>
      </c>
      <c r="AM235" s="5">
        <v>4416.67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14840</v>
      </c>
      <c r="AT235" s="12">
        <v>13250</v>
      </c>
      <c r="AU235" s="2">
        <v>265</v>
      </c>
      <c r="BL235" s="1" t="s">
        <v>90</v>
      </c>
    </row>
    <row r="236" spans="1:64" x14ac:dyDescent="0.3">
      <c r="A236" t="s">
        <v>170</v>
      </c>
      <c r="B236" s="1" t="s">
        <v>172</v>
      </c>
      <c r="C236" s="9" t="s">
        <v>173</v>
      </c>
      <c r="D236" s="1" t="s">
        <v>44</v>
      </c>
      <c r="E236" s="1" t="s">
        <v>88</v>
      </c>
      <c r="F236" s="10" t="s">
        <v>89</v>
      </c>
      <c r="G236" s="1">
        <v>0</v>
      </c>
      <c r="H236" s="1">
        <v>0.02</v>
      </c>
      <c r="I236" s="8">
        <v>45657</v>
      </c>
      <c r="J236" s="6">
        <v>66799</v>
      </c>
      <c r="K236" s="6">
        <v>45265</v>
      </c>
      <c r="L236" s="6">
        <v>1192.8399999999999</v>
      </c>
      <c r="M236" s="6">
        <v>808.3</v>
      </c>
      <c r="N236" s="7">
        <v>1000.57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3361.92</v>
      </c>
      <c r="U236" s="6">
        <v>3001.71</v>
      </c>
      <c r="V236" s="6">
        <v>60.03</v>
      </c>
      <c r="AI236" s="2">
        <v>66799</v>
      </c>
      <c r="AJ236" s="2">
        <v>45265</v>
      </c>
      <c r="AK236" s="2">
        <v>1192.8399999999999</v>
      </c>
      <c r="AL236" s="2">
        <v>808.3</v>
      </c>
      <c r="AM236" s="5">
        <v>1000.57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3361.92</v>
      </c>
      <c r="AT236" s="12">
        <v>3001.71</v>
      </c>
      <c r="AU236" s="2">
        <v>60.03</v>
      </c>
      <c r="BL236" s="1" t="s">
        <v>90</v>
      </c>
    </row>
    <row r="237" spans="1:64" x14ac:dyDescent="0.3">
      <c r="A237" t="s">
        <v>174</v>
      </c>
      <c r="B237" s="1" t="s">
        <v>174</v>
      </c>
      <c r="C237" s="9" t="s">
        <v>175</v>
      </c>
      <c r="D237" s="1" t="s">
        <v>44</v>
      </c>
      <c r="E237" s="1" t="s">
        <v>88</v>
      </c>
      <c r="F237" s="10" t="s">
        <v>104</v>
      </c>
      <c r="G237" s="1">
        <v>2.5000000000000001E-2</v>
      </c>
      <c r="H237" s="1">
        <v>0.02</v>
      </c>
      <c r="I237" s="8">
        <v>44051</v>
      </c>
      <c r="J237" s="6">
        <v>584693</v>
      </c>
      <c r="K237" s="6">
        <v>153868.75</v>
      </c>
      <c r="L237" s="6">
        <v>10440.950000000001</v>
      </c>
      <c r="M237" s="6">
        <v>2747.66</v>
      </c>
      <c r="N237" s="7">
        <v>6594.3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22156.86</v>
      </c>
      <c r="U237" s="6">
        <v>19782.91</v>
      </c>
      <c r="V237" s="6">
        <v>395.66</v>
      </c>
      <c r="AI237" s="2">
        <v>584693</v>
      </c>
      <c r="AJ237" s="2">
        <v>153868.75</v>
      </c>
      <c r="AK237" s="2">
        <v>10440.950000000001</v>
      </c>
      <c r="AL237" s="2">
        <v>2747.66</v>
      </c>
      <c r="AM237" s="5">
        <v>6594.3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22156.86</v>
      </c>
      <c r="AT237" s="12">
        <v>19782.91</v>
      </c>
      <c r="AU237" s="2">
        <v>395.66</v>
      </c>
      <c r="BL237" s="1" t="s">
        <v>90</v>
      </c>
    </row>
    <row r="238" spans="1:64" x14ac:dyDescent="0.3">
      <c r="A238" t="s">
        <v>176</v>
      </c>
      <c r="B238" s="1" t="s">
        <v>176</v>
      </c>
      <c r="C238" s="9" t="s">
        <v>177</v>
      </c>
      <c r="D238" s="1" t="s">
        <v>44</v>
      </c>
      <c r="E238" s="1" t="s">
        <v>88</v>
      </c>
      <c r="F238" s="10" t="s">
        <v>178</v>
      </c>
      <c r="G238" s="1">
        <v>2.5000000000000001E-2</v>
      </c>
      <c r="H238" s="1">
        <v>0.02</v>
      </c>
      <c r="I238" s="8">
        <v>44358</v>
      </c>
      <c r="J238" s="6">
        <v>506334.08</v>
      </c>
      <c r="K238" s="6">
        <v>98633.97</v>
      </c>
      <c r="L238" s="6">
        <v>9041.68</v>
      </c>
      <c r="M238" s="6">
        <v>1761.32</v>
      </c>
      <c r="N238" s="7">
        <v>5401.5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18149.04</v>
      </c>
      <c r="U238" s="6">
        <v>16204.5</v>
      </c>
      <c r="V238" s="6">
        <v>324.08999999999997</v>
      </c>
      <c r="AI238" s="2">
        <v>506334.08</v>
      </c>
      <c r="AJ238" s="2">
        <v>98633.97</v>
      </c>
      <c r="AK238" s="2">
        <v>9041.68</v>
      </c>
      <c r="AL238" s="2">
        <v>1761.32</v>
      </c>
      <c r="AM238" s="5">
        <v>5401.5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18149.04</v>
      </c>
      <c r="AT238" s="12">
        <v>16204.5</v>
      </c>
      <c r="AU238" s="2">
        <v>324.08999999999997</v>
      </c>
      <c r="BL238" s="1" t="s">
        <v>90</v>
      </c>
    </row>
    <row r="239" spans="1:64" x14ac:dyDescent="0.3">
      <c r="A239" t="s">
        <v>179</v>
      </c>
      <c r="B239" s="1" t="s">
        <v>179</v>
      </c>
      <c r="C239" s="9" t="s">
        <v>180</v>
      </c>
      <c r="D239" s="1" t="s">
        <v>44</v>
      </c>
      <c r="E239" s="1" t="s">
        <v>88</v>
      </c>
      <c r="F239" s="10" t="s">
        <v>181</v>
      </c>
      <c r="G239" s="1">
        <v>2.5000000000000001E-2</v>
      </c>
      <c r="H239" s="1">
        <v>0.02</v>
      </c>
      <c r="I239" s="8">
        <v>45657</v>
      </c>
      <c r="J239" s="6">
        <v>368292.25</v>
      </c>
      <c r="K239" s="6">
        <v>89831</v>
      </c>
      <c r="L239" s="6">
        <v>6576.64</v>
      </c>
      <c r="M239" s="6">
        <v>1604.12</v>
      </c>
      <c r="N239" s="7">
        <v>4090.38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13743.68</v>
      </c>
      <c r="U239" s="6">
        <v>12271.14</v>
      </c>
      <c r="V239" s="6">
        <v>245.42</v>
      </c>
      <c r="AI239" s="2">
        <v>368292.25</v>
      </c>
      <c r="AJ239" s="2">
        <v>89831</v>
      </c>
      <c r="AK239" s="2">
        <v>6576.64</v>
      </c>
      <c r="AL239" s="2">
        <v>1604.12</v>
      </c>
      <c r="AM239" s="5">
        <v>4090.38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13743.68</v>
      </c>
      <c r="AT239" s="12">
        <v>12271.14</v>
      </c>
      <c r="AU239" s="2">
        <v>245.42</v>
      </c>
      <c r="BL239" s="1" t="s">
        <v>90</v>
      </c>
    </row>
    <row r="240" spans="1:64" x14ac:dyDescent="0.3">
      <c r="A240" t="s">
        <v>179</v>
      </c>
      <c r="B240" s="1" t="s">
        <v>182</v>
      </c>
      <c r="C240" s="9" t="s">
        <v>183</v>
      </c>
      <c r="D240" s="1" t="s">
        <v>44</v>
      </c>
      <c r="E240" s="1" t="s">
        <v>88</v>
      </c>
      <c r="F240" s="10" t="s">
        <v>181</v>
      </c>
      <c r="G240" s="1">
        <v>3.5000000000000003E-2</v>
      </c>
      <c r="H240" s="1">
        <v>0.02</v>
      </c>
      <c r="I240" s="8">
        <v>45657</v>
      </c>
      <c r="J240" s="6">
        <v>86096</v>
      </c>
      <c r="K240" s="6">
        <v>69450</v>
      </c>
      <c r="L240" s="6">
        <v>1537.43</v>
      </c>
      <c r="M240" s="6">
        <v>1240.18</v>
      </c>
      <c r="N240" s="7">
        <v>1388.8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4666.38</v>
      </c>
      <c r="U240" s="6">
        <v>4166.41</v>
      </c>
      <c r="V240" s="6">
        <v>83.33</v>
      </c>
      <c r="AI240" s="2">
        <v>86096</v>
      </c>
      <c r="AJ240" s="2">
        <v>69450</v>
      </c>
      <c r="AK240" s="2">
        <v>1537.43</v>
      </c>
      <c r="AL240" s="2">
        <v>1240.18</v>
      </c>
      <c r="AM240" s="5">
        <v>1388.8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4666.38</v>
      </c>
      <c r="AT240" s="12">
        <v>4166.41</v>
      </c>
      <c r="AU240" s="2">
        <v>83.33</v>
      </c>
      <c r="BL240" s="1" t="s">
        <v>90</v>
      </c>
    </row>
    <row r="241" spans="1:64" x14ac:dyDescent="0.3">
      <c r="A241" t="s">
        <v>179</v>
      </c>
      <c r="B241" s="1" t="s">
        <v>184</v>
      </c>
      <c r="C241" s="9" t="s">
        <v>185</v>
      </c>
      <c r="D241" s="1" t="s">
        <v>44</v>
      </c>
      <c r="E241" s="1" t="s">
        <v>88</v>
      </c>
      <c r="F241" s="10" t="s">
        <v>181</v>
      </c>
      <c r="G241" s="1">
        <v>2.5000000000000001E-2</v>
      </c>
      <c r="H241" s="1">
        <v>0.02</v>
      </c>
      <c r="I241" s="8">
        <v>45657</v>
      </c>
      <c r="J241" s="6">
        <v>107387</v>
      </c>
      <c r="K241" s="6">
        <v>52537</v>
      </c>
      <c r="L241" s="6">
        <v>1917.62</v>
      </c>
      <c r="M241" s="6">
        <v>938.16</v>
      </c>
      <c r="N241" s="7">
        <v>1427.89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4797.71</v>
      </c>
      <c r="U241" s="6">
        <v>4283.67</v>
      </c>
      <c r="V241" s="6">
        <v>85.67</v>
      </c>
      <c r="AI241" s="2">
        <v>107387</v>
      </c>
      <c r="AJ241" s="2">
        <v>52537</v>
      </c>
      <c r="AK241" s="2">
        <v>1917.62</v>
      </c>
      <c r="AL241" s="2">
        <v>938.16</v>
      </c>
      <c r="AM241" s="5">
        <v>1427.89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4797.71</v>
      </c>
      <c r="AT241" s="12">
        <v>4283.67</v>
      </c>
      <c r="AU241" s="2">
        <v>85.67</v>
      </c>
      <c r="BL241" s="1" t="s">
        <v>90</v>
      </c>
    </row>
    <row r="242" spans="1:64" x14ac:dyDescent="0.3">
      <c r="A242" t="s">
        <v>186</v>
      </c>
      <c r="B242" s="1" t="s">
        <v>186</v>
      </c>
      <c r="C242" s="9" t="s">
        <v>187</v>
      </c>
      <c r="D242" s="1" t="s">
        <v>44</v>
      </c>
      <c r="E242" s="1" t="s">
        <v>88</v>
      </c>
      <c r="F242" s="10" t="s">
        <v>188</v>
      </c>
      <c r="G242" s="1">
        <v>2.5000000000000001E-2</v>
      </c>
      <c r="H242" s="1">
        <v>0.02</v>
      </c>
      <c r="I242" s="8">
        <v>44396</v>
      </c>
      <c r="J242" s="6">
        <v>436215.1</v>
      </c>
      <c r="K242" s="6">
        <v>82121.5</v>
      </c>
      <c r="L242" s="6">
        <v>7789.55</v>
      </c>
      <c r="M242" s="6">
        <v>1466.46</v>
      </c>
      <c r="N242" s="7">
        <v>4628.01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15550.1</v>
      </c>
      <c r="U242" s="6">
        <v>13884.02</v>
      </c>
      <c r="V242" s="6">
        <v>277.68</v>
      </c>
      <c r="AI242" s="2">
        <v>436215.1</v>
      </c>
      <c r="AJ242" s="2">
        <v>82121.5</v>
      </c>
      <c r="AK242" s="2">
        <v>7789.55</v>
      </c>
      <c r="AL242" s="2">
        <v>1466.46</v>
      </c>
      <c r="AM242" s="5">
        <v>4628.01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15550.1</v>
      </c>
      <c r="AT242" s="12">
        <v>13884.02</v>
      </c>
      <c r="AU242" s="2">
        <v>277.68</v>
      </c>
      <c r="BL242" s="1" t="s">
        <v>90</v>
      </c>
    </row>
    <row r="243" spans="1:64" x14ac:dyDescent="0.3">
      <c r="A243" t="s">
        <v>186</v>
      </c>
      <c r="B243" s="1" t="s">
        <v>189</v>
      </c>
      <c r="C243" s="9" t="s">
        <v>190</v>
      </c>
      <c r="D243" s="1" t="s">
        <v>44</v>
      </c>
      <c r="E243" s="1" t="s">
        <v>88</v>
      </c>
      <c r="F243" s="10" t="s">
        <v>188</v>
      </c>
      <c r="G243" s="1">
        <v>2.5000000000000001E-2</v>
      </c>
      <c r="H243" s="1">
        <v>0.02</v>
      </c>
      <c r="I243" s="8">
        <v>44396</v>
      </c>
      <c r="J243" s="6">
        <v>253887.57</v>
      </c>
      <c r="K243" s="6">
        <v>65592</v>
      </c>
      <c r="L243" s="6">
        <v>4533.71</v>
      </c>
      <c r="M243" s="6">
        <v>1171.29</v>
      </c>
      <c r="N243" s="7">
        <v>2852.5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9584.4</v>
      </c>
      <c r="U243" s="6">
        <v>8557.5</v>
      </c>
      <c r="V243" s="6">
        <v>171.15</v>
      </c>
      <c r="AI243" s="2">
        <v>253887.57</v>
      </c>
      <c r="AJ243" s="2">
        <v>65592</v>
      </c>
      <c r="AK243" s="2">
        <v>4533.71</v>
      </c>
      <c r="AL243" s="2">
        <v>1171.29</v>
      </c>
      <c r="AM243" s="5">
        <v>2852.5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9584.4</v>
      </c>
      <c r="AT243" s="12">
        <v>8557.5</v>
      </c>
      <c r="AU243" s="2">
        <v>171.15</v>
      </c>
      <c r="BL243" s="1" t="s">
        <v>90</v>
      </c>
    </row>
    <row r="244" spans="1:64" x14ac:dyDescent="0.3">
      <c r="A244" t="s">
        <v>204</v>
      </c>
      <c r="B244" s="1" t="s">
        <v>204</v>
      </c>
      <c r="C244" s="9" t="s">
        <v>205</v>
      </c>
      <c r="D244" s="1" t="s">
        <v>44</v>
      </c>
      <c r="E244" s="1" t="s">
        <v>88</v>
      </c>
      <c r="F244" s="10" t="s">
        <v>181</v>
      </c>
      <c r="G244" s="1">
        <v>2.5000000000000001E-2</v>
      </c>
      <c r="H244" s="1">
        <v>0.02</v>
      </c>
      <c r="I244" s="8">
        <v>45657</v>
      </c>
      <c r="J244" s="6">
        <v>507918.8</v>
      </c>
      <c r="K244" s="6">
        <v>121774</v>
      </c>
      <c r="L244" s="6">
        <v>9069.98</v>
      </c>
      <c r="M244" s="6">
        <v>2174.54</v>
      </c>
      <c r="N244" s="7">
        <v>5622.26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18890.79</v>
      </c>
      <c r="U244" s="6">
        <v>16866.78</v>
      </c>
      <c r="V244" s="6">
        <v>337.34</v>
      </c>
      <c r="AI244" s="2">
        <v>507918.8</v>
      </c>
      <c r="AJ244" s="2">
        <v>121774</v>
      </c>
      <c r="AK244" s="2">
        <v>9069.98</v>
      </c>
      <c r="AL244" s="2">
        <v>2174.54</v>
      </c>
      <c r="AM244" s="5">
        <v>5622.26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18890.79</v>
      </c>
      <c r="AT244" s="12">
        <v>16866.78</v>
      </c>
      <c r="AU244" s="2">
        <v>337.34</v>
      </c>
      <c r="BL244" s="1" t="s">
        <v>90</v>
      </c>
    </row>
    <row r="245" spans="1:64" x14ac:dyDescent="0.3">
      <c r="A245" t="s">
        <v>204</v>
      </c>
      <c r="B245" s="1" t="s">
        <v>206</v>
      </c>
      <c r="C245" s="9" t="s">
        <v>207</v>
      </c>
      <c r="D245" s="1" t="s">
        <v>44</v>
      </c>
      <c r="E245" s="1" t="s">
        <v>88</v>
      </c>
      <c r="F245" s="10" t="s">
        <v>181</v>
      </c>
      <c r="G245" s="1">
        <v>3.5000000000000003E-2</v>
      </c>
      <c r="H245" s="1">
        <v>0.02</v>
      </c>
      <c r="I245" s="8">
        <v>45657</v>
      </c>
      <c r="J245" s="6">
        <v>182593</v>
      </c>
      <c r="K245" s="6">
        <v>62918</v>
      </c>
      <c r="L245" s="6">
        <v>3260.59</v>
      </c>
      <c r="M245" s="6">
        <v>1123.54</v>
      </c>
      <c r="N245" s="7">
        <v>2192.06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7365.33</v>
      </c>
      <c r="U245" s="6">
        <v>6576.1900000000005</v>
      </c>
      <c r="V245" s="6">
        <v>131.52000000000001</v>
      </c>
      <c r="AI245" s="2">
        <v>182593</v>
      </c>
      <c r="AJ245" s="2">
        <v>62918</v>
      </c>
      <c r="AK245" s="2">
        <v>3260.59</v>
      </c>
      <c r="AL245" s="2">
        <v>1123.54</v>
      </c>
      <c r="AM245" s="5">
        <v>2192.06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7365.33</v>
      </c>
      <c r="AT245" s="12">
        <v>6576.1900000000005</v>
      </c>
      <c r="AU245" s="2">
        <v>131.52000000000001</v>
      </c>
      <c r="BL245" s="1" t="s">
        <v>90</v>
      </c>
    </row>
    <row r="246" spans="1:64" x14ac:dyDescent="0.3">
      <c r="A246" t="s">
        <v>208</v>
      </c>
      <c r="B246" s="1" t="s">
        <v>208</v>
      </c>
      <c r="C246" s="9" t="s">
        <v>209</v>
      </c>
      <c r="D246" s="1" t="s">
        <v>44</v>
      </c>
      <c r="E246" s="1" t="s">
        <v>88</v>
      </c>
      <c r="F246" s="10" t="s">
        <v>181</v>
      </c>
      <c r="G246" s="1">
        <v>2.5000000000000001E-2</v>
      </c>
      <c r="H246" s="1">
        <v>0.02</v>
      </c>
      <c r="I246" s="8">
        <v>45752</v>
      </c>
      <c r="J246" s="6">
        <v>384476.15</v>
      </c>
      <c r="K246" s="6">
        <v>76869</v>
      </c>
      <c r="L246" s="6">
        <v>7094.5</v>
      </c>
      <c r="M246" s="6">
        <v>1418.42</v>
      </c>
      <c r="N246" s="7">
        <v>4119.1499999999996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14147.92</v>
      </c>
      <c r="U246" s="6">
        <v>12632.07</v>
      </c>
      <c r="V246" s="6">
        <v>252.64</v>
      </c>
      <c r="AI246" s="2">
        <v>384476.15</v>
      </c>
      <c r="AJ246" s="2">
        <v>76869</v>
      </c>
      <c r="AK246" s="2">
        <v>7094.5</v>
      </c>
      <c r="AL246" s="2">
        <v>1418.42</v>
      </c>
      <c r="AM246" s="5">
        <v>4119.1499999999996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14147.92</v>
      </c>
      <c r="AT246" s="12">
        <v>12632.07</v>
      </c>
      <c r="AU246" s="2">
        <v>252.64</v>
      </c>
      <c r="BL246" s="1" t="s">
        <v>90</v>
      </c>
    </row>
    <row r="247" spans="1:64" x14ac:dyDescent="0.3">
      <c r="A247" t="s">
        <v>208</v>
      </c>
      <c r="B247" s="1" t="s">
        <v>210</v>
      </c>
      <c r="C247" s="9" t="s">
        <v>211</v>
      </c>
      <c r="D247" s="1" t="s">
        <v>44</v>
      </c>
      <c r="E247" s="1" t="s">
        <v>88</v>
      </c>
      <c r="F247" s="10" t="s">
        <v>181</v>
      </c>
      <c r="G247" s="1">
        <v>2.5000000000000001E-2</v>
      </c>
      <c r="H247" s="1">
        <v>0.02</v>
      </c>
      <c r="I247" s="8">
        <v>45752</v>
      </c>
      <c r="J247" s="6">
        <v>85978</v>
      </c>
      <c r="K247" s="6">
        <v>43478</v>
      </c>
      <c r="L247" s="6">
        <v>1586.5</v>
      </c>
      <c r="M247" s="6">
        <v>802.28</v>
      </c>
      <c r="N247" s="7">
        <v>1155.8599999999999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3970</v>
      </c>
      <c r="U247" s="6">
        <v>3544.6399999999994</v>
      </c>
      <c r="V247" s="6">
        <v>70.89</v>
      </c>
      <c r="AI247" s="2">
        <v>85978</v>
      </c>
      <c r="AJ247" s="2">
        <v>43478</v>
      </c>
      <c r="AK247" s="2">
        <v>1586.5</v>
      </c>
      <c r="AL247" s="2">
        <v>802.28</v>
      </c>
      <c r="AM247" s="5">
        <v>1155.8599999999999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3970</v>
      </c>
      <c r="AT247" s="12">
        <v>3544.6399999999994</v>
      </c>
      <c r="AU247" s="2">
        <v>70.89</v>
      </c>
      <c r="BL247" s="1" t="s">
        <v>90</v>
      </c>
    </row>
    <row r="248" spans="1:64" x14ac:dyDescent="0.3">
      <c r="A248" t="s">
        <v>208</v>
      </c>
      <c r="B248" s="1" t="s">
        <v>212</v>
      </c>
      <c r="C248" s="9" t="s">
        <v>213</v>
      </c>
      <c r="D248" s="1" t="s">
        <v>44</v>
      </c>
      <c r="E248" s="1" t="s">
        <v>88</v>
      </c>
      <c r="F248" s="10" t="s">
        <v>181</v>
      </c>
      <c r="G248" s="1">
        <v>0</v>
      </c>
      <c r="H248" s="1">
        <v>0.02</v>
      </c>
      <c r="I248" s="8">
        <v>44710</v>
      </c>
      <c r="J248" s="6">
        <v>91743</v>
      </c>
      <c r="K248" s="6">
        <v>34780</v>
      </c>
      <c r="L248" s="6">
        <v>1638.27</v>
      </c>
      <c r="M248" s="6">
        <v>621.07000000000005</v>
      </c>
      <c r="N248" s="7">
        <v>1129.67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3795.69</v>
      </c>
      <c r="U248" s="6">
        <v>3389.01</v>
      </c>
      <c r="V248" s="6">
        <v>67.78</v>
      </c>
      <c r="AI248" s="2">
        <v>91743</v>
      </c>
      <c r="AJ248" s="2">
        <v>34780</v>
      </c>
      <c r="AK248" s="2">
        <v>1638.27</v>
      </c>
      <c r="AL248" s="2">
        <v>621.07000000000005</v>
      </c>
      <c r="AM248" s="5">
        <v>1129.67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3795.69</v>
      </c>
      <c r="AT248" s="12">
        <v>3389.01</v>
      </c>
      <c r="AU248" s="2">
        <v>67.78</v>
      </c>
      <c r="BL248" s="1" t="s">
        <v>90</v>
      </c>
    </row>
    <row r="249" spans="1:64" x14ac:dyDescent="0.3">
      <c r="A249" t="s">
        <v>214</v>
      </c>
      <c r="B249" s="1" t="s">
        <v>214</v>
      </c>
      <c r="C249" s="9" t="s">
        <v>215</v>
      </c>
      <c r="D249" s="1" t="s">
        <v>44</v>
      </c>
      <c r="E249" s="1" t="s">
        <v>88</v>
      </c>
      <c r="F249" s="10" t="s">
        <v>104</v>
      </c>
      <c r="G249" s="1">
        <v>2.5000000000000001E-2</v>
      </c>
      <c r="H249" s="1">
        <v>0.02</v>
      </c>
      <c r="I249" s="8">
        <v>44009</v>
      </c>
      <c r="J249" s="6">
        <v>590822</v>
      </c>
      <c r="K249" s="6">
        <v>165050</v>
      </c>
      <c r="L249" s="6">
        <v>10550.39</v>
      </c>
      <c r="M249" s="6">
        <v>2947.32</v>
      </c>
      <c r="N249" s="7">
        <v>6748.86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22676.16</v>
      </c>
      <c r="U249" s="6">
        <v>20246.57</v>
      </c>
      <c r="V249" s="6">
        <v>404.93</v>
      </c>
      <c r="AI249" s="2">
        <v>590822</v>
      </c>
      <c r="AJ249" s="2">
        <v>165050</v>
      </c>
      <c r="AK249" s="2">
        <v>10550.39</v>
      </c>
      <c r="AL249" s="2">
        <v>2947.32</v>
      </c>
      <c r="AM249" s="5">
        <v>6748.86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22676.16</v>
      </c>
      <c r="AT249" s="12">
        <v>20246.57</v>
      </c>
      <c r="AU249" s="2">
        <v>404.93</v>
      </c>
      <c r="BL249" s="1" t="s">
        <v>90</v>
      </c>
    </row>
    <row r="250" spans="1:64" x14ac:dyDescent="0.3">
      <c r="A250" t="s">
        <v>229</v>
      </c>
      <c r="B250" s="1" t="s">
        <v>229</v>
      </c>
      <c r="C250" s="9" t="s">
        <v>230</v>
      </c>
      <c r="D250" s="1" t="s">
        <v>44</v>
      </c>
      <c r="E250" s="1" t="s">
        <v>88</v>
      </c>
      <c r="F250" s="10" t="s">
        <v>104</v>
      </c>
      <c r="G250" s="1">
        <v>2.5000000000000001E-2</v>
      </c>
      <c r="H250" s="1">
        <v>0.02</v>
      </c>
      <c r="I250" s="8">
        <v>44009</v>
      </c>
      <c r="J250" s="6">
        <v>688493.75000000012</v>
      </c>
      <c r="K250" s="6">
        <v>154765</v>
      </c>
      <c r="L250" s="6">
        <v>12294.54</v>
      </c>
      <c r="M250" s="6">
        <v>2763.66</v>
      </c>
      <c r="N250" s="7">
        <v>7529.1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25297.78</v>
      </c>
      <c r="U250" s="6">
        <v>22587.300000000003</v>
      </c>
      <c r="V250" s="6">
        <v>451.75</v>
      </c>
      <c r="AI250" s="2">
        <v>688493.75000000012</v>
      </c>
      <c r="AJ250" s="2">
        <v>154765</v>
      </c>
      <c r="AK250" s="2">
        <v>12294.54</v>
      </c>
      <c r="AL250" s="2">
        <v>2763.66</v>
      </c>
      <c r="AM250" s="5">
        <v>7529.1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25297.78</v>
      </c>
      <c r="AT250" s="12">
        <v>22587.300000000003</v>
      </c>
      <c r="AU250" s="2">
        <v>451.75</v>
      </c>
      <c r="BL250" s="1" t="s">
        <v>90</v>
      </c>
    </row>
    <row r="251" spans="1:64" x14ac:dyDescent="0.3">
      <c r="A251" t="s">
        <v>231</v>
      </c>
      <c r="B251" s="1" t="s">
        <v>231</v>
      </c>
      <c r="C251" s="9" t="s">
        <v>232</v>
      </c>
      <c r="D251" s="1" t="s">
        <v>44</v>
      </c>
      <c r="E251" s="1" t="s">
        <v>88</v>
      </c>
      <c r="F251" s="10" t="s">
        <v>188</v>
      </c>
      <c r="G251" s="1">
        <v>2.5000000000000001E-2</v>
      </c>
      <c r="H251" s="1">
        <v>0.02</v>
      </c>
      <c r="I251" s="8">
        <v>45657</v>
      </c>
      <c r="J251" s="6">
        <v>707584.81</v>
      </c>
      <c r="K251" s="6">
        <v>222189.41000000003</v>
      </c>
      <c r="L251" s="6">
        <v>12635.45</v>
      </c>
      <c r="M251" s="6">
        <v>3967.67</v>
      </c>
      <c r="N251" s="7">
        <v>8301.5499999999993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27893.23</v>
      </c>
      <c r="U251" s="6">
        <v>24904.670000000002</v>
      </c>
      <c r="V251" s="6">
        <v>498.09</v>
      </c>
      <c r="AI251" s="2">
        <v>707584.81</v>
      </c>
      <c r="AJ251" s="2">
        <v>222189.41000000003</v>
      </c>
      <c r="AK251" s="2">
        <v>12635.45</v>
      </c>
      <c r="AL251" s="2">
        <v>3967.67</v>
      </c>
      <c r="AM251" s="5">
        <v>8301.5499999999993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27893.23</v>
      </c>
      <c r="AT251" s="12">
        <v>24904.670000000002</v>
      </c>
      <c r="AU251" s="2">
        <v>498.09</v>
      </c>
      <c r="BL251" s="1" t="s">
        <v>90</v>
      </c>
    </row>
    <row r="252" spans="1:64" x14ac:dyDescent="0.3">
      <c r="A252" t="s">
        <v>233</v>
      </c>
      <c r="B252" s="1" t="s">
        <v>233</v>
      </c>
      <c r="C252" s="9" t="s">
        <v>234</v>
      </c>
      <c r="D252" s="1" t="s">
        <v>44</v>
      </c>
      <c r="E252" s="1" t="s">
        <v>88</v>
      </c>
      <c r="F252" s="10" t="s">
        <v>101</v>
      </c>
      <c r="G252" s="1">
        <v>2.5000000000000001E-2</v>
      </c>
      <c r="H252" s="1">
        <v>0.02</v>
      </c>
      <c r="I252" s="8">
        <v>44204</v>
      </c>
      <c r="J252" s="6">
        <v>418567</v>
      </c>
      <c r="K252" s="6">
        <v>66592</v>
      </c>
      <c r="L252" s="6">
        <v>7474.41</v>
      </c>
      <c r="M252" s="6">
        <v>1189.1400000000001</v>
      </c>
      <c r="N252" s="7">
        <v>4331.78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14554.77</v>
      </c>
      <c r="U252" s="6">
        <v>12995.329999999998</v>
      </c>
      <c r="V252" s="6">
        <v>259.91000000000003</v>
      </c>
      <c r="AI252" s="2">
        <v>418567</v>
      </c>
      <c r="AJ252" s="2">
        <v>66592</v>
      </c>
      <c r="AK252" s="2">
        <v>7474.41</v>
      </c>
      <c r="AL252" s="2">
        <v>1189.1400000000001</v>
      </c>
      <c r="AM252" s="5">
        <v>4331.78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14554.77</v>
      </c>
      <c r="AT252" s="12">
        <v>12995.329999999998</v>
      </c>
      <c r="AU252" s="2">
        <v>259.91000000000003</v>
      </c>
      <c r="BL252" s="1" t="s">
        <v>90</v>
      </c>
    </row>
    <row r="253" spans="1:64" x14ac:dyDescent="0.3">
      <c r="A253" t="s">
        <v>235</v>
      </c>
      <c r="B253" s="1" t="s">
        <v>235</v>
      </c>
      <c r="C253" s="9" t="s">
        <v>236</v>
      </c>
      <c r="D253" s="1" t="s">
        <v>44</v>
      </c>
      <c r="E253" s="1" t="s">
        <v>88</v>
      </c>
      <c r="F253" s="10" t="s">
        <v>101</v>
      </c>
      <c r="G253" s="1">
        <v>2.5000000000000001E-2</v>
      </c>
      <c r="H253" s="1">
        <v>0.02</v>
      </c>
      <c r="I253" s="8">
        <v>44009</v>
      </c>
      <c r="J253" s="6">
        <v>239293.2</v>
      </c>
      <c r="K253" s="6">
        <v>173480</v>
      </c>
      <c r="L253" s="6">
        <v>4273.09</v>
      </c>
      <c r="M253" s="6">
        <v>3097.86</v>
      </c>
      <c r="N253" s="7">
        <v>3685.47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12383.19</v>
      </c>
      <c r="U253" s="6">
        <v>11056.42</v>
      </c>
      <c r="V253" s="6">
        <v>221.13</v>
      </c>
      <c r="AI253" s="2">
        <v>239293.2</v>
      </c>
      <c r="AJ253" s="2">
        <v>173480</v>
      </c>
      <c r="AK253" s="2">
        <v>4273.09</v>
      </c>
      <c r="AL253" s="2">
        <v>3097.86</v>
      </c>
      <c r="AM253" s="5">
        <v>3685.47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12383.19</v>
      </c>
      <c r="AT253" s="12">
        <v>11056.42</v>
      </c>
      <c r="AU253" s="2">
        <v>221.13</v>
      </c>
      <c r="BL253" s="1" t="s">
        <v>90</v>
      </c>
    </row>
    <row r="254" spans="1:64" x14ac:dyDescent="0.3">
      <c r="A254" t="s">
        <v>247</v>
      </c>
      <c r="B254" s="1" t="s">
        <v>247</v>
      </c>
      <c r="C254" s="9" t="s">
        <v>248</v>
      </c>
      <c r="D254" s="1" t="s">
        <v>44</v>
      </c>
      <c r="E254" s="1" t="s">
        <v>88</v>
      </c>
      <c r="F254" s="10" t="s">
        <v>114</v>
      </c>
      <c r="G254" s="1">
        <v>2.5000000000000001E-2</v>
      </c>
      <c r="H254" s="1">
        <v>0.02</v>
      </c>
      <c r="I254" s="8">
        <v>45657</v>
      </c>
      <c r="J254" s="6">
        <v>600128.78</v>
      </c>
      <c r="K254" s="6">
        <v>141990.66</v>
      </c>
      <c r="L254" s="6">
        <v>10716.59</v>
      </c>
      <c r="M254" s="6">
        <v>2535.54</v>
      </c>
      <c r="N254" s="7">
        <v>6626.06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22263.57</v>
      </c>
      <c r="U254" s="6">
        <v>19878.190000000002</v>
      </c>
      <c r="V254" s="6">
        <v>397.56</v>
      </c>
      <c r="AI254" s="2">
        <v>600128.78</v>
      </c>
      <c r="AJ254" s="2">
        <v>141990.66</v>
      </c>
      <c r="AK254" s="2">
        <v>10716.59</v>
      </c>
      <c r="AL254" s="2">
        <v>2535.54</v>
      </c>
      <c r="AM254" s="5">
        <v>6626.06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22263.57</v>
      </c>
      <c r="AT254" s="12">
        <v>19878.190000000002</v>
      </c>
      <c r="AU254" s="2">
        <v>397.56</v>
      </c>
      <c r="BL254" s="1" t="s">
        <v>90</v>
      </c>
    </row>
    <row r="255" spans="1:64" x14ac:dyDescent="0.3">
      <c r="A255" t="s">
        <v>253</v>
      </c>
      <c r="B255" s="1" t="s">
        <v>253</v>
      </c>
      <c r="C255" s="9" t="s">
        <v>254</v>
      </c>
      <c r="D255" s="1" t="s">
        <v>44</v>
      </c>
      <c r="E255" s="1" t="s">
        <v>88</v>
      </c>
      <c r="F255" s="10" t="s">
        <v>114</v>
      </c>
      <c r="G255" s="1">
        <v>2.5000000000000001E-2</v>
      </c>
      <c r="H255" s="1">
        <v>0.02</v>
      </c>
      <c r="I255" s="8">
        <v>45657</v>
      </c>
      <c r="J255" s="6">
        <v>534136</v>
      </c>
      <c r="K255" s="6">
        <v>98312</v>
      </c>
      <c r="L255" s="6">
        <v>9538.14</v>
      </c>
      <c r="M255" s="6">
        <v>1755.57</v>
      </c>
      <c r="N255" s="7">
        <v>5646.86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18973.439999999999</v>
      </c>
      <c r="U255" s="6">
        <v>16940.57</v>
      </c>
      <c r="V255" s="6">
        <v>338.81</v>
      </c>
      <c r="AI255" s="2">
        <v>534136</v>
      </c>
      <c r="AJ255" s="2">
        <v>98312</v>
      </c>
      <c r="AK255" s="2">
        <v>9538.14</v>
      </c>
      <c r="AL255" s="2">
        <v>1755.57</v>
      </c>
      <c r="AM255" s="5">
        <v>5646.86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18973.439999999999</v>
      </c>
      <c r="AT255" s="12">
        <v>16940.57</v>
      </c>
      <c r="AU255" s="2">
        <v>338.81</v>
      </c>
      <c r="BL255" s="1" t="s">
        <v>90</v>
      </c>
    </row>
    <row r="256" spans="1:64" x14ac:dyDescent="0.3">
      <c r="A256" t="s">
        <v>270</v>
      </c>
      <c r="B256" s="1" t="s">
        <v>270</v>
      </c>
      <c r="C256" s="9" t="s">
        <v>271</v>
      </c>
      <c r="D256" s="1" t="s">
        <v>44</v>
      </c>
      <c r="E256" s="1" t="s">
        <v>88</v>
      </c>
      <c r="F256" s="10" t="s">
        <v>104</v>
      </c>
      <c r="G256" s="1">
        <v>2.5000000000000001E-2</v>
      </c>
      <c r="H256" s="1">
        <v>0.02</v>
      </c>
      <c r="I256" s="8">
        <v>45585</v>
      </c>
      <c r="J256" s="6">
        <v>421276</v>
      </c>
      <c r="K256" s="6">
        <v>136211</v>
      </c>
      <c r="L256" s="6">
        <v>7522.79</v>
      </c>
      <c r="M256" s="6">
        <v>2432.34</v>
      </c>
      <c r="N256" s="7">
        <v>4977.5600000000004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16724.61</v>
      </c>
      <c r="U256" s="6">
        <v>14932.690000000002</v>
      </c>
      <c r="V256" s="6">
        <v>298.64999999999998</v>
      </c>
      <c r="AI256" s="2">
        <v>421276</v>
      </c>
      <c r="AJ256" s="2">
        <v>136211</v>
      </c>
      <c r="AK256" s="2">
        <v>7522.79</v>
      </c>
      <c r="AL256" s="2">
        <v>2432.34</v>
      </c>
      <c r="AM256" s="5">
        <v>4977.5600000000004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16724.61</v>
      </c>
      <c r="AT256" s="12">
        <v>14932.690000000002</v>
      </c>
      <c r="AU256" s="2">
        <v>298.64999999999998</v>
      </c>
      <c r="BL256" s="1" t="s">
        <v>90</v>
      </c>
    </row>
    <row r="257" spans="1:64" x14ac:dyDescent="0.3">
      <c r="A257" t="s">
        <v>272</v>
      </c>
      <c r="B257" s="1" t="s">
        <v>272</v>
      </c>
      <c r="C257" s="9" t="s">
        <v>273</v>
      </c>
      <c r="D257" s="1" t="s">
        <v>44</v>
      </c>
      <c r="E257" s="1" t="s">
        <v>88</v>
      </c>
      <c r="F257" s="10" t="s">
        <v>101</v>
      </c>
      <c r="G257" s="1">
        <v>2.5000000000000001E-2</v>
      </c>
      <c r="H257" s="1">
        <v>0.02</v>
      </c>
      <c r="I257" s="8">
        <v>44416</v>
      </c>
      <c r="J257" s="6">
        <v>325750.5</v>
      </c>
      <c r="K257" s="6">
        <v>99924.75</v>
      </c>
      <c r="L257" s="6">
        <v>5816.97</v>
      </c>
      <c r="M257" s="6">
        <v>1784.37</v>
      </c>
      <c r="N257" s="7">
        <v>3800.67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12770.25</v>
      </c>
      <c r="U257" s="6">
        <v>11402.01</v>
      </c>
      <c r="V257" s="6">
        <v>228.04</v>
      </c>
      <c r="AI257" s="2">
        <v>325750.5</v>
      </c>
      <c r="AJ257" s="2">
        <v>99924.75</v>
      </c>
      <c r="AK257" s="2">
        <v>5816.97</v>
      </c>
      <c r="AL257" s="2">
        <v>1784.37</v>
      </c>
      <c r="AM257" s="5">
        <v>3800.67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12770.25</v>
      </c>
      <c r="AT257" s="12">
        <v>11402.01</v>
      </c>
      <c r="AU257" s="2">
        <v>228.04</v>
      </c>
      <c r="BL257" s="1" t="s">
        <v>90</v>
      </c>
    </row>
    <row r="258" spans="1:64" x14ac:dyDescent="0.3">
      <c r="A258" t="s">
        <v>280</v>
      </c>
      <c r="B258" s="1" t="s">
        <v>280</v>
      </c>
      <c r="C258" s="9" t="s">
        <v>281</v>
      </c>
      <c r="D258" s="1" t="s">
        <v>44</v>
      </c>
      <c r="E258" s="1" t="s">
        <v>88</v>
      </c>
      <c r="F258" s="10" t="s">
        <v>188</v>
      </c>
      <c r="G258" s="1">
        <v>2.5000000000000001E-2</v>
      </c>
      <c r="H258" s="1">
        <v>0.02</v>
      </c>
      <c r="I258" s="8">
        <v>45657</v>
      </c>
      <c r="J258" s="6">
        <v>776203.63</v>
      </c>
      <c r="K258" s="6">
        <v>177157.52000000002</v>
      </c>
      <c r="L258" s="6">
        <v>13860.78</v>
      </c>
      <c r="M258" s="6">
        <v>3163.53</v>
      </c>
      <c r="N258" s="7">
        <v>8512.15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28600.84</v>
      </c>
      <c r="U258" s="6">
        <v>25536.46</v>
      </c>
      <c r="V258" s="6">
        <v>510.73</v>
      </c>
      <c r="AI258" s="2">
        <v>776203.63</v>
      </c>
      <c r="AJ258" s="2">
        <v>177157.52000000002</v>
      </c>
      <c r="AK258" s="2">
        <v>13860.78</v>
      </c>
      <c r="AL258" s="2">
        <v>3163.53</v>
      </c>
      <c r="AM258" s="5">
        <v>8512.15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28600.84</v>
      </c>
      <c r="AT258" s="12">
        <v>25536.46</v>
      </c>
      <c r="AU258" s="2">
        <v>510.73</v>
      </c>
      <c r="BL258" s="1" t="s">
        <v>90</v>
      </c>
    </row>
    <row r="259" spans="1:64" x14ac:dyDescent="0.3">
      <c r="A259" t="s">
        <v>288</v>
      </c>
      <c r="B259" s="1" t="s">
        <v>288</v>
      </c>
      <c r="C259" s="9" t="s">
        <v>289</v>
      </c>
      <c r="D259" s="1" t="s">
        <v>44</v>
      </c>
      <c r="E259" s="1" t="s">
        <v>88</v>
      </c>
      <c r="F259" s="10" t="s">
        <v>114</v>
      </c>
      <c r="G259" s="1">
        <v>2.5000000000000001E-2</v>
      </c>
      <c r="H259" s="1">
        <v>0.02</v>
      </c>
      <c r="I259" s="8">
        <v>45657</v>
      </c>
      <c r="J259" s="6">
        <v>382259</v>
      </c>
      <c r="K259" s="6">
        <v>53362</v>
      </c>
      <c r="L259" s="6">
        <v>6826.05</v>
      </c>
      <c r="M259" s="6">
        <v>952.89</v>
      </c>
      <c r="N259" s="7">
        <v>3889.47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13068.62</v>
      </c>
      <c r="U259" s="6">
        <v>11668.41</v>
      </c>
      <c r="V259" s="6">
        <v>233.37</v>
      </c>
      <c r="AI259" s="2">
        <v>382259</v>
      </c>
      <c r="AJ259" s="2">
        <v>53362</v>
      </c>
      <c r="AK259" s="2">
        <v>6826.05</v>
      </c>
      <c r="AL259" s="2">
        <v>952.89</v>
      </c>
      <c r="AM259" s="5">
        <v>3889.47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13068.62</v>
      </c>
      <c r="AT259" s="12">
        <v>11668.41</v>
      </c>
      <c r="AU259" s="2">
        <v>233.37</v>
      </c>
      <c r="BL259" s="1" t="s">
        <v>90</v>
      </c>
    </row>
    <row r="260" spans="1:64" x14ac:dyDescent="0.3">
      <c r="A260" t="s">
        <v>290</v>
      </c>
      <c r="B260" s="1" t="s">
        <v>290</v>
      </c>
      <c r="C260" s="9" t="s">
        <v>291</v>
      </c>
      <c r="D260" s="1" t="s">
        <v>44</v>
      </c>
      <c r="E260" s="1" t="s">
        <v>88</v>
      </c>
      <c r="F260" s="10" t="s">
        <v>114</v>
      </c>
      <c r="G260" s="1">
        <v>2.5000000000000001E-2</v>
      </c>
      <c r="H260" s="1">
        <v>0.02</v>
      </c>
      <c r="I260" s="8">
        <v>44487</v>
      </c>
      <c r="J260" s="6">
        <v>391689.95</v>
      </c>
      <c r="K260" s="6">
        <v>90521</v>
      </c>
      <c r="L260" s="6">
        <v>6994.46</v>
      </c>
      <c r="M260" s="6">
        <v>1616.45</v>
      </c>
      <c r="N260" s="7">
        <v>4305.46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14466.33</v>
      </c>
      <c r="U260" s="6">
        <v>12916.369999999999</v>
      </c>
      <c r="V260" s="6">
        <v>258.33</v>
      </c>
      <c r="AI260" s="2">
        <v>391689.95</v>
      </c>
      <c r="AJ260" s="2">
        <v>90521</v>
      </c>
      <c r="AK260" s="2">
        <v>6994.46</v>
      </c>
      <c r="AL260" s="2">
        <v>1616.45</v>
      </c>
      <c r="AM260" s="5">
        <v>4305.46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14466.33</v>
      </c>
      <c r="AT260" s="12">
        <v>12916.369999999999</v>
      </c>
      <c r="AU260" s="2">
        <v>258.33</v>
      </c>
      <c r="BL260" s="1" t="s">
        <v>90</v>
      </c>
    </row>
    <row r="261" spans="1:64" x14ac:dyDescent="0.3">
      <c r="A261" t="s">
        <v>312</v>
      </c>
      <c r="B261" s="1" t="s">
        <v>312</v>
      </c>
      <c r="C261" s="9" t="s">
        <v>313</v>
      </c>
      <c r="D261" s="1" t="s">
        <v>44</v>
      </c>
      <c r="E261" s="1" t="s">
        <v>88</v>
      </c>
      <c r="F261" s="10" t="s">
        <v>178</v>
      </c>
      <c r="G261" s="1">
        <v>2.5000000000000001E-2</v>
      </c>
      <c r="H261" s="1">
        <v>0.02</v>
      </c>
      <c r="I261" s="8">
        <v>44068</v>
      </c>
      <c r="J261" s="6">
        <v>247151</v>
      </c>
      <c r="K261" s="6">
        <v>65736</v>
      </c>
      <c r="L261" s="6">
        <v>4413.41</v>
      </c>
      <c r="M261" s="6">
        <v>1173.8599999999999</v>
      </c>
      <c r="N261" s="7">
        <v>2793.63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9386.61</v>
      </c>
      <c r="U261" s="6">
        <v>8380.9</v>
      </c>
      <c r="V261" s="6">
        <v>167.62</v>
      </c>
      <c r="AI261" s="2">
        <v>247151</v>
      </c>
      <c r="AJ261" s="2">
        <v>65736</v>
      </c>
      <c r="AK261" s="2">
        <v>4413.41</v>
      </c>
      <c r="AL261" s="2">
        <v>1173.8599999999999</v>
      </c>
      <c r="AM261" s="5">
        <v>2793.63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9386.61</v>
      </c>
      <c r="AT261" s="12">
        <v>8380.9</v>
      </c>
      <c r="AU261" s="2">
        <v>167.62</v>
      </c>
      <c r="BL261" s="1" t="s">
        <v>90</v>
      </c>
    </row>
    <row r="262" spans="1:64" x14ac:dyDescent="0.3">
      <c r="A262" t="s">
        <v>319</v>
      </c>
      <c r="B262" s="1" t="s">
        <v>319</v>
      </c>
      <c r="C262" s="9" t="s">
        <v>320</v>
      </c>
      <c r="D262" s="1" t="s">
        <v>44</v>
      </c>
      <c r="E262" s="1" t="s">
        <v>88</v>
      </c>
      <c r="F262" s="10" t="s">
        <v>188</v>
      </c>
      <c r="G262" s="1">
        <v>2.5000000000000001E-2</v>
      </c>
      <c r="H262" s="1">
        <v>0.02</v>
      </c>
      <c r="I262" s="8">
        <v>45657</v>
      </c>
      <c r="J262" s="6">
        <v>822083.47000000009</v>
      </c>
      <c r="K262" s="6">
        <v>134558.29</v>
      </c>
      <c r="L262" s="6">
        <v>14680.06</v>
      </c>
      <c r="M262" s="6">
        <v>2402.83</v>
      </c>
      <c r="N262" s="7">
        <v>8541.4500000000007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28699.26</v>
      </c>
      <c r="U262" s="6">
        <v>25624.34</v>
      </c>
      <c r="V262" s="6">
        <v>512.49</v>
      </c>
      <c r="AI262" s="2">
        <v>822083.47000000009</v>
      </c>
      <c r="AJ262" s="2">
        <v>134558.29</v>
      </c>
      <c r="AK262" s="2">
        <v>14680.06</v>
      </c>
      <c r="AL262" s="2">
        <v>2402.83</v>
      </c>
      <c r="AM262" s="5">
        <v>8541.4500000000007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28699.26</v>
      </c>
      <c r="AT262" s="12">
        <v>25624.34</v>
      </c>
      <c r="AU262" s="2">
        <v>512.49</v>
      </c>
      <c r="BL262" s="1" t="s">
        <v>90</v>
      </c>
    </row>
    <row r="263" spans="1:64" x14ac:dyDescent="0.3">
      <c r="A263" t="s">
        <v>319</v>
      </c>
      <c r="B263" s="1" t="s">
        <v>321</v>
      </c>
      <c r="C263" s="9" t="s">
        <v>322</v>
      </c>
      <c r="D263" s="1" t="s">
        <v>44</v>
      </c>
      <c r="E263" s="1" t="s">
        <v>88</v>
      </c>
      <c r="F263" s="10" t="s">
        <v>188</v>
      </c>
      <c r="G263" s="1">
        <v>0</v>
      </c>
      <c r="H263" s="1">
        <v>0.02</v>
      </c>
      <c r="I263" s="8">
        <v>45657</v>
      </c>
      <c r="J263" s="6">
        <v>184177</v>
      </c>
      <c r="K263" s="6">
        <v>56138</v>
      </c>
      <c r="L263" s="6">
        <v>3288.87</v>
      </c>
      <c r="M263" s="6">
        <v>1002.46</v>
      </c>
      <c r="N263" s="7">
        <v>2145.67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7209.44</v>
      </c>
      <c r="U263" s="6">
        <v>6437</v>
      </c>
      <c r="V263" s="6">
        <v>128.74</v>
      </c>
      <c r="AI263" s="2">
        <v>184177</v>
      </c>
      <c r="AJ263" s="2">
        <v>56138</v>
      </c>
      <c r="AK263" s="2">
        <v>3288.87</v>
      </c>
      <c r="AL263" s="2">
        <v>1002.46</v>
      </c>
      <c r="AM263" s="5">
        <v>2145.67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7209.44</v>
      </c>
      <c r="AT263" s="12">
        <v>6437</v>
      </c>
      <c r="AU263" s="2">
        <v>128.74</v>
      </c>
      <c r="BL263" s="1" t="s">
        <v>90</v>
      </c>
    </row>
    <row r="264" spans="1:64" x14ac:dyDescent="0.3">
      <c r="A264" t="s">
        <v>327</v>
      </c>
      <c r="B264" s="1" t="s">
        <v>327</v>
      </c>
      <c r="C264" s="9" t="s">
        <v>328</v>
      </c>
      <c r="D264" s="1" t="s">
        <v>44</v>
      </c>
      <c r="E264" s="1" t="s">
        <v>88</v>
      </c>
      <c r="F264" s="10" t="s">
        <v>178</v>
      </c>
      <c r="G264" s="1">
        <v>2.5000000000000001E-2</v>
      </c>
      <c r="H264" s="1">
        <v>0.02</v>
      </c>
      <c r="I264" s="8">
        <v>44499</v>
      </c>
      <c r="J264" s="6">
        <v>369056.69</v>
      </c>
      <c r="K264" s="6">
        <v>108115.41</v>
      </c>
      <c r="L264" s="6">
        <v>6590.29</v>
      </c>
      <c r="M264" s="6">
        <v>1930.63</v>
      </c>
      <c r="N264" s="7">
        <v>4260.46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14315.15</v>
      </c>
      <c r="U264" s="6">
        <v>12781.380000000001</v>
      </c>
      <c r="V264" s="6">
        <v>255.63</v>
      </c>
      <c r="AI264" s="2">
        <v>369056.69</v>
      </c>
      <c r="AJ264" s="2">
        <v>108115.41</v>
      </c>
      <c r="AK264" s="2">
        <v>6590.29</v>
      </c>
      <c r="AL264" s="2">
        <v>1930.63</v>
      </c>
      <c r="AM264" s="5">
        <v>4260.46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14315.15</v>
      </c>
      <c r="AT264" s="12">
        <v>12781.380000000001</v>
      </c>
      <c r="AU264" s="2">
        <v>255.63</v>
      </c>
      <c r="BL264" s="1" t="s">
        <v>90</v>
      </c>
    </row>
    <row r="265" spans="1:64" x14ac:dyDescent="0.3">
      <c r="A265" t="s">
        <v>334</v>
      </c>
      <c r="B265" s="1" t="s">
        <v>334</v>
      </c>
      <c r="C265" s="9" t="s">
        <v>335</v>
      </c>
      <c r="D265" s="1" t="s">
        <v>44</v>
      </c>
      <c r="E265" s="1" t="s">
        <v>88</v>
      </c>
      <c r="F265" s="10" t="s">
        <v>188</v>
      </c>
      <c r="G265" s="1">
        <v>3.5000000000000003E-2</v>
      </c>
      <c r="H265" s="1">
        <v>0.02</v>
      </c>
      <c r="I265" s="8">
        <v>44607</v>
      </c>
      <c r="J265" s="6">
        <v>997244.46000000008</v>
      </c>
      <c r="K265" s="6">
        <v>188642.72</v>
      </c>
      <c r="L265" s="6">
        <v>17807.939999999999</v>
      </c>
      <c r="M265" s="6">
        <v>3368.62</v>
      </c>
      <c r="N265" s="7">
        <v>10588.28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35576.620000000003</v>
      </c>
      <c r="U265" s="6">
        <v>31764.839999999997</v>
      </c>
      <c r="V265" s="6">
        <v>635.29999999999995</v>
      </c>
      <c r="AI265" s="2">
        <v>997244.46000000008</v>
      </c>
      <c r="AJ265" s="2">
        <v>188642.72</v>
      </c>
      <c r="AK265" s="2">
        <v>17807.939999999999</v>
      </c>
      <c r="AL265" s="2">
        <v>3368.62</v>
      </c>
      <c r="AM265" s="5">
        <v>10588.28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35576.620000000003</v>
      </c>
      <c r="AT265" s="12">
        <v>31764.839999999997</v>
      </c>
      <c r="AU265" s="2">
        <v>635.29999999999995</v>
      </c>
      <c r="BL265" s="1" t="s">
        <v>90</v>
      </c>
    </row>
    <row r="266" spans="1:64" x14ac:dyDescent="0.3">
      <c r="A266" t="s">
        <v>334</v>
      </c>
      <c r="B266" s="1" t="s">
        <v>336</v>
      </c>
      <c r="C266" s="9" t="s">
        <v>337</v>
      </c>
      <c r="D266" s="1" t="s">
        <v>44</v>
      </c>
      <c r="E266" s="1" t="s">
        <v>88</v>
      </c>
      <c r="F266" s="10" t="s">
        <v>188</v>
      </c>
      <c r="G266" s="1">
        <v>3.5000000000000003E-2</v>
      </c>
      <c r="H266" s="1">
        <v>0.02</v>
      </c>
      <c r="I266" s="8">
        <v>44607</v>
      </c>
      <c r="J266" s="6">
        <v>134291.25</v>
      </c>
      <c r="K266" s="6">
        <v>31338</v>
      </c>
      <c r="L266" s="6">
        <v>2398.0500000000002</v>
      </c>
      <c r="M266" s="6">
        <v>559.61</v>
      </c>
      <c r="N266" s="7">
        <v>1478.83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4968.87</v>
      </c>
      <c r="U266" s="6">
        <v>4436.49</v>
      </c>
      <c r="V266" s="6">
        <v>88.73</v>
      </c>
      <c r="AI266" s="2">
        <v>134291.25</v>
      </c>
      <c r="AJ266" s="2">
        <v>31338</v>
      </c>
      <c r="AK266" s="2">
        <v>2398.0500000000002</v>
      </c>
      <c r="AL266" s="2">
        <v>559.61</v>
      </c>
      <c r="AM266" s="5">
        <v>1478.83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4968.87</v>
      </c>
      <c r="AT266" s="12">
        <v>4436.49</v>
      </c>
      <c r="AU266" s="2">
        <v>88.73</v>
      </c>
      <c r="BL266" s="1" t="s">
        <v>90</v>
      </c>
    </row>
    <row r="267" spans="1:64" x14ac:dyDescent="0.3">
      <c r="A267" t="s">
        <v>334</v>
      </c>
      <c r="B267" s="1" t="s">
        <v>338</v>
      </c>
      <c r="C267" s="9" t="s">
        <v>339</v>
      </c>
      <c r="D267" s="1" t="s">
        <v>44</v>
      </c>
      <c r="E267" s="1" t="s">
        <v>88</v>
      </c>
      <c r="F267" s="10" t="s">
        <v>188</v>
      </c>
      <c r="G267" s="1">
        <v>3.5000000000000003E-2</v>
      </c>
      <c r="H267" s="1">
        <v>0.02</v>
      </c>
      <c r="I267" s="8">
        <v>44607</v>
      </c>
      <c r="J267" s="6">
        <v>63837</v>
      </c>
      <c r="K267" s="6">
        <v>36006</v>
      </c>
      <c r="L267" s="6">
        <v>1139.95</v>
      </c>
      <c r="M267" s="6">
        <v>642.96</v>
      </c>
      <c r="N267" s="7">
        <v>891.46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2995.29</v>
      </c>
      <c r="U267" s="6">
        <v>2674.37</v>
      </c>
      <c r="V267" s="6">
        <v>53.49</v>
      </c>
      <c r="AI267" s="2">
        <v>63837</v>
      </c>
      <c r="AJ267" s="2">
        <v>36006</v>
      </c>
      <c r="AK267" s="2">
        <v>1139.95</v>
      </c>
      <c r="AL267" s="2">
        <v>642.96</v>
      </c>
      <c r="AM267" s="5">
        <v>891.46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2995.29</v>
      </c>
      <c r="AT267" s="12">
        <v>2674.37</v>
      </c>
      <c r="AU267" s="2">
        <v>53.49</v>
      </c>
      <c r="BL267" s="1" t="s">
        <v>90</v>
      </c>
    </row>
    <row r="268" spans="1:64" x14ac:dyDescent="0.3">
      <c r="A268" t="s">
        <v>334</v>
      </c>
      <c r="B268" s="1" t="s">
        <v>340</v>
      </c>
      <c r="C268" s="9" t="s">
        <v>341</v>
      </c>
      <c r="D268" s="1" t="s">
        <v>44</v>
      </c>
      <c r="E268" s="1" t="s">
        <v>88</v>
      </c>
      <c r="F268" s="10" t="s">
        <v>188</v>
      </c>
      <c r="G268" s="1">
        <v>0</v>
      </c>
      <c r="H268" s="1">
        <v>0.02</v>
      </c>
      <c r="I268" s="8">
        <v>44824</v>
      </c>
      <c r="J268" s="6">
        <v>125550</v>
      </c>
      <c r="K268" s="6">
        <v>32799</v>
      </c>
      <c r="L268" s="6">
        <v>2241.96</v>
      </c>
      <c r="M268" s="6">
        <v>585.70000000000005</v>
      </c>
      <c r="N268" s="7">
        <v>1413.83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4750.47</v>
      </c>
      <c r="U268" s="6">
        <v>4241.49</v>
      </c>
      <c r="V268" s="6">
        <v>84.83</v>
      </c>
      <c r="AI268" s="2">
        <v>125550</v>
      </c>
      <c r="AJ268" s="2">
        <v>32799</v>
      </c>
      <c r="AK268" s="2">
        <v>2241.96</v>
      </c>
      <c r="AL268" s="2">
        <v>585.70000000000005</v>
      </c>
      <c r="AM268" s="5">
        <v>1413.83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4750.47</v>
      </c>
      <c r="AT268" s="12">
        <v>4241.49</v>
      </c>
      <c r="AU268" s="2">
        <v>84.83</v>
      </c>
      <c r="BL268" s="1" t="s">
        <v>90</v>
      </c>
    </row>
    <row r="269" spans="1:64" x14ac:dyDescent="0.3">
      <c r="A269" t="s">
        <v>351</v>
      </c>
      <c r="B269" s="1" t="s">
        <v>351</v>
      </c>
      <c r="C269" s="9" t="s">
        <v>352</v>
      </c>
      <c r="D269" s="1" t="s">
        <v>44</v>
      </c>
      <c r="E269" s="1" t="s">
        <v>88</v>
      </c>
      <c r="F269" s="10" t="s">
        <v>178</v>
      </c>
      <c r="G269" s="1">
        <v>3.5000000000000003E-2</v>
      </c>
      <c r="H269" s="1">
        <v>0.02</v>
      </c>
      <c r="I269" s="8">
        <v>44661</v>
      </c>
      <c r="J269" s="6">
        <v>312349.7</v>
      </c>
      <c r="K269" s="6">
        <v>51157.75</v>
      </c>
      <c r="L269" s="6">
        <v>5577.67</v>
      </c>
      <c r="M269" s="6">
        <v>913.54</v>
      </c>
      <c r="N269" s="7">
        <v>3245.6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10905.23</v>
      </c>
      <c r="U269" s="6">
        <v>9736.81</v>
      </c>
      <c r="V269" s="6">
        <v>194.74</v>
      </c>
      <c r="AI269" s="2">
        <v>312349.7</v>
      </c>
      <c r="AJ269" s="2">
        <v>51157.75</v>
      </c>
      <c r="AK269" s="2">
        <v>5577.67</v>
      </c>
      <c r="AL269" s="2">
        <v>913.54</v>
      </c>
      <c r="AM269" s="5">
        <v>3245.6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10905.23</v>
      </c>
      <c r="AT269" s="12">
        <v>9736.81</v>
      </c>
      <c r="AU269" s="2">
        <v>194.74</v>
      </c>
      <c r="BL269" s="1" t="s">
        <v>90</v>
      </c>
    </row>
    <row r="270" spans="1:64" x14ac:dyDescent="0.3">
      <c r="A270" t="s">
        <v>379</v>
      </c>
      <c r="B270" s="1" t="s">
        <v>379</v>
      </c>
      <c r="C270" s="9" t="s">
        <v>380</v>
      </c>
      <c r="D270" s="1" t="s">
        <v>44</v>
      </c>
      <c r="E270" s="1" t="s">
        <v>88</v>
      </c>
      <c r="F270" s="10" t="s">
        <v>188</v>
      </c>
      <c r="G270" s="1">
        <v>3.5000000000000003E-2</v>
      </c>
      <c r="H270" s="1">
        <v>0.02</v>
      </c>
      <c r="I270" s="8">
        <v>44755</v>
      </c>
      <c r="J270" s="6">
        <v>1037753.61</v>
      </c>
      <c r="K270" s="6">
        <v>202004.13999999996</v>
      </c>
      <c r="L270" s="6">
        <v>18531.310000000001</v>
      </c>
      <c r="M270" s="6">
        <v>3607.21</v>
      </c>
      <c r="N270" s="7">
        <v>11069.27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37192.720000000001</v>
      </c>
      <c r="U270" s="6">
        <v>33207.79</v>
      </c>
      <c r="V270" s="6">
        <v>664.16</v>
      </c>
      <c r="AI270" s="2">
        <v>1037753.61</v>
      </c>
      <c r="AJ270" s="2">
        <v>202004.13999999996</v>
      </c>
      <c r="AK270" s="2">
        <v>18531.310000000001</v>
      </c>
      <c r="AL270" s="2">
        <v>3607.21</v>
      </c>
      <c r="AM270" s="5">
        <v>11069.27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37192.720000000001</v>
      </c>
      <c r="AT270" s="12">
        <v>33207.79</v>
      </c>
      <c r="AU270" s="2">
        <v>664.16</v>
      </c>
      <c r="BL270" s="1" t="s">
        <v>90</v>
      </c>
    </row>
    <row r="271" spans="1:64" x14ac:dyDescent="0.3">
      <c r="A271" t="s">
        <v>381</v>
      </c>
      <c r="B271" s="1" t="s">
        <v>381</v>
      </c>
      <c r="C271" s="9" t="s">
        <v>382</v>
      </c>
      <c r="D271" s="1" t="s">
        <v>44</v>
      </c>
      <c r="E271" s="1" t="s">
        <v>88</v>
      </c>
      <c r="F271" s="10" t="s">
        <v>114</v>
      </c>
      <c r="G271" s="1">
        <v>3.5000000000000003E-2</v>
      </c>
      <c r="H271" s="1">
        <v>0.02</v>
      </c>
      <c r="I271" s="8">
        <v>44885</v>
      </c>
      <c r="J271" s="6">
        <v>830878.42</v>
      </c>
      <c r="K271" s="6">
        <v>128764.01999999999</v>
      </c>
      <c r="L271" s="6">
        <v>14837.12</v>
      </c>
      <c r="M271" s="6">
        <v>2299.36</v>
      </c>
      <c r="N271" s="7">
        <v>8568.23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28789.279999999999</v>
      </c>
      <c r="U271" s="6">
        <v>25704.71</v>
      </c>
      <c r="V271" s="6">
        <v>514.09</v>
      </c>
      <c r="AI271" s="2">
        <v>830878.42</v>
      </c>
      <c r="AJ271" s="2">
        <v>128764.01999999999</v>
      </c>
      <c r="AK271" s="2">
        <v>14837.12</v>
      </c>
      <c r="AL271" s="2">
        <v>2299.36</v>
      </c>
      <c r="AM271" s="5">
        <v>8568.23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28789.279999999999</v>
      </c>
      <c r="AT271" s="12">
        <v>25704.71</v>
      </c>
      <c r="AU271" s="2">
        <v>514.09</v>
      </c>
      <c r="BL271" s="1" t="s">
        <v>90</v>
      </c>
    </row>
    <row r="272" spans="1:64" x14ac:dyDescent="0.3">
      <c r="A272" t="s">
        <v>418</v>
      </c>
      <c r="B272" s="1" t="s">
        <v>418</v>
      </c>
      <c r="C272" s="9" t="s">
        <v>419</v>
      </c>
      <c r="D272" s="1" t="s">
        <v>44</v>
      </c>
      <c r="E272" s="1" t="s">
        <v>88</v>
      </c>
      <c r="F272" s="10" t="s">
        <v>188</v>
      </c>
      <c r="G272" s="1">
        <v>2.5000000000000001E-2</v>
      </c>
      <c r="H272" s="1">
        <v>0.02</v>
      </c>
      <c r="I272" s="8">
        <v>45440</v>
      </c>
      <c r="J272" s="6">
        <v>556796.74</v>
      </c>
      <c r="K272" s="6">
        <v>195709.41</v>
      </c>
      <c r="L272" s="6">
        <v>9942.7900000000009</v>
      </c>
      <c r="M272" s="6">
        <v>3494.81</v>
      </c>
      <c r="N272" s="7">
        <v>6718.8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22575.17</v>
      </c>
      <c r="U272" s="6">
        <v>20156.400000000001</v>
      </c>
      <c r="V272" s="6">
        <v>403.13</v>
      </c>
      <c r="AI272" s="2">
        <v>556796.74</v>
      </c>
      <c r="AJ272" s="2">
        <v>195709.41</v>
      </c>
      <c r="AK272" s="2">
        <v>9942.7900000000009</v>
      </c>
      <c r="AL272" s="2">
        <v>3494.81</v>
      </c>
      <c r="AM272" s="5">
        <v>6718.8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22575.17</v>
      </c>
      <c r="AT272" s="12">
        <v>20156.400000000001</v>
      </c>
      <c r="AU272" s="2">
        <v>403.13</v>
      </c>
      <c r="BL272" s="1" t="s">
        <v>90</v>
      </c>
    </row>
    <row r="273" spans="1:64" x14ac:dyDescent="0.3">
      <c r="A273" t="s">
        <v>418</v>
      </c>
      <c r="B273" s="1" t="s">
        <v>420</v>
      </c>
      <c r="C273" s="9" t="s">
        <v>421</v>
      </c>
      <c r="D273" s="1" t="s">
        <v>44</v>
      </c>
      <c r="E273" s="1" t="s">
        <v>88</v>
      </c>
      <c r="F273" s="10" t="s">
        <v>188</v>
      </c>
      <c r="G273" s="1">
        <v>0</v>
      </c>
      <c r="H273" s="1">
        <v>0.02</v>
      </c>
      <c r="I273" s="8">
        <v>45440</v>
      </c>
      <c r="J273" s="6">
        <v>124159</v>
      </c>
      <c r="K273" s="6">
        <v>58559</v>
      </c>
      <c r="L273" s="6">
        <v>2217.12</v>
      </c>
      <c r="M273" s="6">
        <v>1045.7</v>
      </c>
      <c r="N273" s="7">
        <v>1631.41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5481.54</v>
      </c>
      <c r="U273" s="6">
        <v>4894.2299999999996</v>
      </c>
      <c r="V273" s="6">
        <v>97.88</v>
      </c>
      <c r="AI273" s="2">
        <v>124159</v>
      </c>
      <c r="AJ273" s="2">
        <v>58559</v>
      </c>
      <c r="AK273" s="2">
        <v>2217.12</v>
      </c>
      <c r="AL273" s="2">
        <v>1045.7</v>
      </c>
      <c r="AM273" s="5">
        <v>1631.41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5481.54</v>
      </c>
      <c r="AT273" s="12">
        <v>4894.2299999999996</v>
      </c>
      <c r="AU273" s="2">
        <v>97.88</v>
      </c>
      <c r="BL273" s="1" t="s">
        <v>90</v>
      </c>
    </row>
    <row r="274" spans="1:64" x14ac:dyDescent="0.3">
      <c r="A274" t="s">
        <v>446</v>
      </c>
      <c r="B274" s="1" t="s">
        <v>446</v>
      </c>
      <c r="C274" s="9" t="s">
        <v>447</v>
      </c>
      <c r="D274" s="1" t="s">
        <v>44</v>
      </c>
      <c r="E274" s="1" t="s">
        <v>88</v>
      </c>
      <c r="F274" s="10" t="s">
        <v>178</v>
      </c>
      <c r="G274" s="1">
        <v>2.5000000000000001E-2</v>
      </c>
      <c r="H274" s="1">
        <v>0.02</v>
      </c>
      <c r="I274" s="8">
        <v>44092</v>
      </c>
      <c r="J274" s="6">
        <v>366391.82999999996</v>
      </c>
      <c r="K274" s="6">
        <v>79584.97</v>
      </c>
      <c r="L274" s="6">
        <v>6542.71</v>
      </c>
      <c r="M274" s="6">
        <v>1421.16</v>
      </c>
      <c r="N274" s="7">
        <v>3981.94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13379.31</v>
      </c>
      <c r="U274" s="6">
        <v>11945.81</v>
      </c>
      <c r="V274" s="6">
        <v>238.92</v>
      </c>
      <c r="AI274" s="2">
        <v>366391.82999999996</v>
      </c>
      <c r="AJ274" s="2">
        <v>79584.97</v>
      </c>
      <c r="AK274" s="2">
        <v>6542.71</v>
      </c>
      <c r="AL274" s="2">
        <v>1421.16</v>
      </c>
      <c r="AM274" s="5">
        <v>3981.94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13379.31</v>
      </c>
      <c r="AT274" s="12">
        <v>11945.81</v>
      </c>
      <c r="AU274" s="2">
        <v>238.92</v>
      </c>
      <c r="BL274" s="1" t="s">
        <v>90</v>
      </c>
    </row>
    <row r="275" spans="1:64" x14ac:dyDescent="0.3">
      <c r="A275" t="s">
        <v>454</v>
      </c>
      <c r="B275" s="1" t="s">
        <v>454</v>
      </c>
      <c r="C275" s="9" t="s">
        <v>455</v>
      </c>
      <c r="D275" s="1" t="s">
        <v>44</v>
      </c>
      <c r="E275" s="1" t="s">
        <v>88</v>
      </c>
      <c r="F275" s="10" t="s">
        <v>188</v>
      </c>
      <c r="G275" s="1">
        <v>2.5000000000000001E-2</v>
      </c>
      <c r="H275" s="1">
        <v>0.02</v>
      </c>
      <c r="I275" s="8">
        <v>44272</v>
      </c>
      <c r="J275" s="6">
        <v>329233.25000000006</v>
      </c>
      <c r="K275" s="6">
        <v>57881</v>
      </c>
      <c r="L275" s="6">
        <v>5879.17</v>
      </c>
      <c r="M275" s="6">
        <v>1033.5899999999999</v>
      </c>
      <c r="N275" s="7">
        <v>3456.37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11613.43</v>
      </c>
      <c r="U275" s="6">
        <v>10369.130000000001</v>
      </c>
      <c r="V275" s="6">
        <v>207.38</v>
      </c>
      <c r="AI275" s="2">
        <v>329233.25000000006</v>
      </c>
      <c r="AJ275" s="2">
        <v>57881</v>
      </c>
      <c r="AK275" s="2">
        <v>5879.17</v>
      </c>
      <c r="AL275" s="2">
        <v>1033.5899999999999</v>
      </c>
      <c r="AM275" s="5">
        <v>3456.37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11613.43</v>
      </c>
      <c r="AT275" s="12">
        <v>10369.130000000001</v>
      </c>
      <c r="AU275" s="2">
        <v>207.38</v>
      </c>
      <c r="BL275" s="1" t="s">
        <v>90</v>
      </c>
    </row>
    <row r="276" spans="1:64" x14ac:dyDescent="0.3">
      <c r="A276" t="s">
        <v>454</v>
      </c>
      <c r="B276" s="1" t="s">
        <v>456</v>
      </c>
      <c r="C276" s="9" t="s">
        <v>457</v>
      </c>
      <c r="D276" s="1" t="s">
        <v>44</v>
      </c>
      <c r="E276" s="1" t="s">
        <v>88</v>
      </c>
      <c r="F276" s="10" t="s">
        <v>188</v>
      </c>
      <c r="G276" s="1">
        <v>0</v>
      </c>
      <c r="H276" s="1">
        <v>0.02</v>
      </c>
      <c r="I276" s="8">
        <v>44272</v>
      </c>
      <c r="J276" s="6">
        <v>126437</v>
      </c>
      <c r="K276" s="6">
        <v>39548</v>
      </c>
      <c r="L276" s="6">
        <v>2257.8000000000002</v>
      </c>
      <c r="M276" s="6">
        <v>706.21</v>
      </c>
      <c r="N276" s="7">
        <v>1482.01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4979.54</v>
      </c>
      <c r="U276" s="6">
        <v>4446.0200000000004</v>
      </c>
      <c r="V276" s="6">
        <v>88.92</v>
      </c>
      <c r="AI276" s="2">
        <v>126437</v>
      </c>
      <c r="AJ276" s="2">
        <v>39548</v>
      </c>
      <c r="AK276" s="2">
        <v>2257.8000000000002</v>
      </c>
      <c r="AL276" s="2">
        <v>706.21</v>
      </c>
      <c r="AM276" s="5">
        <v>1482.01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4979.54</v>
      </c>
      <c r="AT276" s="12">
        <v>4446.0200000000004</v>
      </c>
      <c r="AU276" s="2">
        <v>88.92</v>
      </c>
      <c r="BL276" s="1" t="s">
        <v>90</v>
      </c>
    </row>
    <row r="277" spans="1:64" x14ac:dyDescent="0.3">
      <c r="A277" t="s">
        <v>454</v>
      </c>
      <c r="B277" s="1" t="s">
        <v>458</v>
      </c>
      <c r="C277" s="9" t="s">
        <v>459</v>
      </c>
      <c r="D277" s="1" t="s">
        <v>44</v>
      </c>
      <c r="E277" s="1" t="s">
        <v>88</v>
      </c>
      <c r="F277" s="10" t="s">
        <v>188</v>
      </c>
      <c r="G277" s="1">
        <v>0</v>
      </c>
      <c r="H277" s="1">
        <v>0.02</v>
      </c>
      <c r="I277" s="8">
        <v>45227</v>
      </c>
      <c r="J277" s="6">
        <v>61535</v>
      </c>
      <c r="K277" s="6">
        <v>17321</v>
      </c>
      <c r="L277" s="6">
        <v>1098.8399999999999</v>
      </c>
      <c r="M277" s="6">
        <v>309.3</v>
      </c>
      <c r="N277" s="7">
        <v>704.07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2365.6799999999998</v>
      </c>
      <c r="U277" s="6">
        <v>2112.21</v>
      </c>
      <c r="V277" s="6">
        <v>42.24</v>
      </c>
      <c r="AI277" s="2">
        <v>61535</v>
      </c>
      <c r="AJ277" s="2">
        <v>17321</v>
      </c>
      <c r="AK277" s="2">
        <v>1098.8399999999999</v>
      </c>
      <c r="AL277" s="2">
        <v>309.3</v>
      </c>
      <c r="AM277" s="5">
        <v>704.07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2365.6799999999998</v>
      </c>
      <c r="AT277" s="12">
        <v>2112.21</v>
      </c>
      <c r="AU277" s="2">
        <v>42.24</v>
      </c>
      <c r="BL277" s="1" t="s">
        <v>90</v>
      </c>
    </row>
    <row r="278" spans="1:64" x14ac:dyDescent="0.3">
      <c r="A278" t="s">
        <v>498</v>
      </c>
      <c r="B278" s="1" t="s">
        <v>498</v>
      </c>
      <c r="C278" s="9" t="s">
        <v>499</v>
      </c>
      <c r="D278" s="1" t="s">
        <v>44</v>
      </c>
      <c r="E278" s="1" t="s">
        <v>88</v>
      </c>
      <c r="F278" s="10" t="s">
        <v>178</v>
      </c>
      <c r="G278" s="1">
        <v>3.5000000000000003E-2</v>
      </c>
      <c r="H278" s="1">
        <v>0.02</v>
      </c>
      <c r="I278" s="8">
        <v>45069</v>
      </c>
      <c r="J278" s="6">
        <v>391286</v>
      </c>
      <c r="K278" s="6">
        <v>78281</v>
      </c>
      <c r="L278" s="6">
        <v>6987.25</v>
      </c>
      <c r="M278" s="6">
        <v>1397.87</v>
      </c>
      <c r="N278" s="7">
        <v>4192.5600000000004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14087</v>
      </c>
      <c r="U278" s="6">
        <v>12577.68</v>
      </c>
      <c r="V278" s="6">
        <v>251.55</v>
      </c>
      <c r="AI278" s="2">
        <v>391286</v>
      </c>
      <c r="AJ278" s="2">
        <v>78281</v>
      </c>
      <c r="AK278" s="2">
        <v>6987.25</v>
      </c>
      <c r="AL278" s="2">
        <v>1397.87</v>
      </c>
      <c r="AM278" s="5">
        <v>4192.5600000000004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14087</v>
      </c>
      <c r="AT278" s="12">
        <v>12577.68</v>
      </c>
      <c r="AU278" s="2">
        <v>251.55</v>
      </c>
      <c r="BL278" s="1" t="s">
        <v>90</v>
      </c>
    </row>
    <row r="279" spans="1:64" x14ac:dyDescent="0.3">
      <c r="A279" t="s">
        <v>518</v>
      </c>
      <c r="B279" s="1" t="s">
        <v>518</v>
      </c>
      <c r="C279" s="9" t="s">
        <v>519</v>
      </c>
      <c r="D279" s="1" t="s">
        <v>44</v>
      </c>
      <c r="E279" s="1" t="s">
        <v>88</v>
      </c>
      <c r="F279" s="10" t="s">
        <v>89</v>
      </c>
      <c r="G279" s="1">
        <v>2.5000000000000001E-2</v>
      </c>
      <c r="H279" s="1">
        <v>0.02</v>
      </c>
      <c r="I279" s="8">
        <v>45437</v>
      </c>
      <c r="J279" s="6">
        <v>387905</v>
      </c>
      <c r="K279" s="6">
        <v>109791</v>
      </c>
      <c r="L279" s="6">
        <v>6926.88</v>
      </c>
      <c r="M279" s="6">
        <v>1960.55</v>
      </c>
      <c r="N279" s="7">
        <v>4443.71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14930.88</v>
      </c>
      <c r="U279" s="6">
        <v>13331.14</v>
      </c>
      <c r="V279" s="6">
        <v>266.62</v>
      </c>
      <c r="AI279" s="2">
        <v>387905</v>
      </c>
      <c r="AJ279" s="2">
        <v>109791</v>
      </c>
      <c r="AK279" s="2">
        <v>6926.88</v>
      </c>
      <c r="AL279" s="2">
        <v>1960.55</v>
      </c>
      <c r="AM279" s="5">
        <v>4443.71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14930.88</v>
      </c>
      <c r="AT279" s="12">
        <v>13331.14</v>
      </c>
      <c r="AU279" s="2">
        <v>266.62</v>
      </c>
      <c r="BL279" s="1" t="s">
        <v>90</v>
      </c>
    </row>
    <row r="280" spans="1:64" x14ac:dyDescent="0.3">
      <c r="A280" t="s">
        <v>518</v>
      </c>
      <c r="B280" s="1" t="s">
        <v>520</v>
      </c>
      <c r="C280" s="9" t="s">
        <v>521</v>
      </c>
      <c r="D280" s="1" t="s">
        <v>44</v>
      </c>
      <c r="E280" s="1" t="s">
        <v>88</v>
      </c>
      <c r="F280" s="10" t="s">
        <v>89</v>
      </c>
      <c r="G280" s="1">
        <v>2.5000000000000001E-2</v>
      </c>
      <c r="H280" s="1">
        <v>0.02</v>
      </c>
      <c r="I280" s="8">
        <v>45437</v>
      </c>
      <c r="J280" s="6">
        <v>99313</v>
      </c>
      <c r="K280" s="6">
        <v>40939</v>
      </c>
      <c r="L280" s="6">
        <v>1773.45</v>
      </c>
      <c r="M280" s="6">
        <v>731.05</v>
      </c>
      <c r="N280" s="7">
        <v>1252.25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4207.5600000000004</v>
      </c>
      <c r="U280" s="6">
        <v>3756.75</v>
      </c>
      <c r="V280" s="6">
        <v>75.14</v>
      </c>
      <c r="AI280" s="2">
        <v>99313</v>
      </c>
      <c r="AJ280" s="2">
        <v>40939</v>
      </c>
      <c r="AK280" s="2">
        <v>1773.45</v>
      </c>
      <c r="AL280" s="2">
        <v>731.05</v>
      </c>
      <c r="AM280" s="5">
        <v>1252.25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4207.5600000000004</v>
      </c>
      <c r="AT280" s="12">
        <v>3756.75</v>
      </c>
      <c r="AU280" s="2">
        <v>75.14</v>
      </c>
      <c r="BL280" s="1" t="s">
        <v>90</v>
      </c>
    </row>
    <row r="281" spans="1:64" x14ac:dyDescent="0.3">
      <c r="A281" t="s">
        <v>518</v>
      </c>
      <c r="B281" s="1" t="s">
        <v>522</v>
      </c>
      <c r="C281" s="9" t="s">
        <v>523</v>
      </c>
      <c r="D281" s="1" t="s">
        <v>44</v>
      </c>
      <c r="E281" s="1" t="s">
        <v>88</v>
      </c>
      <c r="F281" s="10" t="s">
        <v>89</v>
      </c>
      <c r="G281" s="1">
        <v>0</v>
      </c>
      <c r="H281" s="1">
        <v>0.02</v>
      </c>
      <c r="I281" s="8">
        <v>45157</v>
      </c>
      <c r="J281" s="6">
        <v>74062</v>
      </c>
      <c r="K281" s="6">
        <v>9807</v>
      </c>
      <c r="L281" s="6">
        <v>1322.54</v>
      </c>
      <c r="M281" s="6">
        <v>175.12</v>
      </c>
      <c r="N281" s="7">
        <v>748.83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2516.0700000000002</v>
      </c>
      <c r="U281" s="6">
        <v>2246.4899999999998</v>
      </c>
      <c r="V281" s="6">
        <v>44.93</v>
      </c>
      <c r="AI281" s="2">
        <v>74062</v>
      </c>
      <c r="AJ281" s="2">
        <v>9807</v>
      </c>
      <c r="AK281" s="2">
        <v>1322.54</v>
      </c>
      <c r="AL281" s="2">
        <v>175.12</v>
      </c>
      <c r="AM281" s="5">
        <v>748.83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2516.0700000000002</v>
      </c>
      <c r="AT281" s="12">
        <v>2246.4899999999998</v>
      </c>
      <c r="AU281" s="2">
        <v>44.93</v>
      </c>
      <c r="BL281" s="1" t="s">
        <v>90</v>
      </c>
    </row>
    <row r="282" spans="1:64" x14ac:dyDescent="0.3">
      <c r="A282" t="s">
        <v>569</v>
      </c>
      <c r="B282" s="1" t="s">
        <v>569</v>
      </c>
      <c r="C282" s="9" t="s">
        <v>570</v>
      </c>
      <c r="D282" s="1" t="s">
        <v>44</v>
      </c>
      <c r="E282" s="1" t="s">
        <v>88</v>
      </c>
      <c r="F282" s="10" t="s">
        <v>104</v>
      </c>
      <c r="G282" s="1">
        <v>2.5000000000000001E-2</v>
      </c>
      <c r="H282" s="1">
        <v>0.02</v>
      </c>
      <c r="I282" s="8">
        <v>44228</v>
      </c>
      <c r="J282" s="6">
        <v>1143488</v>
      </c>
      <c r="K282" s="6">
        <v>267557.25</v>
      </c>
      <c r="L282" s="6">
        <v>20419.43</v>
      </c>
      <c r="M282" s="6">
        <v>4777.8</v>
      </c>
      <c r="N282" s="7">
        <v>12598.62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42331.35</v>
      </c>
      <c r="U282" s="6">
        <v>37795.85</v>
      </c>
      <c r="V282" s="6">
        <v>755.92</v>
      </c>
      <c r="AI282" s="2">
        <v>1143488</v>
      </c>
      <c r="AJ282" s="2">
        <v>267557.25</v>
      </c>
      <c r="AK282" s="2">
        <v>20419.43</v>
      </c>
      <c r="AL282" s="2">
        <v>4777.8</v>
      </c>
      <c r="AM282" s="5">
        <v>12598.62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42331.35</v>
      </c>
      <c r="AT282" s="12">
        <v>37795.85</v>
      </c>
      <c r="AU282" s="2">
        <v>755.92</v>
      </c>
      <c r="BL282" s="1" t="s">
        <v>90</v>
      </c>
    </row>
    <row r="283" spans="1:64" x14ac:dyDescent="0.3">
      <c r="A283" t="s">
        <v>586</v>
      </c>
      <c r="B283" s="1" t="s">
        <v>586</v>
      </c>
      <c r="C283" s="9" t="s">
        <v>587</v>
      </c>
      <c r="D283" s="1" t="s">
        <v>44</v>
      </c>
      <c r="E283" s="1" t="s">
        <v>88</v>
      </c>
      <c r="F283" s="10" t="s">
        <v>104</v>
      </c>
      <c r="G283" s="1">
        <v>2.5000000000000001E-2</v>
      </c>
      <c r="H283" s="1">
        <v>0.02</v>
      </c>
      <c r="I283" s="8">
        <v>44520</v>
      </c>
      <c r="J283" s="6">
        <v>716839.05</v>
      </c>
      <c r="K283" s="6">
        <v>286641.05</v>
      </c>
      <c r="L283" s="6">
        <v>12800.7</v>
      </c>
      <c r="M283" s="6">
        <v>5118.59</v>
      </c>
      <c r="N283" s="7">
        <v>8959.64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30104.400000000001</v>
      </c>
      <c r="U283" s="6">
        <v>26878.93</v>
      </c>
      <c r="V283" s="6">
        <v>537.58000000000004</v>
      </c>
      <c r="AI283" s="2">
        <v>716839.05</v>
      </c>
      <c r="AJ283" s="2">
        <v>286641.05</v>
      </c>
      <c r="AK283" s="2">
        <v>12800.7</v>
      </c>
      <c r="AL283" s="2">
        <v>5118.59</v>
      </c>
      <c r="AM283" s="5">
        <v>8959.64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30104.400000000001</v>
      </c>
      <c r="AT283" s="12">
        <v>26878.93</v>
      </c>
      <c r="AU283" s="2">
        <v>537.58000000000004</v>
      </c>
      <c r="BL283" s="1" t="s">
        <v>90</v>
      </c>
    </row>
    <row r="284" spans="1:64" x14ac:dyDescent="0.3">
      <c r="A284" t="s">
        <v>624</v>
      </c>
      <c r="B284" s="1" t="s">
        <v>625</v>
      </c>
      <c r="C284" s="9" t="s">
        <v>626</v>
      </c>
      <c r="D284" s="1" t="s">
        <v>44</v>
      </c>
      <c r="E284" s="1" t="s">
        <v>88</v>
      </c>
      <c r="F284" s="10" t="s">
        <v>181</v>
      </c>
      <c r="G284" s="1">
        <v>3.5000000000000003E-2</v>
      </c>
      <c r="H284" s="1">
        <v>0.02</v>
      </c>
      <c r="I284" s="8">
        <v>44805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AI284" s="2">
        <v>0</v>
      </c>
      <c r="AJ284" s="2">
        <v>0</v>
      </c>
      <c r="AK284" s="2">
        <v>0</v>
      </c>
      <c r="AL284" s="2">
        <v>0</v>
      </c>
      <c r="AM284" s="5">
        <v>0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0</v>
      </c>
      <c r="AT284" s="12">
        <v>0</v>
      </c>
      <c r="AU284" s="2">
        <v>0</v>
      </c>
      <c r="BL284" s="1" t="s">
        <v>90</v>
      </c>
    </row>
    <row r="285" spans="1:64" x14ac:dyDescent="0.3">
      <c r="A285" t="s">
        <v>629</v>
      </c>
      <c r="B285" s="1" t="s">
        <v>629</v>
      </c>
      <c r="C285" s="9" t="s">
        <v>630</v>
      </c>
      <c r="D285" s="1" t="s">
        <v>44</v>
      </c>
      <c r="E285" s="1" t="s">
        <v>88</v>
      </c>
      <c r="F285" s="10" t="s">
        <v>89</v>
      </c>
      <c r="G285" s="1">
        <v>3.5000000000000003E-2</v>
      </c>
      <c r="H285" s="1">
        <v>0.02</v>
      </c>
      <c r="I285" s="8">
        <v>45046</v>
      </c>
      <c r="J285" s="6">
        <v>500397.55</v>
      </c>
      <c r="K285" s="6">
        <v>90936.1</v>
      </c>
      <c r="L285" s="6">
        <v>8935.67</v>
      </c>
      <c r="M285" s="6">
        <v>1623.86</v>
      </c>
      <c r="N285" s="7">
        <v>5279.77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17740.02</v>
      </c>
      <c r="U285" s="6">
        <v>15839.300000000001</v>
      </c>
      <c r="V285" s="6">
        <v>316.79000000000002</v>
      </c>
      <c r="AI285" s="2">
        <v>500397.55</v>
      </c>
      <c r="AJ285" s="2">
        <v>90936.1</v>
      </c>
      <c r="AK285" s="2">
        <v>8935.67</v>
      </c>
      <c r="AL285" s="2">
        <v>1623.86</v>
      </c>
      <c r="AM285" s="5">
        <v>5279.77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17740.02</v>
      </c>
      <c r="AT285" s="12">
        <v>15839.300000000001</v>
      </c>
      <c r="AU285" s="2">
        <v>316.79000000000002</v>
      </c>
      <c r="BL285" s="1" t="s">
        <v>90</v>
      </c>
    </row>
    <row r="286" spans="1:64" x14ac:dyDescent="0.3">
      <c r="A286" t="s">
        <v>629</v>
      </c>
      <c r="B286" s="1" t="s">
        <v>631</v>
      </c>
      <c r="C286" s="9" t="s">
        <v>632</v>
      </c>
      <c r="D286" s="1" t="s">
        <v>44</v>
      </c>
      <c r="E286" s="1" t="s">
        <v>88</v>
      </c>
      <c r="F286" s="10" t="s">
        <v>89</v>
      </c>
      <c r="G286" s="1">
        <v>3.5000000000000003E-2</v>
      </c>
      <c r="H286" s="1">
        <v>0.02</v>
      </c>
      <c r="I286" s="8">
        <v>45046</v>
      </c>
      <c r="J286" s="6">
        <v>136908</v>
      </c>
      <c r="K286" s="6">
        <v>40233</v>
      </c>
      <c r="L286" s="6">
        <v>2444.79</v>
      </c>
      <c r="M286" s="6">
        <v>718.45</v>
      </c>
      <c r="N286" s="7">
        <v>1581.62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5314.24</v>
      </c>
      <c r="U286" s="6">
        <v>4744.8599999999997</v>
      </c>
      <c r="V286" s="6">
        <v>94.9</v>
      </c>
      <c r="AI286" s="2">
        <v>136908</v>
      </c>
      <c r="AJ286" s="2">
        <v>40233</v>
      </c>
      <c r="AK286" s="2">
        <v>2444.79</v>
      </c>
      <c r="AL286" s="2">
        <v>718.45</v>
      </c>
      <c r="AM286" s="5">
        <v>1581.62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5314.24</v>
      </c>
      <c r="AT286" s="12">
        <v>4744.8599999999997</v>
      </c>
      <c r="AU286" s="2">
        <v>94.9</v>
      </c>
      <c r="BL286" s="1" t="s">
        <v>90</v>
      </c>
    </row>
    <row r="287" spans="1:64" x14ac:dyDescent="0.3">
      <c r="A287" t="s">
        <v>629</v>
      </c>
      <c r="B287" s="1" t="s">
        <v>633</v>
      </c>
      <c r="C287" s="9" t="s">
        <v>634</v>
      </c>
      <c r="D287" s="1" t="s">
        <v>44</v>
      </c>
      <c r="E287" s="1" t="s">
        <v>88</v>
      </c>
      <c r="F287" s="10" t="s">
        <v>89</v>
      </c>
      <c r="G287" s="1">
        <v>0</v>
      </c>
      <c r="H287" s="1">
        <v>0.02</v>
      </c>
      <c r="I287" s="8">
        <v>45254</v>
      </c>
      <c r="J287" s="6">
        <v>47116</v>
      </c>
      <c r="K287" s="6">
        <v>22022</v>
      </c>
      <c r="L287" s="6">
        <v>841.36</v>
      </c>
      <c r="M287" s="6">
        <v>393.25</v>
      </c>
      <c r="N287" s="7">
        <v>617.29999999999995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2074.14</v>
      </c>
      <c r="U287" s="6">
        <v>1851.91</v>
      </c>
      <c r="V287" s="6">
        <v>37.04</v>
      </c>
      <c r="AI287" s="2">
        <v>47116</v>
      </c>
      <c r="AJ287" s="2">
        <v>22022</v>
      </c>
      <c r="AK287" s="2">
        <v>841.36</v>
      </c>
      <c r="AL287" s="2">
        <v>393.25</v>
      </c>
      <c r="AM287" s="5">
        <v>617.29999999999995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2074.14</v>
      </c>
      <c r="AT287" s="12">
        <v>1851.91</v>
      </c>
      <c r="AU287" s="2">
        <v>37.04</v>
      </c>
      <c r="BL287" s="1" t="s">
        <v>90</v>
      </c>
    </row>
    <row r="288" spans="1:64" x14ac:dyDescent="0.3">
      <c r="A288" t="s">
        <v>644</v>
      </c>
      <c r="B288" s="1" t="s">
        <v>644</v>
      </c>
      <c r="C288" s="9" t="s">
        <v>645</v>
      </c>
      <c r="D288" s="1" t="s">
        <v>44</v>
      </c>
      <c r="E288" s="1" t="s">
        <v>88</v>
      </c>
      <c r="F288" s="10" t="s">
        <v>188</v>
      </c>
      <c r="G288" s="1">
        <v>0</v>
      </c>
      <c r="H288" s="1">
        <v>0.02</v>
      </c>
      <c r="I288" s="8">
        <v>45153</v>
      </c>
      <c r="J288" s="6">
        <v>563609.97</v>
      </c>
      <c r="K288" s="6">
        <v>104185.37</v>
      </c>
      <c r="L288" s="6">
        <v>10064.459999999999</v>
      </c>
      <c r="M288" s="6">
        <v>1860.46</v>
      </c>
      <c r="N288" s="7">
        <v>5962.46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20033.87</v>
      </c>
      <c r="U288" s="6">
        <v>17887.379999999997</v>
      </c>
      <c r="V288" s="6">
        <v>357.75</v>
      </c>
      <c r="AI288" s="2">
        <v>563609.97</v>
      </c>
      <c r="AJ288" s="2">
        <v>104185.37</v>
      </c>
      <c r="AK288" s="2">
        <v>10064.459999999999</v>
      </c>
      <c r="AL288" s="2">
        <v>1860.46</v>
      </c>
      <c r="AM288" s="5">
        <v>5962.46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20033.87</v>
      </c>
      <c r="AT288" s="12">
        <v>17887.379999999997</v>
      </c>
      <c r="AU288" s="2">
        <v>357.75</v>
      </c>
      <c r="BL288" s="1" t="s">
        <v>90</v>
      </c>
    </row>
    <row r="289" spans="1:64" x14ac:dyDescent="0.3">
      <c r="A289" t="s">
        <v>644</v>
      </c>
      <c r="B289" s="1" t="s">
        <v>646</v>
      </c>
      <c r="C289" s="9" t="s">
        <v>647</v>
      </c>
      <c r="D289" s="1" t="s">
        <v>44</v>
      </c>
      <c r="E289" s="1" t="s">
        <v>88</v>
      </c>
      <c r="F289" s="10" t="s">
        <v>188</v>
      </c>
      <c r="G289" s="1">
        <v>0</v>
      </c>
      <c r="H289" s="1">
        <v>0.02</v>
      </c>
      <c r="I289" s="8">
        <v>45153</v>
      </c>
      <c r="J289" s="6">
        <v>115229</v>
      </c>
      <c r="K289" s="6">
        <v>32830</v>
      </c>
      <c r="L289" s="6">
        <v>2057.66</v>
      </c>
      <c r="M289" s="6">
        <v>586.25</v>
      </c>
      <c r="N289" s="7">
        <v>1321.96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4441.7700000000004</v>
      </c>
      <c r="U289" s="6">
        <v>3965.87</v>
      </c>
      <c r="V289" s="6">
        <v>79.319999999999993</v>
      </c>
      <c r="AI289" s="2">
        <v>115229</v>
      </c>
      <c r="AJ289" s="2">
        <v>32830</v>
      </c>
      <c r="AK289" s="2">
        <v>2057.66</v>
      </c>
      <c r="AL289" s="2">
        <v>586.25</v>
      </c>
      <c r="AM289" s="5">
        <v>1321.96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4441.7700000000004</v>
      </c>
      <c r="AT289" s="12">
        <v>3965.87</v>
      </c>
      <c r="AU289" s="2">
        <v>79.319999999999993</v>
      </c>
      <c r="BL289" s="1" t="s">
        <v>90</v>
      </c>
    </row>
    <row r="290" spans="1:64" x14ac:dyDescent="0.3">
      <c r="A290" t="s">
        <v>648</v>
      </c>
      <c r="B290" s="1" t="s">
        <v>648</v>
      </c>
      <c r="C290" s="9" t="s">
        <v>649</v>
      </c>
      <c r="D290" s="1" t="s">
        <v>44</v>
      </c>
      <c r="E290" s="1" t="s">
        <v>88</v>
      </c>
      <c r="F290" s="10" t="s">
        <v>178</v>
      </c>
      <c r="G290" s="1">
        <v>3.5000000000000003E-2</v>
      </c>
      <c r="H290" s="1">
        <v>0.02</v>
      </c>
      <c r="I290" s="8">
        <v>45201</v>
      </c>
      <c r="J290" s="6">
        <v>215305</v>
      </c>
      <c r="K290" s="6">
        <v>42509</v>
      </c>
      <c r="L290" s="6">
        <v>3844.73</v>
      </c>
      <c r="M290" s="6">
        <v>759.09</v>
      </c>
      <c r="N290" s="7">
        <v>2301.91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7734.42</v>
      </c>
      <c r="U290" s="6">
        <v>6905.73</v>
      </c>
      <c r="V290" s="6">
        <v>138.11000000000001</v>
      </c>
      <c r="AI290" s="2">
        <v>215305</v>
      </c>
      <c r="AJ290" s="2">
        <v>42509</v>
      </c>
      <c r="AK290" s="2">
        <v>3844.73</v>
      </c>
      <c r="AL290" s="2">
        <v>759.09</v>
      </c>
      <c r="AM290" s="5">
        <v>2301.91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7734.42</v>
      </c>
      <c r="AT290" s="12">
        <v>6905.73</v>
      </c>
      <c r="AU290" s="2">
        <v>138.11000000000001</v>
      </c>
      <c r="BL290" s="1" t="s">
        <v>90</v>
      </c>
    </row>
    <row r="291" spans="1:64" x14ac:dyDescent="0.3">
      <c r="A291" t="s">
        <v>702</v>
      </c>
      <c r="B291" s="1" t="s">
        <v>702</v>
      </c>
      <c r="C291" s="9" t="s">
        <v>703</v>
      </c>
      <c r="D291" s="1" t="s">
        <v>44</v>
      </c>
      <c r="E291" s="1" t="s">
        <v>88</v>
      </c>
      <c r="F291" s="10" t="s">
        <v>104</v>
      </c>
      <c r="G291" s="1">
        <v>0</v>
      </c>
      <c r="H291" s="1">
        <v>0.02</v>
      </c>
      <c r="I291" s="8">
        <v>45777</v>
      </c>
      <c r="J291" s="6">
        <v>302085.55000000005</v>
      </c>
      <c r="K291" s="6">
        <v>119694.75</v>
      </c>
      <c r="L291" s="6">
        <v>179.81</v>
      </c>
      <c r="M291" s="6">
        <v>71.25</v>
      </c>
      <c r="N291" s="7">
        <v>3765.89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4498.9799999999996</v>
      </c>
      <c r="U291" s="6">
        <v>4016.95</v>
      </c>
      <c r="V291" s="6">
        <v>80.34</v>
      </c>
      <c r="AI291" s="2">
        <v>302085.55000000005</v>
      </c>
      <c r="AJ291" s="2">
        <v>119694.75</v>
      </c>
      <c r="AK291" s="2">
        <v>179.81</v>
      </c>
      <c r="AL291" s="2">
        <v>71.25</v>
      </c>
      <c r="AM291" s="5">
        <v>3765.89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4498.9799999999996</v>
      </c>
      <c r="AT291" s="12">
        <v>4016.95</v>
      </c>
      <c r="AU291" s="2">
        <v>80.34</v>
      </c>
      <c r="BL291" s="1" t="s">
        <v>90</v>
      </c>
    </row>
    <row r="292" spans="1:64" x14ac:dyDescent="0.3">
      <c r="A292" t="s">
        <v>740</v>
      </c>
      <c r="B292" s="1" t="s">
        <v>740</v>
      </c>
      <c r="C292" s="9" t="s">
        <v>741</v>
      </c>
      <c r="D292" s="1" t="s">
        <v>44</v>
      </c>
      <c r="E292" s="1" t="s">
        <v>88</v>
      </c>
      <c r="F292" s="10" t="s">
        <v>101</v>
      </c>
      <c r="G292" s="1">
        <v>0</v>
      </c>
      <c r="H292" s="1">
        <v>0.02</v>
      </c>
      <c r="I292" s="8">
        <v>44009</v>
      </c>
      <c r="J292" s="6">
        <v>298424.75000000006</v>
      </c>
      <c r="K292" s="6">
        <v>73293.850000000006</v>
      </c>
      <c r="L292" s="6">
        <v>5329.02</v>
      </c>
      <c r="M292" s="6">
        <v>1308.82</v>
      </c>
      <c r="N292" s="7">
        <v>3318.92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11151.57</v>
      </c>
      <c r="U292" s="6">
        <v>9956.76</v>
      </c>
      <c r="V292" s="6">
        <v>199.14</v>
      </c>
      <c r="AI292" s="2">
        <v>298424.75000000006</v>
      </c>
      <c r="AJ292" s="2">
        <v>73293.850000000006</v>
      </c>
      <c r="AK292" s="2">
        <v>5329.02</v>
      </c>
      <c r="AL292" s="2">
        <v>1308.82</v>
      </c>
      <c r="AM292" s="5">
        <v>3318.92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11151.57</v>
      </c>
      <c r="AT292" s="12">
        <v>9956.76</v>
      </c>
      <c r="AU292" s="2">
        <v>199.14</v>
      </c>
      <c r="BL292" s="1" t="s">
        <v>90</v>
      </c>
    </row>
    <row r="293" spans="1:64" x14ac:dyDescent="0.3">
      <c r="A293" t="s">
        <v>742</v>
      </c>
      <c r="B293" s="1" t="s">
        <v>742</v>
      </c>
      <c r="C293" s="9" t="s">
        <v>743</v>
      </c>
      <c r="D293" s="1" t="s">
        <v>44</v>
      </c>
      <c r="E293" s="1" t="s">
        <v>88</v>
      </c>
      <c r="F293" s="10" t="s">
        <v>114</v>
      </c>
      <c r="G293" s="1">
        <v>3.5000000000000003E-2</v>
      </c>
      <c r="H293" s="1">
        <v>0.02</v>
      </c>
      <c r="I293" s="8">
        <v>45083</v>
      </c>
      <c r="J293" s="6">
        <v>353621.69</v>
      </c>
      <c r="K293" s="6">
        <v>106777.74</v>
      </c>
      <c r="L293" s="6">
        <v>6314.67</v>
      </c>
      <c r="M293" s="6">
        <v>1906.74</v>
      </c>
      <c r="N293" s="7">
        <v>4110.71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13811.97</v>
      </c>
      <c r="U293" s="6">
        <v>12332.119999999999</v>
      </c>
      <c r="V293" s="6">
        <v>246.64</v>
      </c>
      <c r="AI293" s="2">
        <v>353621.69</v>
      </c>
      <c r="AJ293" s="2">
        <v>106777.74</v>
      </c>
      <c r="AK293" s="2">
        <v>6314.67</v>
      </c>
      <c r="AL293" s="2">
        <v>1906.74</v>
      </c>
      <c r="AM293" s="5">
        <v>4110.71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13811.97</v>
      </c>
      <c r="AT293" s="12">
        <v>12332.119999999999</v>
      </c>
      <c r="AU293" s="2">
        <v>246.64</v>
      </c>
      <c r="BL293" s="1" t="s">
        <v>90</v>
      </c>
    </row>
    <row r="294" spans="1:64" x14ac:dyDescent="0.3">
      <c r="A294" t="s">
        <v>755</v>
      </c>
      <c r="B294" s="1" t="s">
        <v>755</v>
      </c>
      <c r="C294" s="9" t="s">
        <v>756</v>
      </c>
      <c r="D294" s="1" t="s">
        <v>44</v>
      </c>
      <c r="E294" s="1" t="s">
        <v>88</v>
      </c>
      <c r="F294" s="10" t="s">
        <v>104</v>
      </c>
      <c r="G294" s="1">
        <v>0</v>
      </c>
      <c r="H294" s="1">
        <v>0.02</v>
      </c>
      <c r="I294" s="8">
        <v>44612</v>
      </c>
      <c r="J294" s="6">
        <v>498460</v>
      </c>
      <c r="K294" s="6">
        <v>130457</v>
      </c>
      <c r="L294" s="6">
        <v>8901.07</v>
      </c>
      <c r="M294" s="6">
        <v>2329.59</v>
      </c>
      <c r="N294" s="7">
        <v>5615.33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18867.509999999998</v>
      </c>
      <c r="U294" s="6">
        <v>16845.989999999998</v>
      </c>
      <c r="V294" s="6">
        <v>336.92</v>
      </c>
      <c r="AI294" s="2">
        <v>498460</v>
      </c>
      <c r="AJ294" s="2">
        <v>130457</v>
      </c>
      <c r="AK294" s="2">
        <v>8901.07</v>
      </c>
      <c r="AL294" s="2">
        <v>2329.59</v>
      </c>
      <c r="AM294" s="5">
        <v>5615.33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18867.509999999998</v>
      </c>
      <c r="AT294" s="12">
        <v>16845.989999999998</v>
      </c>
      <c r="AU294" s="2">
        <v>336.92</v>
      </c>
      <c r="BL294" s="1" t="s">
        <v>90</v>
      </c>
    </row>
    <row r="295" spans="1:64" x14ac:dyDescent="0.3">
      <c r="A295" t="s">
        <v>765</v>
      </c>
      <c r="B295" s="1" t="s">
        <v>765</v>
      </c>
      <c r="C295" s="9" t="s">
        <v>766</v>
      </c>
      <c r="D295" s="1" t="s">
        <v>44</v>
      </c>
      <c r="E295" s="1" t="s">
        <v>88</v>
      </c>
      <c r="F295" s="10" t="s">
        <v>101</v>
      </c>
      <c r="G295" s="1">
        <v>3.5000000000000003E-2</v>
      </c>
      <c r="H295" s="1">
        <v>0.02</v>
      </c>
      <c r="I295" s="8">
        <v>45003</v>
      </c>
      <c r="J295" s="6">
        <v>1047475</v>
      </c>
      <c r="K295" s="6">
        <v>227286.31</v>
      </c>
      <c r="L295" s="6">
        <v>18704.91</v>
      </c>
      <c r="M295" s="6">
        <v>4058.69</v>
      </c>
      <c r="N295" s="7">
        <v>11381.79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38242.839999999997</v>
      </c>
      <c r="U295" s="6">
        <v>34145.39</v>
      </c>
      <c r="V295" s="6">
        <v>682.91</v>
      </c>
      <c r="AI295" s="2">
        <v>1047475</v>
      </c>
      <c r="AJ295" s="2">
        <v>227286.31</v>
      </c>
      <c r="AK295" s="2">
        <v>18704.91</v>
      </c>
      <c r="AL295" s="2">
        <v>4058.69</v>
      </c>
      <c r="AM295" s="5">
        <v>11381.79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38242.839999999997</v>
      </c>
      <c r="AT295" s="12">
        <v>34145.39</v>
      </c>
      <c r="AU295" s="2">
        <v>682.91</v>
      </c>
      <c r="BL295" s="1" t="s">
        <v>90</v>
      </c>
    </row>
    <row r="296" spans="1:64" x14ac:dyDescent="0.3">
      <c r="A296" t="s">
        <v>810</v>
      </c>
      <c r="B296" s="1" t="s">
        <v>810</v>
      </c>
      <c r="C296" s="9" t="s">
        <v>811</v>
      </c>
      <c r="D296" s="1" t="s">
        <v>44</v>
      </c>
      <c r="E296" s="1" t="s">
        <v>88</v>
      </c>
      <c r="F296" s="10" t="s">
        <v>104</v>
      </c>
      <c r="G296" s="1">
        <v>0</v>
      </c>
      <c r="H296" s="1">
        <v>0.02</v>
      </c>
      <c r="I296" s="8">
        <v>44936</v>
      </c>
      <c r="J296" s="6">
        <v>165579</v>
      </c>
      <c r="K296" s="6">
        <v>56670</v>
      </c>
      <c r="L296" s="6">
        <v>2956.77</v>
      </c>
      <c r="M296" s="6">
        <v>1011.96</v>
      </c>
      <c r="N296" s="7">
        <v>1984.37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6667.47</v>
      </c>
      <c r="U296" s="6">
        <v>5953.1</v>
      </c>
      <c r="V296" s="6">
        <v>119.06</v>
      </c>
      <c r="AI296" s="2">
        <v>165579</v>
      </c>
      <c r="AJ296" s="2">
        <v>56670</v>
      </c>
      <c r="AK296" s="2">
        <v>2956.77</v>
      </c>
      <c r="AL296" s="2">
        <v>1011.96</v>
      </c>
      <c r="AM296" s="5">
        <v>1984.37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6667.47</v>
      </c>
      <c r="AT296" s="12">
        <v>5953.1</v>
      </c>
      <c r="AU296" s="2">
        <v>119.06</v>
      </c>
      <c r="BL296" s="1" t="s">
        <v>90</v>
      </c>
    </row>
    <row r="297" spans="1:64" x14ac:dyDescent="0.3">
      <c r="A297" t="s">
        <v>836</v>
      </c>
      <c r="B297" s="1" t="s">
        <v>836</v>
      </c>
      <c r="C297" s="9" t="s">
        <v>837</v>
      </c>
      <c r="D297" s="1" t="s">
        <v>44</v>
      </c>
      <c r="E297" s="1" t="s">
        <v>88</v>
      </c>
      <c r="F297" s="10" t="s">
        <v>181</v>
      </c>
      <c r="G297" s="1">
        <v>0</v>
      </c>
      <c r="H297" s="1">
        <v>0.02</v>
      </c>
      <c r="I297" s="8">
        <v>45641</v>
      </c>
      <c r="J297" s="6">
        <v>435213.4</v>
      </c>
      <c r="K297" s="6">
        <v>135605</v>
      </c>
      <c r="L297" s="6">
        <v>7771.67</v>
      </c>
      <c r="M297" s="6">
        <v>2421.52</v>
      </c>
      <c r="N297" s="7">
        <v>5096.59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17124.55</v>
      </c>
      <c r="U297" s="6">
        <v>15289.78</v>
      </c>
      <c r="V297" s="6">
        <v>305.8</v>
      </c>
      <c r="AI297" s="2">
        <v>435213.4</v>
      </c>
      <c r="AJ297" s="2">
        <v>135605</v>
      </c>
      <c r="AK297" s="2">
        <v>7771.67</v>
      </c>
      <c r="AL297" s="2">
        <v>2421.52</v>
      </c>
      <c r="AM297" s="5">
        <v>5096.59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17124.55</v>
      </c>
      <c r="AT297" s="12">
        <v>15289.78</v>
      </c>
      <c r="AU297" s="2">
        <v>305.8</v>
      </c>
      <c r="BL297" s="1" t="s">
        <v>90</v>
      </c>
    </row>
    <row r="298" spans="1:64" x14ac:dyDescent="0.3">
      <c r="A298" t="s">
        <v>836</v>
      </c>
      <c r="B298" s="1" t="s">
        <v>838</v>
      </c>
      <c r="C298" s="9" t="s">
        <v>839</v>
      </c>
      <c r="D298" s="1" t="s">
        <v>44</v>
      </c>
      <c r="E298" s="1" t="s">
        <v>88</v>
      </c>
      <c r="F298" s="10" t="s">
        <v>181</v>
      </c>
      <c r="G298" s="1">
        <v>0</v>
      </c>
      <c r="H298" s="1">
        <v>0.02</v>
      </c>
      <c r="I298" s="8">
        <v>45641</v>
      </c>
      <c r="J298" s="6">
        <v>344105.75</v>
      </c>
      <c r="K298" s="6">
        <v>61649</v>
      </c>
      <c r="L298" s="6">
        <v>6144.75</v>
      </c>
      <c r="M298" s="6">
        <v>1100.8800000000001</v>
      </c>
      <c r="N298" s="7">
        <v>3622.81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12172.65</v>
      </c>
      <c r="U298" s="6">
        <v>10868.44</v>
      </c>
      <c r="V298" s="6">
        <v>217.37</v>
      </c>
      <c r="AI298" s="2">
        <v>344105.75</v>
      </c>
      <c r="AJ298" s="2">
        <v>61649</v>
      </c>
      <c r="AK298" s="2">
        <v>6144.75</v>
      </c>
      <c r="AL298" s="2">
        <v>1100.8800000000001</v>
      </c>
      <c r="AM298" s="5">
        <v>3622.81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12172.65</v>
      </c>
      <c r="AT298" s="12">
        <v>10868.44</v>
      </c>
      <c r="AU298" s="2">
        <v>217.37</v>
      </c>
      <c r="BL298" s="1" t="s">
        <v>90</v>
      </c>
    </row>
    <row r="299" spans="1:64" x14ac:dyDescent="0.3">
      <c r="A299" t="s">
        <v>836</v>
      </c>
      <c r="B299" s="1" t="s">
        <v>840</v>
      </c>
      <c r="C299" s="9" t="s">
        <v>841</v>
      </c>
      <c r="D299" s="1" t="s">
        <v>44</v>
      </c>
      <c r="E299" s="1" t="s">
        <v>88</v>
      </c>
      <c r="F299" s="10" t="s">
        <v>181</v>
      </c>
      <c r="G299" s="1">
        <v>0</v>
      </c>
      <c r="H299" s="1">
        <v>0.02</v>
      </c>
      <c r="I299" s="8">
        <v>45641</v>
      </c>
      <c r="J299" s="6">
        <v>92627</v>
      </c>
      <c r="K299" s="6">
        <v>15752</v>
      </c>
      <c r="L299" s="6">
        <v>1654.05</v>
      </c>
      <c r="M299" s="6">
        <v>281.29000000000002</v>
      </c>
      <c r="N299" s="7">
        <v>967.67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3251.37</v>
      </c>
      <c r="U299" s="6">
        <v>2903.0099999999998</v>
      </c>
      <c r="V299" s="6">
        <v>58.06</v>
      </c>
      <c r="AI299" s="2">
        <v>92627</v>
      </c>
      <c r="AJ299" s="2">
        <v>15752</v>
      </c>
      <c r="AK299" s="2">
        <v>1654.05</v>
      </c>
      <c r="AL299" s="2">
        <v>281.29000000000002</v>
      </c>
      <c r="AM299" s="5">
        <v>967.67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3251.37</v>
      </c>
      <c r="AT299" s="12">
        <v>2903.0099999999998</v>
      </c>
      <c r="AU299" s="2">
        <v>58.06</v>
      </c>
      <c r="BL299" s="1" t="s">
        <v>90</v>
      </c>
    </row>
    <row r="300" spans="1:64" x14ac:dyDescent="0.3">
      <c r="A300" t="s">
        <v>842</v>
      </c>
      <c r="B300" s="1" t="s">
        <v>842</v>
      </c>
      <c r="C300" s="9" t="s">
        <v>843</v>
      </c>
      <c r="D300" s="1" t="s">
        <v>44</v>
      </c>
      <c r="E300" s="1" t="s">
        <v>88</v>
      </c>
      <c r="F300" s="10" t="s">
        <v>178</v>
      </c>
      <c r="G300" s="1">
        <v>0</v>
      </c>
      <c r="H300" s="1">
        <v>0.02</v>
      </c>
      <c r="I300" s="8">
        <v>44878</v>
      </c>
      <c r="J300" s="6">
        <v>403820.5</v>
      </c>
      <c r="K300" s="6">
        <v>116760</v>
      </c>
      <c r="L300" s="6">
        <v>7211.08</v>
      </c>
      <c r="M300" s="6">
        <v>2085</v>
      </c>
      <c r="N300" s="7">
        <v>4648.04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15617.41</v>
      </c>
      <c r="U300" s="6">
        <v>13944.119999999999</v>
      </c>
      <c r="V300" s="6">
        <v>278.88</v>
      </c>
      <c r="AI300" s="2">
        <v>403820.5</v>
      </c>
      <c r="AJ300" s="2">
        <v>116760</v>
      </c>
      <c r="AK300" s="2">
        <v>7211.08</v>
      </c>
      <c r="AL300" s="2">
        <v>2085</v>
      </c>
      <c r="AM300" s="5">
        <v>4648.04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15617.41</v>
      </c>
      <c r="AT300" s="12">
        <v>13944.119999999999</v>
      </c>
      <c r="AU300" s="2">
        <v>278.88</v>
      </c>
      <c r="BL300" s="1" t="s">
        <v>90</v>
      </c>
    </row>
    <row r="301" spans="1:64" x14ac:dyDescent="0.3">
      <c r="A301" t="s">
        <v>846</v>
      </c>
      <c r="B301" s="1" t="s">
        <v>846</v>
      </c>
      <c r="C301" s="9" t="s">
        <v>847</v>
      </c>
      <c r="D301" s="1" t="s">
        <v>44</v>
      </c>
      <c r="E301" s="1" t="s">
        <v>88</v>
      </c>
      <c r="F301" s="10" t="s">
        <v>848</v>
      </c>
      <c r="G301" s="1">
        <v>0</v>
      </c>
      <c r="H301" s="1">
        <v>0.02</v>
      </c>
      <c r="I301" s="8">
        <v>44009</v>
      </c>
      <c r="J301" s="6">
        <v>212544</v>
      </c>
      <c r="K301" s="6">
        <v>42314</v>
      </c>
      <c r="L301" s="6">
        <v>3795.43</v>
      </c>
      <c r="M301" s="6">
        <v>755.61</v>
      </c>
      <c r="N301" s="7">
        <v>2275.52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7645.75</v>
      </c>
      <c r="U301" s="6">
        <v>6826.5599999999995</v>
      </c>
      <c r="V301" s="6">
        <v>136.53</v>
      </c>
      <c r="AI301" s="2">
        <v>212544</v>
      </c>
      <c r="AJ301" s="2">
        <v>42314</v>
      </c>
      <c r="AK301" s="2">
        <v>3795.43</v>
      </c>
      <c r="AL301" s="2">
        <v>755.61</v>
      </c>
      <c r="AM301" s="5">
        <v>2275.52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7645.75</v>
      </c>
      <c r="AT301" s="12">
        <v>6826.5599999999995</v>
      </c>
      <c r="AU301" s="2">
        <v>136.53</v>
      </c>
      <c r="BL301" s="1" t="s">
        <v>90</v>
      </c>
    </row>
    <row r="302" spans="1:64" x14ac:dyDescent="0.3">
      <c r="A302" t="s">
        <v>851</v>
      </c>
      <c r="B302" s="1" t="s">
        <v>851</v>
      </c>
      <c r="C302" s="9" t="s">
        <v>852</v>
      </c>
      <c r="D302" s="1" t="s">
        <v>44</v>
      </c>
      <c r="E302" s="1" t="s">
        <v>88</v>
      </c>
      <c r="F302" s="10" t="s">
        <v>853</v>
      </c>
      <c r="G302" s="1">
        <v>2.5000000000000001E-2</v>
      </c>
      <c r="H302" s="1">
        <v>0.02</v>
      </c>
      <c r="I302" s="8">
        <v>45716</v>
      </c>
      <c r="J302" s="6">
        <v>215923.45</v>
      </c>
      <c r="K302" s="6">
        <v>93971</v>
      </c>
      <c r="L302" s="6">
        <v>3855.78</v>
      </c>
      <c r="M302" s="6">
        <v>1678.05</v>
      </c>
      <c r="N302" s="7">
        <v>2766.91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9296.83</v>
      </c>
      <c r="U302" s="6">
        <v>8300.74</v>
      </c>
      <c r="V302" s="6">
        <v>166.01</v>
      </c>
      <c r="AI302" s="2">
        <v>215923.45</v>
      </c>
      <c r="AJ302" s="2">
        <v>93971</v>
      </c>
      <c r="AK302" s="2">
        <v>3855.78</v>
      </c>
      <c r="AL302" s="2">
        <v>1678.05</v>
      </c>
      <c r="AM302" s="5">
        <v>2766.91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9296.83</v>
      </c>
      <c r="AT302" s="12">
        <v>8300.74</v>
      </c>
      <c r="AU302" s="2">
        <v>166.01</v>
      </c>
      <c r="BL302" s="1" t="s">
        <v>90</v>
      </c>
    </row>
    <row r="303" spans="1:64" x14ac:dyDescent="0.3">
      <c r="A303" t="s">
        <v>854</v>
      </c>
      <c r="B303" s="1" t="s">
        <v>854</v>
      </c>
      <c r="C303" s="9" t="s">
        <v>855</v>
      </c>
      <c r="D303" s="1" t="s">
        <v>44</v>
      </c>
      <c r="E303" s="1" t="s">
        <v>88</v>
      </c>
      <c r="F303" s="10" t="s">
        <v>853</v>
      </c>
      <c r="G303" s="1">
        <v>0</v>
      </c>
      <c r="H303" s="1">
        <v>0.02</v>
      </c>
      <c r="I303" s="8">
        <v>45716</v>
      </c>
      <c r="J303" s="6">
        <v>164324</v>
      </c>
      <c r="K303" s="6">
        <v>41491</v>
      </c>
      <c r="L303" s="6">
        <v>2934.36</v>
      </c>
      <c r="M303" s="6">
        <v>740.91</v>
      </c>
      <c r="N303" s="7">
        <v>1837.63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6174.45</v>
      </c>
      <c r="U303" s="6">
        <v>5512.9</v>
      </c>
      <c r="V303" s="6">
        <v>110.26</v>
      </c>
      <c r="AI303" s="2">
        <v>164324</v>
      </c>
      <c r="AJ303" s="2">
        <v>41491</v>
      </c>
      <c r="AK303" s="2">
        <v>2934.36</v>
      </c>
      <c r="AL303" s="2">
        <v>740.91</v>
      </c>
      <c r="AM303" s="5">
        <v>1837.63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6174.45</v>
      </c>
      <c r="AT303" s="12">
        <v>5512.9</v>
      </c>
      <c r="AU303" s="2">
        <v>110.26</v>
      </c>
      <c r="BL303" s="1" t="s">
        <v>90</v>
      </c>
    </row>
    <row r="304" spans="1:64" x14ac:dyDescent="0.3">
      <c r="A304" t="s">
        <v>856</v>
      </c>
      <c r="B304" s="1" t="s">
        <v>856</v>
      </c>
      <c r="C304" s="9" t="s">
        <v>857</v>
      </c>
      <c r="D304" s="1" t="s">
        <v>44</v>
      </c>
      <c r="E304" s="1" t="s">
        <v>88</v>
      </c>
      <c r="F304" s="10" t="s">
        <v>848</v>
      </c>
      <c r="G304" s="1">
        <v>2.5000000000000001E-2</v>
      </c>
      <c r="H304" s="1">
        <v>0.02</v>
      </c>
      <c r="I304" s="8">
        <v>44051</v>
      </c>
      <c r="J304" s="6">
        <v>224683</v>
      </c>
      <c r="K304" s="6">
        <v>94243</v>
      </c>
      <c r="L304" s="6">
        <v>4012.2</v>
      </c>
      <c r="M304" s="6">
        <v>1682.91</v>
      </c>
      <c r="N304" s="7">
        <v>2847.55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9567.7800000000007</v>
      </c>
      <c r="U304" s="6">
        <v>8542.66</v>
      </c>
      <c r="V304" s="6">
        <v>170.85</v>
      </c>
      <c r="AI304" s="2">
        <v>224683</v>
      </c>
      <c r="AJ304" s="2">
        <v>94243</v>
      </c>
      <c r="AK304" s="2">
        <v>4012.2</v>
      </c>
      <c r="AL304" s="2">
        <v>1682.91</v>
      </c>
      <c r="AM304" s="5">
        <v>2847.55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9567.7800000000007</v>
      </c>
      <c r="AT304" s="12">
        <v>8542.66</v>
      </c>
      <c r="AU304" s="2">
        <v>170.85</v>
      </c>
      <c r="BL304" s="1" t="s">
        <v>90</v>
      </c>
    </row>
    <row r="305" spans="1:64" x14ac:dyDescent="0.3">
      <c r="A305" t="s">
        <v>858</v>
      </c>
      <c r="B305" s="1" t="s">
        <v>858</v>
      </c>
      <c r="C305" s="9" t="s">
        <v>859</v>
      </c>
      <c r="D305" s="1" t="s">
        <v>44</v>
      </c>
      <c r="E305" s="1" t="s">
        <v>88</v>
      </c>
      <c r="F305" s="10" t="s">
        <v>848</v>
      </c>
      <c r="G305" s="1">
        <v>2.5000000000000001E-2</v>
      </c>
      <c r="H305" s="1">
        <v>0.02</v>
      </c>
      <c r="I305" s="8">
        <v>44054</v>
      </c>
      <c r="J305" s="6">
        <v>235271</v>
      </c>
      <c r="K305" s="6">
        <v>38111</v>
      </c>
      <c r="L305" s="6">
        <v>4201.2700000000004</v>
      </c>
      <c r="M305" s="6">
        <v>680.55</v>
      </c>
      <c r="N305" s="7">
        <v>2440.91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8201.4599999999991</v>
      </c>
      <c r="U305" s="6">
        <v>7322.7300000000005</v>
      </c>
      <c r="V305" s="6">
        <v>146.44999999999999</v>
      </c>
      <c r="AI305" s="2">
        <v>235271</v>
      </c>
      <c r="AJ305" s="2">
        <v>38111</v>
      </c>
      <c r="AK305" s="2">
        <v>4201.2700000000004</v>
      </c>
      <c r="AL305" s="2">
        <v>680.55</v>
      </c>
      <c r="AM305" s="5">
        <v>2440.91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8201.4599999999991</v>
      </c>
      <c r="AT305" s="12">
        <v>7322.7300000000005</v>
      </c>
      <c r="AU305" s="2">
        <v>146.44999999999999</v>
      </c>
      <c r="BL305" s="1" t="s">
        <v>90</v>
      </c>
    </row>
    <row r="306" spans="1:64" x14ac:dyDescent="0.3">
      <c r="A306" t="s">
        <v>862</v>
      </c>
      <c r="B306" s="1" t="s">
        <v>862</v>
      </c>
      <c r="C306" s="9" t="s">
        <v>863</v>
      </c>
      <c r="D306" s="1" t="s">
        <v>44</v>
      </c>
      <c r="E306" s="1" t="s">
        <v>88</v>
      </c>
      <c r="F306" s="10" t="s">
        <v>848</v>
      </c>
      <c r="G306" s="1">
        <v>3.5000000000000003E-2</v>
      </c>
      <c r="H306" s="1">
        <v>0.02</v>
      </c>
      <c r="I306" s="8">
        <v>44009</v>
      </c>
      <c r="J306" s="6">
        <v>147857</v>
      </c>
      <c r="K306" s="6">
        <v>29520</v>
      </c>
      <c r="L306" s="6">
        <v>2640.3</v>
      </c>
      <c r="M306" s="6">
        <v>527.14</v>
      </c>
      <c r="N306" s="7">
        <v>1583.72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5321.3</v>
      </c>
      <c r="U306" s="6">
        <v>4751.16</v>
      </c>
      <c r="V306" s="6">
        <v>95.02</v>
      </c>
      <c r="AI306" s="2">
        <v>147857</v>
      </c>
      <c r="AJ306" s="2">
        <v>29520</v>
      </c>
      <c r="AK306" s="2">
        <v>2640.3</v>
      </c>
      <c r="AL306" s="2">
        <v>527.14</v>
      </c>
      <c r="AM306" s="5">
        <v>1583.72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5321.3</v>
      </c>
      <c r="AT306" s="12">
        <v>4751.16</v>
      </c>
      <c r="AU306" s="2">
        <v>95.02</v>
      </c>
      <c r="BL306" s="1" t="s">
        <v>90</v>
      </c>
    </row>
    <row r="307" spans="1:64" x14ac:dyDescent="0.3">
      <c r="A307" t="s">
        <v>864</v>
      </c>
      <c r="B307" s="1" t="s">
        <v>864</v>
      </c>
      <c r="C307" s="9" t="s">
        <v>865</v>
      </c>
      <c r="D307" s="1" t="s">
        <v>44</v>
      </c>
      <c r="E307" s="1" t="s">
        <v>88</v>
      </c>
      <c r="F307" s="10" t="s">
        <v>853</v>
      </c>
      <c r="G307" s="1">
        <v>2.5000000000000001E-2</v>
      </c>
      <c r="H307" s="1">
        <v>0.02</v>
      </c>
      <c r="I307" s="8">
        <v>44204</v>
      </c>
      <c r="J307" s="6">
        <v>125180</v>
      </c>
      <c r="K307" s="6">
        <v>54345</v>
      </c>
      <c r="L307" s="6">
        <v>2235.36</v>
      </c>
      <c r="M307" s="6">
        <v>970.45</v>
      </c>
      <c r="N307" s="7">
        <v>1602.9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5385.76</v>
      </c>
      <c r="U307" s="6">
        <v>4808.7100000000009</v>
      </c>
      <c r="V307" s="6">
        <v>96.17</v>
      </c>
      <c r="AI307" s="2">
        <v>125180</v>
      </c>
      <c r="AJ307" s="2">
        <v>54345</v>
      </c>
      <c r="AK307" s="2">
        <v>2235.36</v>
      </c>
      <c r="AL307" s="2">
        <v>970.45</v>
      </c>
      <c r="AM307" s="5">
        <v>1602.9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5385.76</v>
      </c>
      <c r="AT307" s="12">
        <v>4808.7100000000009</v>
      </c>
      <c r="AU307" s="2">
        <v>96.17</v>
      </c>
      <c r="BL307" s="1" t="s">
        <v>90</v>
      </c>
    </row>
    <row r="308" spans="1:64" x14ac:dyDescent="0.3">
      <c r="A308" t="s">
        <v>866</v>
      </c>
      <c r="B308" s="1" t="s">
        <v>866</v>
      </c>
      <c r="C308" s="9" t="s">
        <v>867</v>
      </c>
      <c r="D308" s="1" t="s">
        <v>44</v>
      </c>
      <c r="E308" s="1" t="s">
        <v>88</v>
      </c>
      <c r="F308" s="10" t="s">
        <v>853</v>
      </c>
      <c r="G308" s="1">
        <v>3.5000000000000003E-2</v>
      </c>
      <c r="H308" s="1">
        <v>0.02</v>
      </c>
      <c r="I308" s="8">
        <v>44661</v>
      </c>
      <c r="J308" s="6">
        <v>153512</v>
      </c>
      <c r="K308" s="6">
        <v>41524</v>
      </c>
      <c r="L308" s="6">
        <v>2741.29</v>
      </c>
      <c r="M308" s="6">
        <v>741.5</v>
      </c>
      <c r="N308" s="7">
        <v>1741.39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5851.08</v>
      </c>
      <c r="U308" s="6">
        <v>5224.18</v>
      </c>
      <c r="V308" s="6">
        <v>104.48</v>
      </c>
      <c r="AI308" s="2">
        <v>153512</v>
      </c>
      <c r="AJ308" s="2">
        <v>41524</v>
      </c>
      <c r="AK308" s="2">
        <v>2741.29</v>
      </c>
      <c r="AL308" s="2">
        <v>741.5</v>
      </c>
      <c r="AM308" s="5">
        <v>1741.39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5851.08</v>
      </c>
      <c r="AT308" s="12">
        <v>5224.18</v>
      </c>
      <c r="AU308" s="2">
        <v>104.48</v>
      </c>
      <c r="BL308" s="1" t="s">
        <v>90</v>
      </c>
    </row>
    <row r="309" spans="1:64" x14ac:dyDescent="0.3">
      <c r="A309" t="s">
        <v>868</v>
      </c>
      <c r="B309" s="1" t="s">
        <v>868</v>
      </c>
      <c r="C309" s="9" t="s">
        <v>869</v>
      </c>
      <c r="D309" s="1" t="s">
        <v>44</v>
      </c>
      <c r="E309" s="1" t="s">
        <v>88</v>
      </c>
      <c r="F309" s="10" t="s">
        <v>188</v>
      </c>
      <c r="G309" s="1">
        <v>3.5000000000000003E-2</v>
      </c>
      <c r="H309" s="1">
        <v>0.02</v>
      </c>
      <c r="I309" s="8">
        <v>44755</v>
      </c>
      <c r="J309" s="6">
        <v>124538</v>
      </c>
      <c r="K309" s="6">
        <v>52325</v>
      </c>
      <c r="L309" s="6">
        <v>2223.89</v>
      </c>
      <c r="M309" s="6">
        <v>934.37</v>
      </c>
      <c r="N309" s="7">
        <v>1579.13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5305.88</v>
      </c>
      <c r="U309" s="6">
        <v>4737.3899999999994</v>
      </c>
      <c r="V309" s="6">
        <v>94.75</v>
      </c>
      <c r="AI309" s="2">
        <v>124538</v>
      </c>
      <c r="AJ309" s="2">
        <v>52325</v>
      </c>
      <c r="AK309" s="2">
        <v>2223.89</v>
      </c>
      <c r="AL309" s="2">
        <v>934.37</v>
      </c>
      <c r="AM309" s="5">
        <v>1579.13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5305.88</v>
      </c>
      <c r="AT309" s="12">
        <v>4737.3899999999994</v>
      </c>
      <c r="AU309" s="2">
        <v>94.75</v>
      </c>
      <c r="BL309" s="1" t="s">
        <v>90</v>
      </c>
    </row>
    <row r="310" spans="1:64" x14ac:dyDescent="0.3">
      <c r="A310" t="s">
        <v>870</v>
      </c>
      <c r="B310" s="1" t="s">
        <v>870</v>
      </c>
      <c r="C310" s="9" t="s">
        <v>871</v>
      </c>
      <c r="D310" s="1" t="s">
        <v>44</v>
      </c>
      <c r="E310" s="1" t="s">
        <v>88</v>
      </c>
      <c r="F310" s="10" t="s">
        <v>101</v>
      </c>
      <c r="G310" s="1">
        <v>3.5000000000000003E-2</v>
      </c>
      <c r="H310" s="1">
        <v>0.02</v>
      </c>
      <c r="I310" s="8">
        <v>45003</v>
      </c>
      <c r="J310" s="6">
        <v>595481.09</v>
      </c>
      <c r="K310" s="6">
        <v>94861</v>
      </c>
      <c r="L310" s="6">
        <v>10633.59</v>
      </c>
      <c r="M310" s="6">
        <v>1693.95</v>
      </c>
      <c r="N310" s="7">
        <v>6163.77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20710.27</v>
      </c>
      <c r="U310" s="6">
        <v>18491.310000000001</v>
      </c>
      <c r="V310" s="6">
        <v>369.83</v>
      </c>
      <c r="AI310" s="2">
        <v>595481.09</v>
      </c>
      <c r="AJ310" s="2">
        <v>94861</v>
      </c>
      <c r="AK310" s="2">
        <v>10633.59</v>
      </c>
      <c r="AL310" s="2">
        <v>1693.95</v>
      </c>
      <c r="AM310" s="5">
        <v>6163.77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20710.27</v>
      </c>
      <c r="AT310" s="12">
        <v>18491.310000000001</v>
      </c>
      <c r="AU310" s="2">
        <v>369.83</v>
      </c>
      <c r="BL310" s="1" t="s">
        <v>90</v>
      </c>
    </row>
    <row r="311" spans="1:64" x14ac:dyDescent="0.3">
      <c r="A311" t="s">
        <v>872</v>
      </c>
      <c r="B311" s="1" t="s">
        <v>872</v>
      </c>
      <c r="C311" s="9" t="s">
        <v>873</v>
      </c>
      <c r="D311" s="1" t="s">
        <v>44</v>
      </c>
      <c r="E311" s="1" t="s">
        <v>88</v>
      </c>
      <c r="F311" s="10" t="s">
        <v>89</v>
      </c>
      <c r="G311" s="1">
        <v>2.5000000000000001E-2</v>
      </c>
      <c r="H311" s="1">
        <v>0.02</v>
      </c>
      <c r="I311" s="8">
        <v>44424</v>
      </c>
      <c r="J311" s="6">
        <v>226324.85</v>
      </c>
      <c r="K311" s="6">
        <v>140504.75</v>
      </c>
      <c r="L311" s="6">
        <v>4041.52</v>
      </c>
      <c r="M311" s="6">
        <v>2509.02</v>
      </c>
      <c r="N311" s="7">
        <v>3275.27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11004.91</v>
      </c>
      <c r="U311" s="6">
        <v>9825.81</v>
      </c>
      <c r="V311" s="6">
        <v>196.52</v>
      </c>
      <c r="AI311" s="2">
        <v>226324.85</v>
      </c>
      <c r="AJ311" s="2">
        <v>140504.75</v>
      </c>
      <c r="AK311" s="2">
        <v>4041.52</v>
      </c>
      <c r="AL311" s="2">
        <v>2509.02</v>
      </c>
      <c r="AM311" s="5">
        <v>3275.27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11004.91</v>
      </c>
      <c r="AT311" s="12">
        <v>9825.81</v>
      </c>
      <c r="AU311" s="2">
        <v>196.52</v>
      </c>
      <c r="BL311" s="1" t="s">
        <v>90</v>
      </c>
    </row>
    <row r="312" spans="1:64" x14ac:dyDescent="0.3">
      <c r="A312" t="s">
        <v>872</v>
      </c>
      <c r="B312" s="1" t="s">
        <v>874</v>
      </c>
      <c r="C312" s="9" t="s">
        <v>875</v>
      </c>
      <c r="D312" s="1" t="s">
        <v>44</v>
      </c>
      <c r="E312" s="1" t="s">
        <v>88</v>
      </c>
      <c r="F312" s="10" t="s">
        <v>89</v>
      </c>
      <c r="G312" s="1">
        <v>0</v>
      </c>
      <c r="H312" s="1">
        <v>0.02</v>
      </c>
      <c r="I312" s="8">
        <v>44424</v>
      </c>
      <c r="J312" s="6">
        <v>254417</v>
      </c>
      <c r="K312" s="6">
        <v>103301</v>
      </c>
      <c r="L312" s="6">
        <v>4543.16</v>
      </c>
      <c r="M312" s="6">
        <v>1844.66</v>
      </c>
      <c r="N312" s="7">
        <v>3193.91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10731.54</v>
      </c>
      <c r="U312" s="6">
        <v>9581.73</v>
      </c>
      <c r="V312" s="6">
        <v>191.63</v>
      </c>
      <c r="AI312" s="2">
        <v>254417</v>
      </c>
      <c r="AJ312" s="2">
        <v>103301</v>
      </c>
      <c r="AK312" s="2">
        <v>4543.16</v>
      </c>
      <c r="AL312" s="2">
        <v>1844.66</v>
      </c>
      <c r="AM312" s="5">
        <v>3193.91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10731.54</v>
      </c>
      <c r="AT312" s="12">
        <v>9581.73</v>
      </c>
      <c r="AU312" s="2">
        <v>191.63</v>
      </c>
      <c r="BL312" s="1" t="s">
        <v>90</v>
      </c>
    </row>
    <row r="313" spans="1:64" x14ac:dyDescent="0.3">
      <c r="A313" t="s">
        <v>872</v>
      </c>
      <c r="B313" s="1" t="s">
        <v>876</v>
      </c>
      <c r="C313" s="9" t="s">
        <v>877</v>
      </c>
      <c r="D313" s="1" t="s">
        <v>44</v>
      </c>
      <c r="E313" s="1" t="s">
        <v>88</v>
      </c>
      <c r="F313" s="10" t="s">
        <v>89</v>
      </c>
      <c r="G313" s="1">
        <v>0</v>
      </c>
      <c r="H313" s="1">
        <v>0.02</v>
      </c>
      <c r="I313" s="8">
        <v>44424</v>
      </c>
      <c r="J313" s="6">
        <v>221714</v>
      </c>
      <c r="K313" s="6">
        <v>106942</v>
      </c>
      <c r="L313" s="6">
        <v>3959.18</v>
      </c>
      <c r="M313" s="6">
        <v>1909.68</v>
      </c>
      <c r="N313" s="7">
        <v>2934.43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9859.68</v>
      </c>
      <c r="U313" s="6">
        <v>8803.2899999999991</v>
      </c>
      <c r="V313" s="6">
        <v>176.07</v>
      </c>
      <c r="AI313" s="2">
        <v>221714</v>
      </c>
      <c r="AJ313" s="2">
        <v>106942</v>
      </c>
      <c r="AK313" s="2">
        <v>3959.18</v>
      </c>
      <c r="AL313" s="2">
        <v>1909.68</v>
      </c>
      <c r="AM313" s="5">
        <v>2934.43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9859.68</v>
      </c>
      <c r="AT313" s="12">
        <v>8803.2899999999991</v>
      </c>
      <c r="AU313" s="2">
        <v>176.07</v>
      </c>
      <c r="BL313" s="1" t="s">
        <v>90</v>
      </c>
    </row>
    <row r="314" spans="1:64" x14ac:dyDescent="0.3">
      <c r="A314" t="s">
        <v>878</v>
      </c>
      <c r="B314" s="1" t="s">
        <v>878</v>
      </c>
      <c r="C314" s="9" t="s">
        <v>879</v>
      </c>
      <c r="D314" s="1" t="s">
        <v>44</v>
      </c>
      <c r="E314" s="1" t="s">
        <v>88</v>
      </c>
      <c r="F314" s="10" t="s">
        <v>848</v>
      </c>
      <c r="G314" s="1">
        <v>2.5000000000000001E-2</v>
      </c>
      <c r="H314" s="1">
        <v>0.02</v>
      </c>
      <c r="I314" s="8">
        <v>44228</v>
      </c>
      <c r="J314" s="6">
        <v>261356</v>
      </c>
      <c r="K314" s="6">
        <v>115373</v>
      </c>
      <c r="L314" s="6">
        <v>4667.07</v>
      </c>
      <c r="M314" s="6">
        <v>2060.23</v>
      </c>
      <c r="N314" s="7">
        <v>3363.65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11301.86</v>
      </c>
      <c r="U314" s="6">
        <v>10090.949999999999</v>
      </c>
      <c r="V314" s="6">
        <v>201.82</v>
      </c>
      <c r="AI314" s="2">
        <v>261356</v>
      </c>
      <c r="AJ314" s="2">
        <v>115373</v>
      </c>
      <c r="AK314" s="2">
        <v>4667.07</v>
      </c>
      <c r="AL314" s="2">
        <v>2060.23</v>
      </c>
      <c r="AM314" s="5">
        <v>3363.65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11301.86</v>
      </c>
      <c r="AT314" s="12">
        <v>10090.949999999999</v>
      </c>
      <c r="AU314" s="2">
        <v>201.82</v>
      </c>
      <c r="BL314" s="1" t="s">
        <v>90</v>
      </c>
    </row>
    <row r="315" spans="1:64" x14ac:dyDescent="0.3">
      <c r="A315" t="s">
        <v>880</v>
      </c>
      <c r="B315" s="1" t="s">
        <v>880</v>
      </c>
      <c r="C315" s="9" t="s">
        <v>881</v>
      </c>
      <c r="D315" s="1" t="s">
        <v>44</v>
      </c>
      <c r="E315" s="1" t="s">
        <v>88</v>
      </c>
      <c r="F315" s="10" t="s">
        <v>848</v>
      </c>
      <c r="G315" s="1">
        <v>3.5000000000000003E-2</v>
      </c>
      <c r="H315" s="1">
        <v>0.02</v>
      </c>
      <c r="I315" s="8">
        <v>45777</v>
      </c>
      <c r="J315" s="6">
        <v>236471</v>
      </c>
      <c r="K315" s="6">
        <v>62328</v>
      </c>
      <c r="L315" s="6">
        <v>7284.15</v>
      </c>
      <c r="M315" s="6">
        <v>1919.92</v>
      </c>
      <c r="N315" s="7">
        <v>2667.85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13296.55</v>
      </c>
      <c r="U315" s="6">
        <v>11871.92</v>
      </c>
      <c r="V315" s="6">
        <v>237.44</v>
      </c>
      <c r="AI315" s="2">
        <v>236471</v>
      </c>
      <c r="AJ315" s="2">
        <v>62328</v>
      </c>
      <c r="AK315" s="2">
        <v>7284.15</v>
      </c>
      <c r="AL315" s="2">
        <v>1919.92</v>
      </c>
      <c r="AM315" s="5">
        <v>2667.85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13296.55</v>
      </c>
      <c r="AT315" s="12">
        <v>11871.92</v>
      </c>
      <c r="AU315" s="2">
        <v>237.44</v>
      </c>
      <c r="BL315" s="1" t="s">
        <v>90</v>
      </c>
    </row>
    <row r="316" spans="1:64" x14ac:dyDescent="0.3">
      <c r="A316" t="s">
        <v>882</v>
      </c>
      <c r="B316" s="1" t="s">
        <v>882</v>
      </c>
      <c r="C316" s="9" t="s">
        <v>883</v>
      </c>
      <c r="D316" s="1" t="s">
        <v>44</v>
      </c>
      <c r="E316" s="1" t="s">
        <v>88</v>
      </c>
      <c r="F316" s="10" t="s">
        <v>853</v>
      </c>
      <c r="G316" s="1">
        <v>0</v>
      </c>
      <c r="H316" s="1">
        <v>0.02</v>
      </c>
      <c r="I316" s="8">
        <v>44009</v>
      </c>
      <c r="J316" s="6">
        <v>154804</v>
      </c>
      <c r="K316" s="6">
        <v>54859</v>
      </c>
      <c r="L316" s="6">
        <v>2764.36</v>
      </c>
      <c r="M316" s="6">
        <v>979.62</v>
      </c>
      <c r="N316" s="7">
        <v>1871.99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6289.89</v>
      </c>
      <c r="U316" s="6">
        <v>5615.97</v>
      </c>
      <c r="V316" s="6">
        <v>112.32</v>
      </c>
      <c r="AI316" s="2">
        <v>154804</v>
      </c>
      <c r="AJ316" s="2">
        <v>54859</v>
      </c>
      <c r="AK316" s="2">
        <v>2764.36</v>
      </c>
      <c r="AL316" s="2">
        <v>979.62</v>
      </c>
      <c r="AM316" s="5">
        <v>1871.99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6289.89</v>
      </c>
      <c r="AT316" s="12">
        <v>5615.97</v>
      </c>
      <c r="AU316" s="2">
        <v>112.32</v>
      </c>
      <c r="BL316" s="1" t="s">
        <v>90</v>
      </c>
    </row>
    <row r="317" spans="1:64" x14ac:dyDescent="0.3">
      <c r="A317" t="s">
        <v>884</v>
      </c>
      <c r="B317" s="1" t="s">
        <v>884</v>
      </c>
      <c r="C317" s="9" t="s">
        <v>885</v>
      </c>
      <c r="D317" s="1" t="s">
        <v>44</v>
      </c>
      <c r="E317" s="1" t="s">
        <v>88</v>
      </c>
      <c r="F317" s="10" t="s">
        <v>853</v>
      </c>
      <c r="G317" s="1">
        <v>0</v>
      </c>
      <c r="H317" s="1">
        <v>0.02</v>
      </c>
      <c r="I317" s="8">
        <v>44903</v>
      </c>
      <c r="J317" s="6">
        <v>196481</v>
      </c>
      <c r="K317" s="6">
        <v>79371</v>
      </c>
      <c r="L317" s="6">
        <v>3508.59</v>
      </c>
      <c r="M317" s="6">
        <v>1417.34</v>
      </c>
      <c r="N317" s="7">
        <v>2462.96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8275.56</v>
      </c>
      <c r="U317" s="6">
        <v>7388.89</v>
      </c>
      <c r="V317" s="6">
        <v>147.78</v>
      </c>
      <c r="AI317" s="2">
        <v>196481</v>
      </c>
      <c r="AJ317" s="2">
        <v>79371</v>
      </c>
      <c r="AK317" s="2">
        <v>3508.59</v>
      </c>
      <c r="AL317" s="2">
        <v>1417.34</v>
      </c>
      <c r="AM317" s="5">
        <v>2462.96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8275.56</v>
      </c>
      <c r="AT317" s="12">
        <v>7388.89</v>
      </c>
      <c r="AU317" s="2">
        <v>147.78</v>
      </c>
      <c r="BL317" s="1" t="s">
        <v>90</v>
      </c>
    </row>
    <row r="318" spans="1:64" x14ac:dyDescent="0.3">
      <c r="A318" t="s">
        <v>904</v>
      </c>
      <c r="B318" s="1" t="s">
        <v>904</v>
      </c>
      <c r="C318" s="9" t="s">
        <v>905</v>
      </c>
      <c r="D318" s="1" t="s">
        <v>44</v>
      </c>
      <c r="E318" s="1" t="s">
        <v>88</v>
      </c>
      <c r="F318" s="10" t="s">
        <v>853</v>
      </c>
      <c r="G318" s="1">
        <v>0</v>
      </c>
      <c r="H318" s="1">
        <v>0.02</v>
      </c>
      <c r="I318" s="8">
        <v>44903</v>
      </c>
      <c r="J318" s="6">
        <v>76289</v>
      </c>
      <c r="K318" s="6">
        <v>25242</v>
      </c>
      <c r="L318" s="6">
        <v>1362.3</v>
      </c>
      <c r="M318" s="6">
        <v>450.75</v>
      </c>
      <c r="N318" s="7">
        <v>906.53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3045.93</v>
      </c>
      <c r="U318" s="6">
        <v>2719.58</v>
      </c>
      <c r="V318" s="6">
        <v>54.39</v>
      </c>
      <c r="AI318" s="2">
        <v>76289</v>
      </c>
      <c r="AJ318" s="2">
        <v>25242</v>
      </c>
      <c r="AK318" s="2">
        <v>1362.3</v>
      </c>
      <c r="AL318" s="2">
        <v>450.75</v>
      </c>
      <c r="AM318" s="5">
        <v>906.53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3045.93</v>
      </c>
      <c r="AT318" s="12">
        <v>2719.58</v>
      </c>
      <c r="AU318" s="2">
        <v>54.39</v>
      </c>
      <c r="BL318" s="1" t="s">
        <v>90</v>
      </c>
    </row>
    <row r="319" spans="1:64" x14ac:dyDescent="0.3">
      <c r="A319" t="s">
        <v>906</v>
      </c>
      <c r="B319" s="1" t="s">
        <v>906</v>
      </c>
      <c r="C319" s="9" t="s">
        <v>907</v>
      </c>
      <c r="D319" s="1" t="s">
        <v>44</v>
      </c>
      <c r="E319" s="1" t="s">
        <v>88</v>
      </c>
      <c r="F319" s="10" t="s">
        <v>178</v>
      </c>
      <c r="G319" s="1">
        <v>0</v>
      </c>
      <c r="H319" s="1">
        <v>0.02</v>
      </c>
      <c r="I319" s="8">
        <v>45638</v>
      </c>
      <c r="J319" s="6">
        <v>405390</v>
      </c>
      <c r="K319" s="6">
        <v>126670</v>
      </c>
      <c r="L319" s="6">
        <v>7239.11</v>
      </c>
      <c r="M319" s="6">
        <v>2261.96</v>
      </c>
      <c r="N319" s="7">
        <v>4750.54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15961.8</v>
      </c>
      <c r="U319" s="6">
        <v>14251.61</v>
      </c>
      <c r="V319" s="6">
        <v>285.02999999999997</v>
      </c>
      <c r="AI319" s="2">
        <v>405390</v>
      </c>
      <c r="AJ319" s="2">
        <v>126670</v>
      </c>
      <c r="AK319" s="2">
        <v>7239.11</v>
      </c>
      <c r="AL319" s="2">
        <v>2261.96</v>
      </c>
      <c r="AM319" s="5">
        <v>4750.54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15961.8</v>
      </c>
      <c r="AT319" s="12">
        <v>14251.61</v>
      </c>
      <c r="AU319" s="2">
        <v>285.02999999999997</v>
      </c>
      <c r="BL319" s="1" t="s">
        <v>90</v>
      </c>
    </row>
    <row r="320" spans="1:64" x14ac:dyDescent="0.3">
      <c r="A320" t="s">
        <v>910</v>
      </c>
      <c r="B320" s="1" t="s">
        <v>910</v>
      </c>
      <c r="C320" s="9" t="s">
        <v>911</v>
      </c>
      <c r="D320" s="1" t="s">
        <v>44</v>
      </c>
      <c r="E320" s="1" t="s">
        <v>88</v>
      </c>
      <c r="F320" s="10" t="s">
        <v>848</v>
      </c>
      <c r="G320" s="1">
        <v>0</v>
      </c>
      <c r="H320" s="1">
        <v>0.02</v>
      </c>
      <c r="I320" s="8">
        <v>45561</v>
      </c>
      <c r="J320" s="6">
        <v>132086</v>
      </c>
      <c r="K320" s="6">
        <v>65255</v>
      </c>
      <c r="L320" s="6">
        <v>2358.6799999999998</v>
      </c>
      <c r="M320" s="6">
        <v>1165.27</v>
      </c>
      <c r="N320" s="7">
        <v>1761.97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5920.23</v>
      </c>
      <c r="U320" s="6">
        <v>5285.92</v>
      </c>
      <c r="V320" s="6">
        <v>105.72</v>
      </c>
      <c r="AI320" s="2">
        <v>132086</v>
      </c>
      <c r="AJ320" s="2">
        <v>65255</v>
      </c>
      <c r="AK320" s="2">
        <v>2358.6799999999998</v>
      </c>
      <c r="AL320" s="2">
        <v>1165.27</v>
      </c>
      <c r="AM320" s="5">
        <v>1761.97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5920.23</v>
      </c>
      <c r="AT320" s="12">
        <v>5285.92</v>
      </c>
      <c r="AU320" s="2">
        <v>105.72</v>
      </c>
      <c r="BL320" s="1" t="s">
        <v>90</v>
      </c>
    </row>
    <row r="321" spans="1:64" x14ac:dyDescent="0.3">
      <c r="A321" t="s">
        <v>936</v>
      </c>
      <c r="B321" s="1" t="s">
        <v>936</v>
      </c>
      <c r="C321" s="9" t="s">
        <v>937</v>
      </c>
      <c r="D321" s="1" t="s">
        <v>44</v>
      </c>
      <c r="E321" s="1" t="s">
        <v>88</v>
      </c>
      <c r="F321" s="10" t="s">
        <v>848</v>
      </c>
      <c r="G321" s="1">
        <v>0</v>
      </c>
      <c r="H321" s="1">
        <v>0.02</v>
      </c>
      <c r="I321" s="8">
        <v>44009</v>
      </c>
      <c r="J321" s="6">
        <v>152886</v>
      </c>
      <c r="K321" s="6">
        <v>54710</v>
      </c>
      <c r="L321" s="6">
        <v>2730.11</v>
      </c>
      <c r="M321" s="6">
        <v>976.96</v>
      </c>
      <c r="N321" s="7">
        <v>1853.54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6227.88</v>
      </c>
      <c r="U321" s="6">
        <v>5560.6100000000006</v>
      </c>
      <c r="V321" s="6">
        <v>111.21</v>
      </c>
      <c r="AI321" s="2">
        <v>152886</v>
      </c>
      <c r="AJ321" s="2">
        <v>54710</v>
      </c>
      <c r="AK321" s="2">
        <v>2730.11</v>
      </c>
      <c r="AL321" s="2">
        <v>976.96</v>
      </c>
      <c r="AM321" s="5">
        <v>1853.54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6227.88</v>
      </c>
      <c r="AT321" s="12">
        <v>5560.6100000000006</v>
      </c>
      <c r="AU321" s="2">
        <v>111.21</v>
      </c>
      <c r="BL321" s="1" t="s">
        <v>90</v>
      </c>
    </row>
    <row r="322" spans="1:64" x14ac:dyDescent="0.3">
      <c r="A322" t="s">
        <v>956</v>
      </c>
      <c r="B322" s="1" t="s">
        <v>956</v>
      </c>
      <c r="C322" s="9" t="s">
        <v>957</v>
      </c>
      <c r="D322" s="1" t="s">
        <v>44</v>
      </c>
      <c r="E322" s="1" t="s">
        <v>88</v>
      </c>
      <c r="F322" s="10" t="s">
        <v>848</v>
      </c>
      <c r="G322" s="1">
        <v>0</v>
      </c>
      <c r="H322" s="1">
        <v>0.02</v>
      </c>
      <c r="I322" s="8">
        <v>44520</v>
      </c>
      <c r="J322" s="6">
        <v>205767</v>
      </c>
      <c r="K322" s="6">
        <v>53272</v>
      </c>
      <c r="L322" s="6">
        <v>3674.41</v>
      </c>
      <c r="M322" s="6">
        <v>951.29</v>
      </c>
      <c r="N322" s="7">
        <v>2312.85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7771.18</v>
      </c>
      <c r="U322" s="6">
        <v>6938.5499999999993</v>
      </c>
      <c r="V322" s="6">
        <v>138.77000000000001</v>
      </c>
      <c r="AI322" s="2">
        <v>205767</v>
      </c>
      <c r="AJ322" s="2">
        <v>53272</v>
      </c>
      <c r="AK322" s="2">
        <v>3674.41</v>
      </c>
      <c r="AL322" s="2">
        <v>951.29</v>
      </c>
      <c r="AM322" s="5">
        <v>2312.85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7771.18</v>
      </c>
      <c r="AT322" s="12">
        <v>6938.5499999999993</v>
      </c>
      <c r="AU322" s="2">
        <v>138.77000000000001</v>
      </c>
      <c r="BL322" s="1" t="s">
        <v>90</v>
      </c>
    </row>
    <row r="323" spans="1:64" x14ac:dyDescent="0.3">
      <c r="A323" t="s">
        <v>962</v>
      </c>
      <c r="B323" s="1" t="s">
        <v>962</v>
      </c>
      <c r="C323" s="9" t="s">
        <v>963</v>
      </c>
      <c r="D323" s="1" t="s">
        <v>44</v>
      </c>
      <c r="E323" s="1" t="s">
        <v>88</v>
      </c>
      <c r="F323" s="10" t="s">
        <v>101</v>
      </c>
      <c r="G323" s="1">
        <v>0</v>
      </c>
      <c r="H323" s="1">
        <v>0.02</v>
      </c>
      <c r="I323" s="8">
        <v>44075</v>
      </c>
      <c r="J323" s="6">
        <v>396818.57999999996</v>
      </c>
      <c r="K323" s="6">
        <v>81389.759999999995</v>
      </c>
      <c r="L323" s="6">
        <v>7086.04</v>
      </c>
      <c r="M323" s="6">
        <v>1453.39</v>
      </c>
      <c r="N323" s="7">
        <v>4269.71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14346.24</v>
      </c>
      <c r="U323" s="6">
        <v>12809.14</v>
      </c>
      <c r="V323" s="6">
        <v>256.18</v>
      </c>
      <c r="AI323" s="2">
        <v>396818.57999999996</v>
      </c>
      <c r="AJ323" s="2">
        <v>81389.759999999995</v>
      </c>
      <c r="AK323" s="2">
        <v>7086.04</v>
      </c>
      <c r="AL323" s="2">
        <v>1453.39</v>
      </c>
      <c r="AM323" s="5">
        <v>4269.71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14346.24</v>
      </c>
      <c r="AT323" s="12">
        <v>12809.14</v>
      </c>
      <c r="AU323" s="2">
        <v>256.18</v>
      </c>
      <c r="BL323" s="1" t="s">
        <v>90</v>
      </c>
    </row>
    <row r="324" spans="1:64" x14ac:dyDescent="0.3">
      <c r="A324" t="s">
        <v>972</v>
      </c>
      <c r="B324" s="1" t="s">
        <v>972</v>
      </c>
      <c r="C324" s="9" t="s">
        <v>973</v>
      </c>
      <c r="D324" s="1" t="s">
        <v>44</v>
      </c>
      <c r="E324" s="1" t="s">
        <v>88</v>
      </c>
      <c r="F324" s="10" t="s">
        <v>848</v>
      </c>
      <c r="G324" s="1">
        <v>0</v>
      </c>
      <c r="H324" s="1">
        <v>0.02</v>
      </c>
      <c r="I324" s="8">
        <v>44163</v>
      </c>
      <c r="J324" s="6">
        <v>80797</v>
      </c>
      <c r="K324" s="6">
        <v>15578</v>
      </c>
      <c r="L324" s="6">
        <v>1442.8</v>
      </c>
      <c r="M324" s="6">
        <v>278.18</v>
      </c>
      <c r="N324" s="7">
        <v>860.49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2891.25</v>
      </c>
      <c r="U324" s="6">
        <v>2581.4700000000003</v>
      </c>
      <c r="V324" s="6">
        <v>51.63</v>
      </c>
      <c r="AI324" s="2">
        <v>80797</v>
      </c>
      <c r="AJ324" s="2">
        <v>15578</v>
      </c>
      <c r="AK324" s="2">
        <v>1442.8</v>
      </c>
      <c r="AL324" s="2">
        <v>278.18</v>
      </c>
      <c r="AM324" s="5">
        <v>860.49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2891.25</v>
      </c>
      <c r="AT324" s="12">
        <v>2581.4700000000003</v>
      </c>
      <c r="AU324" s="2">
        <v>51.63</v>
      </c>
      <c r="BL324" s="1" t="s">
        <v>90</v>
      </c>
    </row>
    <row r="325" spans="1:64" x14ac:dyDescent="0.3">
      <c r="A325" t="s">
        <v>984</v>
      </c>
      <c r="B325" s="1" t="s">
        <v>984</v>
      </c>
      <c r="C325" s="9" t="s">
        <v>985</v>
      </c>
      <c r="D325" s="1" t="s">
        <v>44</v>
      </c>
      <c r="E325" s="1" t="s">
        <v>88</v>
      </c>
      <c r="F325" s="10" t="s">
        <v>853</v>
      </c>
      <c r="G325" s="1">
        <v>0</v>
      </c>
      <c r="H325" s="1">
        <v>0.02</v>
      </c>
      <c r="I325" s="8">
        <v>44358</v>
      </c>
      <c r="J325" s="6">
        <v>178989.77</v>
      </c>
      <c r="K325" s="6">
        <v>38287.009999999995</v>
      </c>
      <c r="L325" s="6">
        <v>3196.25</v>
      </c>
      <c r="M325" s="6">
        <v>683.7</v>
      </c>
      <c r="N325" s="7">
        <v>1939.97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6518.31</v>
      </c>
      <c r="U325" s="6">
        <v>5819.92</v>
      </c>
      <c r="V325" s="6">
        <v>116.4</v>
      </c>
      <c r="AI325" s="2">
        <v>178989.77</v>
      </c>
      <c r="AJ325" s="2">
        <v>38287.009999999995</v>
      </c>
      <c r="AK325" s="2">
        <v>3196.25</v>
      </c>
      <c r="AL325" s="2">
        <v>683.7</v>
      </c>
      <c r="AM325" s="5">
        <v>1939.97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6518.31</v>
      </c>
      <c r="AT325" s="12">
        <v>5819.92</v>
      </c>
      <c r="AU325" s="2">
        <v>116.4</v>
      </c>
      <c r="BL325" s="1" t="s">
        <v>90</v>
      </c>
    </row>
    <row r="326" spans="1:64" x14ac:dyDescent="0.3">
      <c r="A326" t="s">
        <v>999</v>
      </c>
      <c r="B326" s="1" t="s">
        <v>1000</v>
      </c>
      <c r="C326" s="9" t="s">
        <v>1001</v>
      </c>
      <c r="D326" s="1" t="s">
        <v>44</v>
      </c>
      <c r="E326" s="1" t="s">
        <v>88</v>
      </c>
      <c r="F326" s="10" t="s">
        <v>181</v>
      </c>
      <c r="G326" s="1">
        <v>0</v>
      </c>
      <c r="H326" s="1">
        <v>0.02</v>
      </c>
      <c r="I326" s="8">
        <v>44377</v>
      </c>
      <c r="J326" s="6">
        <v>124217</v>
      </c>
      <c r="K326" s="6">
        <v>36510</v>
      </c>
      <c r="L326" s="6">
        <v>2218.16</v>
      </c>
      <c r="M326" s="6">
        <v>651.96</v>
      </c>
      <c r="N326" s="7">
        <v>1435.06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4821.8</v>
      </c>
      <c r="U326" s="6">
        <v>4305.18</v>
      </c>
      <c r="V326" s="6">
        <v>86.1</v>
      </c>
      <c r="AI326" s="2">
        <v>124217</v>
      </c>
      <c r="AJ326" s="2">
        <v>36510</v>
      </c>
      <c r="AK326" s="2">
        <v>2218.16</v>
      </c>
      <c r="AL326" s="2">
        <v>651.96</v>
      </c>
      <c r="AM326" s="5">
        <v>1435.06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4821.8</v>
      </c>
      <c r="AT326" s="12">
        <v>4305.18</v>
      </c>
      <c r="AU326" s="2">
        <v>86.1</v>
      </c>
      <c r="BL326" s="1" t="s">
        <v>90</v>
      </c>
    </row>
    <row r="327" spans="1:64" x14ac:dyDescent="0.3">
      <c r="A327" t="s">
        <v>999</v>
      </c>
      <c r="B327" s="1" t="s">
        <v>999</v>
      </c>
      <c r="C327" s="9" t="s">
        <v>1002</v>
      </c>
      <c r="D327" s="1" t="s">
        <v>44</v>
      </c>
      <c r="E327" s="1" t="s">
        <v>88</v>
      </c>
      <c r="F327" s="10" t="s">
        <v>181</v>
      </c>
      <c r="G327" s="1">
        <v>0</v>
      </c>
      <c r="H327" s="1">
        <v>0.02</v>
      </c>
      <c r="I327" s="8">
        <v>44468</v>
      </c>
      <c r="J327" s="6">
        <v>434940.2</v>
      </c>
      <c r="K327" s="6">
        <v>74380.709999999992</v>
      </c>
      <c r="L327" s="6">
        <v>7766.79</v>
      </c>
      <c r="M327" s="6">
        <v>1328.22</v>
      </c>
      <c r="N327" s="7">
        <v>4547.51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15279.62</v>
      </c>
      <c r="U327" s="6">
        <v>13642.52</v>
      </c>
      <c r="V327" s="6">
        <v>272.85000000000002</v>
      </c>
      <c r="AI327" s="2">
        <v>434940.2</v>
      </c>
      <c r="AJ327" s="2">
        <v>74380.709999999992</v>
      </c>
      <c r="AK327" s="2">
        <v>7766.79</v>
      </c>
      <c r="AL327" s="2">
        <v>1328.22</v>
      </c>
      <c r="AM327" s="5">
        <v>4547.51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15279.62</v>
      </c>
      <c r="AT327" s="12">
        <v>13642.52</v>
      </c>
      <c r="AU327" s="2">
        <v>272.85000000000002</v>
      </c>
      <c r="BL327" s="1" t="s">
        <v>90</v>
      </c>
    </row>
    <row r="328" spans="1:64" x14ac:dyDescent="0.3">
      <c r="A328" t="s">
        <v>999</v>
      </c>
      <c r="B328" s="1" t="s">
        <v>1003</v>
      </c>
      <c r="C328" s="9" t="s">
        <v>1004</v>
      </c>
      <c r="D328" s="1" t="s">
        <v>44</v>
      </c>
      <c r="E328" s="1" t="s">
        <v>88</v>
      </c>
      <c r="F328" s="10" t="s">
        <v>181</v>
      </c>
      <c r="G328" s="1">
        <v>0</v>
      </c>
      <c r="H328" s="1">
        <v>0.02</v>
      </c>
      <c r="I328" s="8">
        <v>44468</v>
      </c>
      <c r="J328" s="6">
        <v>42960</v>
      </c>
      <c r="K328" s="6">
        <v>17279</v>
      </c>
      <c r="L328" s="6">
        <v>767.14</v>
      </c>
      <c r="M328" s="6">
        <v>308.55</v>
      </c>
      <c r="N328" s="7">
        <v>537.85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1807.16</v>
      </c>
      <c r="U328" s="6">
        <v>1613.54</v>
      </c>
      <c r="V328" s="6">
        <v>32.270000000000003</v>
      </c>
      <c r="AI328" s="2">
        <v>42960</v>
      </c>
      <c r="AJ328" s="2">
        <v>17279</v>
      </c>
      <c r="AK328" s="2">
        <v>767.14</v>
      </c>
      <c r="AL328" s="2">
        <v>308.55</v>
      </c>
      <c r="AM328" s="5">
        <v>537.85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1807.16</v>
      </c>
      <c r="AT328" s="12">
        <v>1613.54</v>
      </c>
      <c r="AU328" s="2">
        <v>32.270000000000003</v>
      </c>
      <c r="BL328" s="1" t="s">
        <v>90</v>
      </c>
    </row>
    <row r="329" spans="1:64" x14ac:dyDescent="0.3">
      <c r="A329" t="s">
        <v>1051</v>
      </c>
      <c r="B329" s="1" t="s">
        <v>1051</v>
      </c>
      <c r="C329" s="9" t="s">
        <v>1052</v>
      </c>
      <c r="D329" s="1" t="s">
        <v>44</v>
      </c>
      <c r="E329" s="1" t="s">
        <v>88</v>
      </c>
      <c r="F329" s="10" t="s">
        <v>848</v>
      </c>
      <c r="G329" s="1">
        <v>0</v>
      </c>
      <c r="H329" s="1">
        <v>0.02</v>
      </c>
      <c r="I329" s="8">
        <v>44709</v>
      </c>
      <c r="J329" s="6">
        <v>93742</v>
      </c>
      <c r="K329" s="6">
        <v>33515</v>
      </c>
      <c r="L329" s="6">
        <v>1673.96</v>
      </c>
      <c r="M329" s="6">
        <v>598.48</v>
      </c>
      <c r="N329" s="7">
        <v>1136.22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3817.7</v>
      </c>
      <c r="U329" s="6">
        <v>3408.66</v>
      </c>
      <c r="V329" s="6">
        <v>68.17</v>
      </c>
      <c r="AI329" s="2">
        <v>93742</v>
      </c>
      <c r="AJ329" s="2">
        <v>33515</v>
      </c>
      <c r="AK329" s="2">
        <v>1673.96</v>
      </c>
      <c r="AL329" s="2">
        <v>598.48</v>
      </c>
      <c r="AM329" s="5">
        <v>1136.22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3817.7</v>
      </c>
      <c r="AT329" s="12">
        <v>3408.66</v>
      </c>
      <c r="AU329" s="2">
        <v>68.17</v>
      </c>
      <c r="BL329" s="1" t="s">
        <v>90</v>
      </c>
    </row>
    <row r="330" spans="1:64" x14ac:dyDescent="0.3">
      <c r="A330" t="s">
        <v>1057</v>
      </c>
      <c r="B330" s="1" t="s">
        <v>1057</v>
      </c>
      <c r="C330" s="9" t="s">
        <v>1058</v>
      </c>
      <c r="D330" s="1" t="s">
        <v>44</v>
      </c>
      <c r="E330" s="1" t="s">
        <v>88</v>
      </c>
      <c r="F330" s="10" t="s">
        <v>178</v>
      </c>
      <c r="G330" s="1">
        <v>0</v>
      </c>
      <c r="H330" s="1">
        <v>0.02</v>
      </c>
      <c r="I330" s="8">
        <v>44743</v>
      </c>
      <c r="J330" s="6">
        <v>432418.1</v>
      </c>
      <c r="K330" s="6">
        <v>60465.5</v>
      </c>
      <c r="L330" s="6">
        <v>7721.75</v>
      </c>
      <c r="M330" s="6">
        <v>1079.74</v>
      </c>
      <c r="N330" s="7">
        <v>4400.75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14786.51</v>
      </c>
      <c r="U330" s="6">
        <v>13202.24</v>
      </c>
      <c r="V330" s="6">
        <v>264.04000000000002</v>
      </c>
      <c r="AI330" s="2">
        <v>432418.1</v>
      </c>
      <c r="AJ330" s="2">
        <v>60465.5</v>
      </c>
      <c r="AK330" s="2">
        <v>7721.75</v>
      </c>
      <c r="AL330" s="2">
        <v>1079.74</v>
      </c>
      <c r="AM330" s="5">
        <v>4400.75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14786.51</v>
      </c>
      <c r="AT330" s="12">
        <v>13202.24</v>
      </c>
      <c r="AU330" s="2">
        <v>264.04000000000002</v>
      </c>
      <c r="BL330" s="1" t="s">
        <v>90</v>
      </c>
    </row>
    <row r="331" spans="1:64" x14ac:dyDescent="0.3">
      <c r="A331" t="s">
        <v>1061</v>
      </c>
      <c r="B331" s="1" t="s">
        <v>1061</v>
      </c>
      <c r="C331" s="9" t="s">
        <v>1062</v>
      </c>
      <c r="D331" s="1" t="s">
        <v>44</v>
      </c>
      <c r="E331" s="1" t="s">
        <v>88</v>
      </c>
      <c r="F331" s="10" t="s">
        <v>101</v>
      </c>
      <c r="G331" s="1">
        <v>0</v>
      </c>
      <c r="H331" s="1">
        <v>0.02</v>
      </c>
      <c r="I331" s="8">
        <v>44760</v>
      </c>
      <c r="J331" s="6">
        <v>293918.55</v>
      </c>
      <c r="K331" s="6">
        <v>101741</v>
      </c>
      <c r="L331" s="6">
        <v>5248.54</v>
      </c>
      <c r="M331" s="6">
        <v>1816.8</v>
      </c>
      <c r="N331" s="7">
        <v>3532.68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11869.78</v>
      </c>
      <c r="U331" s="6">
        <v>10598.02</v>
      </c>
      <c r="V331" s="6">
        <v>211.96</v>
      </c>
      <c r="AI331" s="2">
        <v>293918.55</v>
      </c>
      <c r="AJ331" s="2">
        <v>101741</v>
      </c>
      <c r="AK331" s="2">
        <v>5248.54</v>
      </c>
      <c r="AL331" s="2">
        <v>1816.8</v>
      </c>
      <c r="AM331" s="5">
        <v>3532.68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11869.78</v>
      </c>
      <c r="AT331" s="12">
        <v>10598.02</v>
      </c>
      <c r="AU331" s="2">
        <v>211.96</v>
      </c>
      <c r="BL331" s="1" t="s">
        <v>90</v>
      </c>
    </row>
    <row r="332" spans="1:64" x14ac:dyDescent="0.3">
      <c r="A332" t="s">
        <v>1069</v>
      </c>
      <c r="B332" s="1" t="s">
        <v>1069</v>
      </c>
      <c r="C332" s="9" t="s">
        <v>1070</v>
      </c>
      <c r="D332" s="1" t="s">
        <v>44</v>
      </c>
      <c r="E332" s="1" t="s">
        <v>88</v>
      </c>
      <c r="F332" s="10" t="s">
        <v>848</v>
      </c>
      <c r="G332" s="1">
        <v>0</v>
      </c>
      <c r="H332" s="1">
        <v>0.02</v>
      </c>
      <c r="I332" s="8">
        <v>44771</v>
      </c>
      <c r="J332" s="6">
        <v>214416</v>
      </c>
      <c r="K332" s="6">
        <v>39997</v>
      </c>
      <c r="L332" s="6">
        <v>3828.86</v>
      </c>
      <c r="M332" s="6">
        <v>714.23</v>
      </c>
      <c r="N332" s="7">
        <v>2271.54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7632.39</v>
      </c>
      <c r="U332" s="6">
        <v>6814.63</v>
      </c>
      <c r="V332" s="6">
        <v>136.29</v>
      </c>
      <c r="AI332" s="2">
        <v>214416</v>
      </c>
      <c r="AJ332" s="2">
        <v>39997</v>
      </c>
      <c r="AK332" s="2">
        <v>3828.86</v>
      </c>
      <c r="AL332" s="2">
        <v>714.23</v>
      </c>
      <c r="AM332" s="5">
        <v>2271.54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7632.39</v>
      </c>
      <c r="AT332" s="12">
        <v>6814.63</v>
      </c>
      <c r="AU332" s="2">
        <v>136.29</v>
      </c>
      <c r="BL332" s="1" t="s">
        <v>90</v>
      </c>
    </row>
    <row r="333" spans="1:64" x14ac:dyDescent="0.3">
      <c r="A333" t="s">
        <v>1071</v>
      </c>
      <c r="B333" s="1" t="s">
        <v>1071</v>
      </c>
      <c r="C333" s="9" t="s">
        <v>1072</v>
      </c>
      <c r="D333" s="1" t="s">
        <v>44</v>
      </c>
      <c r="E333" s="1" t="s">
        <v>88</v>
      </c>
      <c r="F333" s="10" t="s">
        <v>853</v>
      </c>
      <c r="G333" s="1">
        <v>0</v>
      </c>
      <c r="H333" s="1">
        <v>0.02</v>
      </c>
      <c r="I333" s="8">
        <v>45003</v>
      </c>
      <c r="J333" s="6">
        <v>163496</v>
      </c>
      <c r="K333" s="6">
        <v>60553</v>
      </c>
      <c r="L333" s="6">
        <v>2919.57</v>
      </c>
      <c r="M333" s="6">
        <v>1081.3</v>
      </c>
      <c r="N333" s="7">
        <v>2000.44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6721.47</v>
      </c>
      <c r="U333" s="6">
        <v>6001.3099999999995</v>
      </c>
      <c r="V333" s="6">
        <v>120.03</v>
      </c>
      <c r="AI333" s="2">
        <v>163496</v>
      </c>
      <c r="AJ333" s="2">
        <v>60553</v>
      </c>
      <c r="AK333" s="2">
        <v>2919.57</v>
      </c>
      <c r="AL333" s="2">
        <v>1081.3</v>
      </c>
      <c r="AM333" s="5">
        <v>2000.44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6721.47</v>
      </c>
      <c r="AT333" s="12">
        <v>6001.3099999999995</v>
      </c>
      <c r="AU333" s="2">
        <v>120.03</v>
      </c>
      <c r="BL333" s="1" t="s">
        <v>90</v>
      </c>
    </row>
    <row r="334" spans="1:64" x14ac:dyDescent="0.3">
      <c r="A334" t="s">
        <v>1122</v>
      </c>
      <c r="B334" s="1" t="s">
        <v>1122</v>
      </c>
      <c r="C334" s="9" t="s">
        <v>1123</v>
      </c>
      <c r="D334" s="1" t="s">
        <v>44</v>
      </c>
      <c r="E334" s="1" t="s">
        <v>88</v>
      </c>
      <c r="F334" s="10" t="s">
        <v>848</v>
      </c>
      <c r="G334" s="1">
        <v>0</v>
      </c>
      <c r="H334" s="1">
        <v>0.02</v>
      </c>
      <c r="I334" s="8">
        <v>44832</v>
      </c>
      <c r="J334" s="6">
        <v>77175</v>
      </c>
      <c r="K334" s="6">
        <v>25831</v>
      </c>
      <c r="L334" s="6">
        <v>1378.12</v>
      </c>
      <c r="M334" s="6">
        <v>461.27</v>
      </c>
      <c r="N334" s="7">
        <v>919.7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3090.18</v>
      </c>
      <c r="U334" s="6">
        <v>2759.09</v>
      </c>
      <c r="V334" s="6">
        <v>55.18</v>
      </c>
      <c r="AI334" s="2">
        <v>77175</v>
      </c>
      <c r="AJ334" s="2">
        <v>25831</v>
      </c>
      <c r="AK334" s="2">
        <v>1378.12</v>
      </c>
      <c r="AL334" s="2">
        <v>461.27</v>
      </c>
      <c r="AM334" s="5">
        <v>919.7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3090.18</v>
      </c>
      <c r="AT334" s="12">
        <v>2759.09</v>
      </c>
      <c r="AU334" s="2">
        <v>55.18</v>
      </c>
      <c r="BL334" s="1" t="s">
        <v>90</v>
      </c>
    </row>
    <row r="335" spans="1:64" x14ac:dyDescent="0.3">
      <c r="A335" t="s">
        <v>1124</v>
      </c>
      <c r="B335" s="1" t="s">
        <v>1124</v>
      </c>
      <c r="C335" s="9" t="s">
        <v>1125</v>
      </c>
      <c r="D335" s="1" t="s">
        <v>44</v>
      </c>
      <c r="E335" s="1" t="s">
        <v>88</v>
      </c>
      <c r="F335" s="10" t="s">
        <v>104</v>
      </c>
      <c r="G335" s="1">
        <v>0</v>
      </c>
      <c r="H335" s="1">
        <v>0.02</v>
      </c>
      <c r="I335" s="8">
        <v>44844</v>
      </c>
      <c r="J335" s="6">
        <v>495500</v>
      </c>
      <c r="K335" s="6">
        <v>190538</v>
      </c>
      <c r="L335" s="6">
        <v>8848.2099999999991</v>
      </c>
      <c r="M335" s="6">
        <v>3402.46</v>
      </c>
      <c r="N335" s="7">
        <v>6125.34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20581.13</v>
      </c>
      <c r="U335" s="6">
        <v>18376.009999999998</v>
      </c>
      <c r="V335" s="6">
        <v>367.52</v>
      </c>
      <c r="AI335" s="2">
        <v>495500</v>
      </c>
      <c r="AJ335" s="2">
        <v>190538</v>
      </c>
      <c r="AK335" s="2">
        <v>8848.2099999999991</v>
      </c>
      <c r="AL335" s="2">
        <v>3402.46</v>
      </c>
      <c r="AM335" s="5">
        <v>6125.34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20581.13</v>
      </c>
      <c r="AT335" s="12">
        <v>18376.009999999998</v>
      </c>
      <c r="AU335" s="2">
        <v>367.52</v>
      </c>
      <c r="BL335" s="1" t="s">
        <v>90</v>
      </c>
    </row>
    <row r="336" spans="1:64" x14ac:dyDescent="0.3">
      <c r="A336" t="s">
        <v>1152</v>
      </c>
      <c r="B336" s="1" t="s">
        <v>1152</v>
      </c>
      <c r="C336" s="9" t="s">
        <v>1153</v>
      </c>
      <c r="D336" s="1" t="s">
        <v>44</v>
      </c>
      <c r="E336" s="1" t="s">
        <v>88</v>
      </c>
      <c r="F336" s="10" t="s">
        <v>853</v>
      </c>
      <c r="G336" s="1">
        <v>0</v>
      </c>
      <c r="H336" s="1">
        <v>0.02</v>
      </c>
      <c r="I336" s="8">
        <v>44873</v>
      </c>
      <c r="J336" s="6">
        <v>238720.25</v>
      </c>
      <c r="K336" s="6">
        <v>24599</v>
      </c>
      <c r="L336" s="6">
        <v>4262.8599999999997</v>
      </c>
      <c r="M336" s="6">
        <v>439.27</v>
      </c>
      <c r="N336" s="7">
        <v>2351.06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7899.57</v>
      </c>
      <c r="U336" s="6">
        <v>7053.1899999999987</v>
      </c>
      <c r="V336" s="6">
        <v>141.06</v>
      </c>
      <c r="AI336" s="2">
        <v>238720.25</v>
      </c>
      <c r="AJ336" s="2">
        <v>24599</v>
      </c>
      <c r="AK336" s="2">
        <v>4262.8599999999997</v>
      </c>
      <c r="AL336" s="2">
        <v>439.27</v>
      </c>
      <c r="AM336" s="5">
        <v>2351.06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7899.57</v>
      </c>
      <c r="AT336" s="12">
        <v>7053.1899999999987</v>
      </c>
      <c r="AU336" s="2">
        <v>141.06</v>
      </c>
      <c r="BL336" s="1" t="s">
        <v>90</v>
      </c>
    </row>
    <row r="337" spans="1:64" x14ac:dyDescent="0.3">
      <c r="A337" t="s">
        <v>1166</v>
      </c>
      <c r="B337" s="1" t="s">
        <v>1166</v>
      </c>
      <c r="C337" s="9" t="s">
        <v>1167</v>
      </c>
      <c r="D337" s="1" t="s">
        <v>44</v>
      </c>
      <c r="E337" s="1" t="s">
        <v>88</v>
      </c>
      <c r="F337" s="10" t="s">
        <v>848</v>
      </c>
      <c r="G337" s="1">
        <v>0</v>
      </c>
      <c r="H337" s="1">
        <v>0.02</v>
      </c>
      <c r="I337" s="8">
        <v>45036</v>
      </c>
      <c r="J337" s="6">
        <v>70412</v>
      </c>
      <c r="K337" s="6">
        <v>17335</v>
      </c>
      <c r="L337" s="6">
        <v>1257.3599999999999</v>
      </c>
      <c r="M337" s="6">
        <v>309.55</v>
      </c>
      <c r="N337" s="7">
        <v>783.46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2632.41</v>
      </c>
      <c r="U337" s="6">
        <v>2350.37</v>
      </c>
      <c r="V337" s="6">
        <v>47.01</v>
      </c>
      <c r="AI337" s="2">
        <v>70412</v>
      </c>
      <c r="AJ337" s="2">
        <v>17335</v>
      </c>
      <c r="AK337" s="2">
        <v>1257.3599999999999</v>
      </c>
      <c r="AL337" s="2">
        <v>309.55</v>
      </c>
      <c r="AM337" s="5">
        <v>783.46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2632.41</v>
      </c>
      <c r="AT337" s="12">
        <v>2350.37</v>
      </c>
      <c r="AU337" s="2">
        <v>47.01</v>
      </c>
      <c r="BL337" s="1" t="s">
        <v>90</v>
      </c>
    </row>
    <row r="338" spans="1:64" x14ac:dyDescent="0.3">
      <c r="A338" t="s">
        <v>1254</v>
      </c>
      <c r="B338" s="1" t="s">
        <v>1254</v>
      </c>
      <c r="C338" s="9" t="s">
        <v>1255</v>
      </c>
      <c r="D338" s="1" t="s">
        <v>44</v>
      </c>
      <c r="E338" s="1" t="s">
        <v>88</v>
      </c>
      <c r="F338" s="10" t="s">
        <v>114</v>
      </c>
      <c r="G338" s="1">
        <v>0</v>
      </c>
      <c r="H338" s="1">
        <v>0.02</v>
      </c>
      <c r="I338" s="8">
        <v>45271</v>
      </c>
      <c r="J338" s="6">
        <v>399315.1</v>
      </c>
      <c r="K338" s="6">
        <v>93779</v>
      </c>
      <c r="L338" s="6">
        <v>7130.62</v>
      </c>
      <c r="M338" s="6">
        <v>1674.62</v>
      </c>
      <c r="N338" s="7">
        <v>4402.62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14792.8</v>
      </c>
      <c r="U338" s="6">
        <v>13207.86</v>
      </c>
      <c r="V338" s="6">
        <v>264.16000000000003</v>
      </c>
      <c r="AI338" s="2">
        <v>399315.1</v>
      </c>
      <c r="AJ338" s="2">
        <v>93779</v>
      </c>
      <c r="AK338" s="2">
        <v>7130.62</v>
      </c>
      <c r="AL338" s="2">
        <v>1674.62</v>
      </c>
      <c r="AM338" s="5">
        <v>4402.62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14792.8</v>
      </c>
      <c r="AT338" s="12">
        <v>13207.86</v>
      </c>
      <c r="AU338" s="2">
        <v>264.16000000000003</v>
      </c>
      <c r="BL338" s="1" t="s">
        <v>90</v>
      </c>
    </row>
    <row r="339" spans="1:64" x14ac:dyDescent="0.3">
      <c r="A339" t="s">
        <v>1296</v>
      </c>
      <c r="B339" s="1" t="s">
        <v>1296</v>
      </c>
      <c r="C339" s="9" t="s">
        <v>1297</v>
      </c>
      <c r="D339" s="1" t="s">
        <v>44</v>
      </c>
      <c r="E339" s="1" t="s">
        <v>88</v>
      </c>
      <c r="F339" s="10" t="s">
        <v>114</v>
      </c>
      <c r="G339" s="1">
        <v>0</v>
      </c>
      <c r="H339" s="1">
        <v>0.02</v>
      </c>
      <c r="I339" s="8">
        <v>45163</v>
      </c>
      <c r="J339" s="6">
        <v>524906</v>
      </c>
      <c r="K339" s="6">
        <v>127419</v>
      </c>
      <c r="L339" s="6">
        <v>9373.32</v>
      </c>
      <c r="M339" s="6">
        <v>2275.34</v>
      </c>
      <c r="N339" s="7">
        <v>5824.33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19569.75</v>
      </c>
      <c r="U339" s="6">
        <v>17472.989999999998</v>
      </c>
      <c r="V339" s="6">
        <v>349.46</v>
      </c>
      <c r="AI339" s="2">
        <v>524906</v>
      </c>
      <c r="AJ339" s="2">
        <v>127419</v>
      </c>
      <c r="AK339" s="2">
        <v>9373.32</v>
      </c>
      <c r="AL339" s="2">
        <v>2275.34</v>
      </c>
      <c r="AM339" s="5">
        <v>5824.33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19569.75</v>
      </c>
      <c r="AT339" s="12">
        <v>17472.989999999998</v>
      </c>
      <c r="AU339" s="2">
        <v>349.46</v>
      </c>
      <c r="BL339" s="1" t="s">
        <v>90</v>
      </c>
    </row>
    <row r="340" spans="1:64" x14ac:dyDescent="0.3">
      <c r="A340" t="s">
        <v>1298</v>
      </c>
      <c r="B340" s="1" t="s">
        <v>1298</v>
      </c>
      <c r="C340" s="9" t="s">
        <v>1299</v>
      </c>
      <c r="D340" s="1" t="s">
        <v>44</v>
      </c>
      <c r="E340" s="1" t="s">
        <v>88</v>
      </c>
      <c r="F340" s="10" t="s">
        <v>853</v>
      </c>
      <c r="G340" s="1">
        <v>0</v>
      </c>
      <c r="H340" s="1">
        <v>0.02</v>
      </c>
      <c r="I340" s="8">
        <v>45163</v>
      </c>
      <c r="J340" s="6">
        <v>176893.5</v>
      </c>
      <c r="K340" s="6">
        <v>58445</v>
      </c>
      <c r="L340" s="6">
        <v>3158.81</v>
      </c>
      <c r="M340" s="6">
        <v>1043.6600000000001</v>
      </c>
      <c r="N340" s="7">
        <v>2101.2399999999998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7060.16</v>
      </c>
      <c r="U340" s="6">
        <v>6303.71</v>
      </c>
      <c r="V340" s="6">
        <v>126.07</v>
      </c>
      <c r="AI340" s="2">
        <v>176893.5</v>
      </c>
      <c r="AJ340" s="2">
        <v>58445</v>
      </c>
      <c r="AK340" s="2">
        <v>3158.81</v>
      </c>
      <c r="AL340" s="2">
        <v>1043.6600000000001</v>
      </c>
      <c r="AM340" s="5">
        <v>2101.2399999999998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7060.16</v>
      </c>
      <c r="AT340" s="12">
        <v>6303.71</v>
      </c>
      <c r="AU340" s="2">
        <v>126.07</v>
      </c>
      <c r="BL340" s="1" t="s">
        <v>90</v>
      </c>
    </row>
    <row r="341" spans="1:64" x14ac:dyDescent="0.3">
      <c r="A341" t="s">
        <v>1312</v>
      </c>
      <c r="B341" s="1" t="s">
        <v>1312</v>
      </c>
      <c r="C341" s="9" t="s">
        <v>1313</v>
      </c>
      <c r="D341" s="1" t="s">
        <v>44</v>
      </c>
      <c r="E341" s="1" t="s">
        <v>88</v>
      </c>
      <c r="F341" s="10" t="s">
        <v>848</v>
      </c>
      <c r="G341" s="1">
        <v>0</v>
      </c>
      <c r="H341" s="1">
        <v>0.02</v>
      </c>
      <c r="I341" s="8">
        <v>44936</v>
      </c>
      <c r="J341" s="6">
        <v>130848</v>
      </c>
      <c r="K341" s="6">
        <v>33819</v>
      </c>
      <c r="L341" s="6">
        <v>2336.5700000000002</v>
      </c>
      <c r="M341" s="6">
        <v>603.91</v>
      </c>
      <c r="N341" s="7">
        <v>1470.24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4940.01</v>
      </c>
      <c r="U341" s="6">
        <v>4410.72</v>
      </c>
      <c r="V341" s="6">
        <v>88.21</v>
      </c>
      <c r="AI341" s="2">
        <v>130848</v>
      </c>
      <c r="AJ341" s="2">
        <v>33819</v>
      </c>
      <c r="AK341" s="2">
        <v>2336.5700000000002</v>
      </c>
      <c r="AL341" s="2">
        <v>603.91</v>
      </c>
      <c r="AM341" s="5">
        <v>1470.24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4940.01</v>
      </c>
      <c r="AT341" s="12">
        <v>4410.72</v>
      </c>
      <c r="AU341" s="2">
        <v>88.21</v>
      </c>
      <c r="BL341" s="1" t="s">
        <v>90</v>
      </c>
    </row>
    <row r="342" spans="1:64" x14ac:dyDescent="0.3">
      <c r="A342" t="s">
        <v>1314</v>
      </c>
      <c r="B342" s="1" t="s">
        <v>1314</v>
      </c>
      <c r="C342" s="9" t="s">
        <v>1315</v>
      </c>
      <c r="D342" s="1" t="s">
        <v>44</v>
      </c>
      <c r="E342" s="1" t="s">
        <v>88</v>
      </c>
      <c r="F342" s="10" t="s">
        <v>848</v>
      </c>
      <c r="G342" s="1">
        <v>0</v>
      </c>
      <c r="H342" s="1">
        <v>0.02</v>
      </c>
      <c r="I342" s="8">
        <v>44844</v>
      </c>
      <c r="J342" s="6">
        <v>145196</v>
      </c>
      <c r="K342" s="6">
        <v>28700</v>
      </c>
      <c r="L342" s="6">
        <v>2592.79</v>
      </c>
      <c r="M342" s="6">
        <v>512.5</v>
      </c>
      <c r="N342" s="7">
        <v>1552.64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5216.88</v>
      </c>
      <c r="U342" s="6">
        <v>4657.93</v>
      </c>
      <c r="V342" s="6">
        <v>93.16</v>
      </c>
      <c r="AI342" s="2">
        <v>145196</v>
      </c>
      <c r="AJ342" s="2">
        <v>28700</v>
      </c>
      <c r="AK342" s="2">
        <v>2592.79</v>
      </c>
      <c r="AL342" s="2">
        <v>512.5</v>
      </c>
      <c r="AM342" s="5">
        <v>1552.64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5216.88</v>
      </c>
      <c r="AT342" s="12">
        <v>4657.93</v>
      </c>
      <c r="AU342" s="2">
        <v>93.16</v>
      </c>
      <c r="BL342" s="1" t="s">
        <v>90</v>
      </c>
    </row>
    <row r="343" spans="1:64" x14ac:dyDescent="0.3">
      <c r="A343" t="s">
        <v>93</v>
      </c>
      <c r="B343" s="1" t="s">
        <v>93</v>
      </c>
      <c r="C343" s="9" t="s">
        <v>94</v>
      </c>
      <c r="D343" s="1" t="s">
        <v>95</v>
      </c>
      <c r="E343" s="1" t="s">
        <v>88</v>
      </c>
      <c r="F343" s="10" t="s">
        <v>96</v>
      </c>
      <c r="G343" s="1">
        <v>0.05</v>
      </c>
      <c r="H343" s="1">
        <v>0</v>
      </c>
      <c r="I343" s="8">
        <v>45703</v>
      </c>
      <c r="J343" s="6">
        <v>719507</v>
      </c>
      <c r="K343" s="6">
        <v>91607</v>
      </c>
      <c r="L343" s="6">
        <v>0</v>
      </c>
      <c r="M343" s="6">
        <v>0</v>
      </c>
      <c r="N343" s="7">
        <v>7242.09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8111.14</v>
      </c>
      <c r="U343" s="6">
        <v>7242.09</v>
      </c>
      <c r="V343" s="6">
        <v>0</v>
      </c>
      <c r="W343" s="6">
        <v>4055.57</v>
      </c>
      <c r="AI343" s="2">
        <v>719507</v>
      </c>
      <c r="AJ343" s="2">
        <v>91607</v>
      </c>
      <c r="AK343" s="2">
        <v>0</v>
      </c>
      <c r="AL343" s="2">
        <v>0</v>
      </c>
      <c r="AM343" s="5">
        <v>7242.09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8111.14</v>
      </c>
      <c r="AT343" s="12">
        <v>7242.09</v>
      </c>
      <c r="AU343" s="2">
        <v>0</v>
      </c>
      <c r="AV343" s="5">
        <v>4055.57</v>
      </c>
      <c r="BL343" s="1" t="s">
        <v>90</v>
      </c>
    </row>
    <row r="344" spans="1:64" x14ac:dyDescent="0.3">
      <c r="A344" t="s">
        <v>93</v>
      </c>
      <c r="B344" s="1" t="s">
        <v>97</v>
      </c>
      <c r="C344" s="9" t="s">
        <v>98</v>
      </c>
      <c r="D344" s="1" t="s">
        <v>95</v>
      </c>
      <c r="E344" s="1" t="s">
        <v>88</v>
      </c>
      <c r="F344" s="10" t="s">
        <v>96</v>
      </c>
      <c r="G344" s="1">
        <v>0.05</v>
      </c>
      <c r="H344" s="1">
        <v>0</v>
      </c>
      <c r="I344" s="8">
        <v>45703</v>
      </c>
      <c r="J344" s="6">
        <v>124409</v>
      </c>
      <c r="K344" s="6">
        <v>23001</v>
      </c>
      <c r="L344" s="6">
        <v>0</v>
      </c>
      <c r="M344" s="6">
        <v>0</v>
      </c>
      <c r="N344" s="7">
        <v>1316.16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1474.1</v>
      </c>
      <c r="U344" s="6">
        <v>1316.16</v>
      </c>
      <c r="V344" s="6">
        <v>0</v>
      </c>
      <c r="W344" s="6">
        <v>737.05</v>
      </c>
      <c r="AI344" s="2">
        <v>124409</v>
      </c>
      <c r="AJ344" s="2">
        <v>23001</v>
      </c>
      <c r="AK344" s="2">
        <v>0</v>
      </c>
      <c r="AL344" s="2">
        <v>0</v>
      </c>
      <c r="AM344" s="5">
        <v>1316.16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1474.1</v>
      </c>
      <c r="AT344" s="12">
        <v>1316.16</v>
      </c>
      <c r="AU344" s="2">
        <v>0</v>
      </c>
      <c r="AV344" s="5">
        <v>737.05</v>
      </c>
      <c r="BL344" s="1" t="s">
        <v>90</v>
      </c>
    </row>
    <row r="345" spans="1:64" x14ac:dyDescent="0.3">
      <c r="A345" t="s">
        <v>126</v>
      </c>
      <c r="B345" s="1" t="s">
        <v>126</v>
      </c>
      <c r="C345" s="9" t="s">
        <v>127</v>
      </c>
      <c r="D345" s="1" t="s">
        <v>95</v>
      </c>
      <c r="E345" s="1" t="s">
        <v>128</v>
      </c>
      <c r="F345" s="10" t="s">
        <v>129</v>
      </c>
      <c r="G345" s="1">
        <v>3.5000000000000003E-2</v>
      </c>
      <c r="H345" s="1">
        <v>0.05</v>
      </c>
      <c r="I345" s="8">
        <v>45543</v>
      </c>
      <c r="J345" s="6">
        <v>340938</v>
      </c>
      <c r="K345" s="6">
        <v>29180</v>
      </c>
      <c r="L345" s="6">
        <v>15220.45</v>
      </c>
      <c r="M345" s="6">
        <v>1302.68</v>
      </c>
      <c r="N345" s="7">
        <v>3304.62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22207.08</v>
      </c>
      <c r="U345" s="6">
        <v>19827.75</v>
      </c>
      <c r="V345" s="6">
        <v>0</v>
      </c>
      <c r="W345" s="6">
        <v>1850.59</v>
      </c>
      <c r="AI345" s="2">
        <v>340938</v>
      </c>
      <c r="AJ345" s="2">
        <v>29180</v>
      </c>
      <c r="AK345" s="2">
        <v>15220.45</v>
      </c>
      <c r="AL345" s="2">
        <v>1302.68</v>
      </c>
      <c r="AM345" s="5">
        <v>3304.62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22207.08</v>
      </c>
      <c r="AT345" s="12">
        <v>19827.75</v>
      </c>
      <c r="AU345" s="2">
        <v>0</v>
      </c>
      <c r="AV345" s="5">
        <v>1850.59</v>
      </c>
      <c r="BL345" s="1" t="s">
        <v>130</v>
      </c>
    </row>
    <row r="346" spans="1:64" x14ac:dyDescent="0.3">
      <c r="A346" t="s">
        <v>126</v>
      </c>
      <c r="B346" s="1" t="s">
        <v>131</v>
      </c>
      <c r="C346" s="9" t="s">
        <v>132</v>
      </c>
      <c r="D346" s="1" t="s">
        <v>95</v>
      </c>
      <c r="E346" s="1" t="s">
        <v>128</v>
      </c>
      <c r="F346" s="10" t="s">
        <v>129</v>
      </c>
      <c r="G346" s="1">
        <v>3.5000000000000003E-2</v>
      </c>
      <c r="H346" s="1">
        <v>0.05</v>
      </c>
      <c r="I346" s="8">
        <v>45543</v>
      </c>
      <c r="J346" s="6">
        <v>431326</v>
      </c>
      <c r="K346" s="6">
        <v>39874</v>
      </c>
      <c r="L346" s="6">
        <v>19255.62</v>
      </c>
      <c r="M346" s="6">
        <v>1780.09</v>
      </c>
      <c r="N346" s="7">
        <v>4207.1400000000003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28271.99</v>
      </c>
      <c r="U346" s="6">
        <v>25242.85</v>
      </c>
      <c r="V346" s="6">
        <v>0</v>
      </c>
      <c r="W346" s="6">
        <v>2356</v>
      </c>
      <c r="AI346" s="2">
        <v>431326</v>
      </c>
      <c r="AJ346" s="2">
        <v>39874</v>
      </c>
      <c r="AK346" s="2">
        <v>19255.62</v>
      </c>
      <c r="AL346" s="2">
        <v>1780.09</v>
      </c>
      <c r="AM346" s="5">
        <v>4207.1400000000003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28271.99</v>
      </c>
      <c r="AT346" s="12">
        <v>25242.85</v>
      </c>
      <c r="AU346" s="2">
        <v>0</v>
      </c>
      <c r="AV346" s="5">
        <v>2356</v>
      </c>
      <c r="BL346" s="1" t="s">
        <v>130</v>
      </c>
    </row>
    <row r="347" spans="1:64" x14ac:dyDescent="0.3">
      <c r="A347" t="s">
        <v>133</v>
      </c>
      <c r="B347" s="1" t="s">
        <v>133</v>
      </c>
      <c r="C347" s="9" t="s">
        <v>134</v>
      </c>
      <c r="D347" s="1" t="s">
        <v>95</v>
      </c>
      <c r="E347" s="1" t="s">
        <v>135</v>
      </c>
      <c r="F347" s="10" t="s">
        <v>136</v>
      </c>
      <c r="G347" s="1">
        <v>3.5000000000000003E-2</v>
      </c>
      <c r="H347" s="1">
        <v>0.05</v>
      </c>
      <c r="I347" s="8">
        <v>45608</v>
      </c>
      <c r="J347" s="6">
        <v>715694</v>
      </c>
      <c r="K347" s="6">
        <v>138375</v>
      </c>
      <c r="L347" s="6">
        <v>31950.62</v>
      </c>
      <c r="M347" s="6">
        <v>6177.46</v>
      </c>
      <c r="N347" s="7">
        <v>7625.62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51244.14</v>
      </c>
      <c r="U347" s="6">
        <v>45753.700000000004</v>
      </c>
      <c r="V347" s="6">
        <v>0</v>
      </c>
      <c r="W347" s="6">
        <v>4270.34</v>
      </c>
      <c r="AI347" s="2">
        <v>715694</v>
      </c>
      <c r="AJ347" s="2">
        <v>138375</v>
      </c>
      <c r="AK347" s="2">
        <v>31950.62</v>
      </c>
      <c r="AL347" s="2">
        <v>6177.46</v>
      </c>
      <c r="AM347" s="5">
        <v>7625.62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51244.14</v>
      </c>
      <c r="AT347" s="12">
        <v>45753.700000000004</v>
      </c>
      <c r="AU347" s="2">
        <v>0</v>
      </c>
      <c r="AV347" s="5">
        <v>4270.34</v>
      </c>
      <c r="BL347" s="1" t="s">
        <v>137</v>
      </c>
    </row>
    <row r="348" spans="1:64" x14ac:dyDescent="0.3">
      <c r="A348" t="s">
        <v>133</v>
      </c>
      <c r="B348" s="1" t="s">
        <v>138</v>
      </c>
      <c r="C348" s="9" t="s">
        <v>139</v>
      </c>
      <c r="D348" s="1" t="s">
        <v>95</v>
      </c>
      <c r="E348" s="1" t="s">
        <v>135</v>
      </c>
      <c r="F348" s="10" t="s">
        <v>136</v>
      </c>
      <c r="G348" s="1">
        <v>3.5000000000000003E-2</v>
      </c>
      <c r="H348" s="1">
        <v>0.05</v>
      </c>
      <c r="I348" s="8">
        <v>45608</v>
      </c>
      <c r="J348" s="6">
        <v>391774</v>
      </c>
      <c r="K348" s="6">
        <v>89384</v>
      </c>
      <c r="L348" s="6">
        <v>17489.91</v>
      </c>
      <c r="M348" s="6">
        <v>3990.36</v>
      </c>
      <c r="N348" s="7">
        <v>4296.05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28869.48</v>
      </c>
      <c r="U348" s="6">
        <v>25776.32</v>
      </c>
      <c r="V348" s="6">
        <v>0</v>
      </c>
      <c r="W348" s="6">
        <v>2405.79</v>
      </c>
      <c r="AI348" s="2">
        <v>391774</v>
      </c>
      <c r="AJ348" s="2">
        <v>89384</v>
      </c>
      <c r="AK348" s="2">
        <v>17489.91</v>
      </c>
      <c r="AL348" s="2">
        <v>3990.36</v>
      </c>
      <c r="AM348" s="5">
        <v>4296.05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28869.48</v>
      </c>
      <c r="AT348" s="12">
        <v>25776.32</v>
      </c>
      <c r="AU348" s="2">
        <v>0</v>
      </c>
      <c r="AV348" s="5">
        <v>2405.79</v>
      </c>
      <c r="BL348" s="1" t="s">
        <v>137</v>
      </c>
    </row>
    <row r="349" spans="1:64" x14ac:dyDescent="0.3">
      <c r="A349" t="s">
        <v>133</v>
      </c>
      <c r="B349" s="1" t="s">
        <v>140</v>
      </c>
      <c r="C349" s="9" t="s">
        <v>141</v>
      </c>
      <c r="D349" s="1" t="s">
        <v>95</v>
      </c>
      <c r="E349" s="1" t="s">
        <v>135</v>
      </c>
      <c r="F349" s="10" t="s">
        <v>136</v>
      </c>
      <c r="G349" s="1">
        <v>0</v>
      </c>
      <c r="H349" s="1">
        <v>0.05</v>
      </c>
      <c r="I349" s="8">
        <v>45636</v>
      </c>
      <c r="J349" s="6">
        <v>740751</v>
      </c>
      <c r="K349" s="6">
        <v>96870</v>
      </c>
      <c r="L349" s="6">
        <v>33069.24</v>
      </c>
      <c r="M349" s="6">
        <v>4324.55</v>
      </c>
      <c r="N349" s="7">
        <v>7478.76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50257.26</v>
      </c>
      <c r="U349" s="6">
        <v>44872.55</v>
      </c>
      <c r="V349" s="6">
        <v>0</v>
      </c>
      <c r="W349" s="6">
        <v>4188.1099999999997</v>
      </c>
      <c r="AI349" s="2">
        <v>740751</v>
      </c>
      <c r="AJ349" s="2">
        <v>96870</v>
      </c>
      <c r="AK349" s="2">
        <v>33069.24</v>
      </c>
      <c r="AL349" s="2">
        <v>4324.55</v>
      </c>
      <c r="AM349" s="5">
        <v>7478.76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50257.26</v>
      </c>
      <c r="AT349" s="12">
        <v>44872.55</v>
      </c>
      <c r="AU349" s="2">
        <v>0</v>
      </c>
      <c r="AV349" s="5">
        <v>4188.1099999999997</v>
      </c>
      <c r="BL349" s="1" t="s">
        <v>137</v>
      </c>
    </row>
    <row r="350" spans="1:64" x14ac:dyDescent="0.3">
      <c r="A350" t="s">
        <v>145</v>
      </c>
      <c r="B350" s="1" t="s">
        <v>145</v>
      </c>
      <c r="C350" s="9" t="s">
        <v>146</v>
      </c>
      <c r="D350" s="1" t="s">
        <v>95</v>
      </c>
      <c r="E350" s="1" t="s">
        <v>128</v>
      </c>
      <c r="F350" s="10" t="s">
        <v>147</v>
      </c>
      <c r="G350" s="1">
        <v>3.5000000000000003E-2</v>
      </c>
      <c r="H350" s="1">
        <v>0.05</v>
      </c>
      <c r="I350" s="8">
        <v>45467</v>
      </c>
      <c r="J350" s="6">
        <v>225690</v>
      </c>
      <c r="K350" s="6">
        <v>20266</v>
      </c>
      <c r="L350" s="6">
        <v>10075.450000000001</v>
      </c>
      <c r="M350" s="6">
        <v>904.73</v>
      </c>
      <c r="N350" s="7">
        <v>2196.04</v>
      </c>
      <c r="O350" s="6">
        <v>138133.6</v>
      </c>
      <c r="P350" s="6">
        <v>6251.1</v>
      </c>
      <c r="Q350" s="6">
        <v>6166.68</v>
      </c>
      <c r="R350" s="6">
        <v>279.07</v>
      </c>
      <c r="S350" s="7">
        <v>1289.1500000000001</v>
      </c>
      <c r="T350" s="11">
        <v>23420.45</v>
      </c>
      <c r="U350" s="6">
        <v>20911.120000000003</v>
      </c>
      <c r="V350" s="6">
        <v>0</v>
      </c>
      <c r="W350" s="6">
        <v>1951.7</v>
      </c>
      <c r="AI350" s="2">
        <v>225690</v>
      </c>
      <c r="AJ350" s="2">
        <v>20266</v>
      </c>
      <c r="AK350" s="2">
        <v>10075.450000000001</v>
      </c>
      <c r="AL350" s="2">
        <v>904.73</v>
      </c>
      <c r="AM350" s="5">
        <v>2196.04</v>
      </c>
      <c r="AN350" s="12">
        <v>138133.6</v>
      </c>
      <c r="AO350" s="2">
        <v>6251.1</v>
      </c>
      <c r="AP350" s="2">
        <v>6166.68</v>
      </c>
      <c r="AQ350" s="2">
        <v>279.07</v>
      </c>
      <c r="AR350" s="5">
        <v>1289.1500000000001</v>
      </c>
      <c r="AS350" s="2">
        <v>23420.45</v>
      </c>
      <c r="AT350" s="12">
        <v>20911.120000000003</v>
      </c>
      <c r="AU350" s="2">
        <v>0</v>
      </c>
      <c r="AV350" s="5">
        <v>1951.7</v>
      </c>
      <c r="BL350" s="1" t="s">
        <v>130</v>
      </c>
    </row>
    <row r="351" spans="1:64" x14ac:dyDescent="0.3">
      <c r="A351" t="s">
        <v>145</v>
      </c>
      <c r="B351" s="1" t="s">
        <v>148</v>
      </c>
      <c r="C351" s="9" t="s">
        <v>149</v>
      </c>
      <c r="D351" s="1" t="s">
        <v>95</v>
      </c>
      <c r="E351" s="1" t="s">
        <v>128</v>
      </c>
      <c r="F351" s="10" t="s">
        <v>147</v>
      </c>
      <c r="G351" s="1">
        <v>3.5000000000000003E-2</v>
      </c>
      <c r="H351" s="1">
        <v>0.05</v>
      </c>
      <c r="I351" s="8">
        <v>45467</v>
      </c>
      <c r="J351" s="6">
        <v>61206</v>
      </c>
      <c r="K351" s="6">
        <v>9187</v>
      </c>
      <c r="L351" s="6">
        <v>2732.41</v>
      </c>
      <c r="M351" s="6">
        <v>410.13</v>
      </c>
      <c r="N351" s="7">
        <v>628.51</v>
      </c>
      <c r="O351" s="6">
        <v>34214.300000000003</v>
      </c>
      <c r="P351" s="6">
        <v>3074.2</v>
      </c>
      <c r="Q351" s="6">
        <v>1527.43</v>
      </c>
      <c r="R351" s="6">
        <v>137.24</v>
      </c>
      <c r="S351" s="7">
        <v>332.93</v>
      </c>
      <c r="T351" s="11">
        <v>6460.89</v>
      </c>
      <c r="U351" s="6">
        <v>5768.6500000000005</v>
      </c>
      <c r="V351" s="6">
        <v>0</v>
      </c>
      <c r="W351" s="6">
        <v>538.41</v>
      </c>
      <c r="AI351" s="2">
        <v>61206</v>
      </c>
      <c r="AJ351" s="2">
        <v>9187</v>
      </c>
      <c r="AK351" s="2">
        <v>2732.41</v>
      </c>
      <c r="AL351" s="2">
        <v>410.13</v>
      </c>
      <c r="AM351" s="5">
        <v>628.51</v>
      </c>
      <c r="AN351" s="12">
        <v>34214.300000000003</v>
      </c>
      <c r="AO351" s="2">
        <v>3074.2</v>
      </c>
      <c r="AP351" s="2">
        <v>1527.43</v>
      </c>
      <c r="AQ351" s="2">
        <v>137.24</v>
      </c>
      <c r="AR351" s="5">
        <v>332.93</v>
      </c>
      <c r="AS351" s="2">
        <v>6460.89</v>
      </c>
      <c r="AT351" s="12">
        <v>5768.6500000000005</v>
      </c>
      <c r="AU351" s="2">
        <v>0</v>
      </c>
      <c r="AV351" s="5">
        <v>538.41</v>
      </c>
      <c r="BL351" s="1" t="s">
        <v>130</v>
      </c>
    </row>
    <row r="352" spans="1:64" x14ac:dyDescent="0.3">
      <c r="A352" t="s">
        <v>145</v>
      </c>
      <c r="B352" s="1" t="s">
        <v>150</v>
      </c>
      <c r="C352" s="9" t="s">
        <v>151</v>
      </c>
      <c r="D352" s="1" t="s">
        <v>95</v>
      </c>
      <c r="E352" s="1" t="s">
        <v>128</v>
      </c>
      <c r="F352" s="10" t="s">
        <v>147</v>
      </c>
      <c r="G352" s="1">
        <v>0</v>
      </c>
      <c r="H352" s="1">
        <v>0.05</v>
      </c>
      <c r="I352" s="8">
        <v>45467</v>
      </c>
      <c r="J352" s="6">
        <v>235656</v>
      </c>
      <c r="K352" s="6">
        <v>13426</v>
      </c>
      <c r="L352" s="6">
        <v>10520.36</v>
      </c>
      <c r="M352" s="6">
        <v>599.37</v>
      </c>
      <c r="N352" s="7">
        <v>2223.9499999999998</v>
      </c>
      <c r="O352" s="6">
        <v>49947</v>
      </c>
      <c r="P352" s="6">
        <v>0</v>
      </c>
      <c r="Q352" s="6">
        <v>2229.7800000000002</v>
      </c>
      <c r="R352" s="6">
        <v>0</v>
      </c>
      <c r="S352" s="7">
        <v>0</v>
      </c>
      <c r="T352" s="11">
        <v>17442.28</v>
      </c>
      <c r="U352" s="6">
        <v>15573.460000000001</v>
      </c>
      <c r="V352" s="6">
        <v>0</v>
      </c>
      <c r="W352" s="6">
        <v>1495.14</v>
      </c>
      <c r="AI352" s="2">
        <v>235656</v>
      </c>
      <c r="AJ352" s="2">
        <v>13426</v>
      </c>
      <c r="AK352" s="2">
        <v>10520.36</v>
      </c>
      <c r="AL352" s="2">
        <v>599.37</v>
      </c>
      <c r="AM352" s="5">
        <v>2223.9499999999998</v>
      </c>
      <c r="AN352" s="12">
        <v>49947</v>
      </c>
      <c r="AO352" s="2">
        <v>0</v>
      </c>
      <c r="AP352" s="2">
        <v>2229.7800000000002</v>
      </c>
      <c r="AQ352" s="2">
        <v>0</v>
      </c>
      <c r="AR352" s="5">
        <v>0</v>
      </c>
      <c r="AS352" s="2">
        <v>17442.28</v>
      </c>
      <c r="AT352" s="12">
        <v>15573.460000000001</v>
      </c>
      <c r="AU352" s="2">
        <v>0</v>
      </c>
      <c r="AV352" s="5">
        <v>1495.14</v>
      </c>
      <c r="BL352" s="1" t="s">
        <v>130</v>
      </c>
    </row>
    <row r="353" spans="1:64" x14ac:dyDescent="0.3">
      <c r="A353" t="s">
        <v>145</v>
      </c>
      <c r="B353" s="1" t="s">
        <v>152</v>
      </c>
      <c r="C353" s="9" t="s">
        <v>153</v>
      </c>
      <c r="D353" s="1" t="s">
        <v>95</v>
      </c>
      <c r="E353" s="1" t="s">
        <v>128</v>
      </c>
      <c r="F353" s="10" t="s">
        <v>147</v>
      </c>
      <c r="G353" s="1">
        <v>0</v>
      </c>
      <c r="H353" s="1">
        <v>0.05</v>
      </c>
      <c r="I353" s="8">
        <v>45467</v>
      </c>
      <c r="J353" s="6">
        <v>259594</v>
      </c>
      <c r="K353" s="6">
        <v>18424</v>
      </c>
      <c r="L353" s="6">
        <v>11589.02</v>
      </c>
      <c r="M353" s="6">
        <v>822.5</v>
      </c>
      <c r="N353" s="7">
        <v>2482.3000000000002</v>
      </c>
      <c r="O353" s="6">
        <v>76200.2</v>
      </c>
      <c r="P353" s="6">
        <v>7191.6</v>
      </c>
      <c r="Q353" s="6">
        <v>3401.79</v>
      </c>
      <c r="R353" s="6">
        <v>321.05</v>
      </c>
      <c r="S353" s="7">
        <v>0</v>
      </c>
      <c r="T353" s="11">
        <v>20850.66</v>
      </c>
      <c r="U353" s="6">
        <v>18616.66</v>
      </c>
      <c r="V353" s="6">
        <v>0</v>
      </c>
      <c r="W353" s="6">
        <v>1807.05</v>
      </c>
      <c r="AI353" s="2">
        <v>259594</v>
      </c>
      <c r="AJ353" s="2">
        <v>18424</v>
      </c>
      <c r="AK353" s="2">
        <v>11589.02</v>
      </c>
      <c r="AL353" s="2">
        <v>822.5</v>
      </c>
      <c r="AM353" s="5">
        <v>2482.3000000000002</v>
      </c>
      <c r="AN353" s="12">
        <v>76200.2</v>
      </c>
      <c r="AO353" s="2">
        <v>7191.6</v>
      </c>
      <c r="AP353" s="2">
        <v>3401.79</v>
      </c>
      <c r="AQ353" s="2">
        <v>321.05</v>
      </c>
      <c r="AR353" s="5">
        <v>0</v>
      </c>
      <c r="AS353" s="2">
        <v>20850.66</v>
      </c>
      <c r="AT353" s="12">
        <v>18616.66</v>
      </c>
      <c r="AU353" s="2">
        <v>0</v>
      </c>
      <c r="AV353" s="5">
        <v>1807.05</v>
      </c>
      <c r="BL353" s="1" t="s">
        <v>130</v>
      </c>
    </row>
    <row r="354" spans="1:64" x14ac:dyDescent="0.3">
      <c r="A354" t="s">
        <v>145</v>
      </c>
      <c r="B354" s="1" t="s">
        <v>154</v>
      </c>
      <c r="C354" s="9" t="s">
        <v>155</v>
      </c>
      <c r="D354" s="1" t="s">
        <v>95</v>
      </c>
      <c r="E354" s="1" t="s">
        <v>128</v>
      </c>
      <c r="F354" s="10" t="s">
        <v>147</v>
      </c>
      <c r="G354" s="1">
        <v>0</v>
      </c>
      <c r="H354" s="1">
        <v>0.05</v>
      </c>
      <c r="I354" s="8">
        <v>0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0</v>
      </c>
      <c r="AJ354" s="2">
        <v>0</v>
      </c>
      <c r="AK354" s="2">
        <v>0</v>
      </c>
      <c r="AL354" s="2">
        <v>0</v>
      </c>
      <c r="AM354" s="5">
        <v>0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0</v>
      </c>
      <c r="AT354" s="12">
        <v>0</v>
      </c>
      <c r="AU354" s="2">
        <v>0</v>
      </c>
      <c r="AV354" s="5">
        <v>0</v>
      </c>
      <c r="BL354" s="1" t="s">
        <v>130</v>
      </c>
    </row>
    <row r="355" spans="1:64" x14ac:dyDescent="0.3">
      <c r="A355" t="s">
        <v>191</v>
      </c>
      <c r="B355" s="1" t="s">
        <v>191</v>
      </c>
      <c r="C355" s="9" t="s">
        <v>192</v>
      </c>
      <c r="D355" s="1" t="s">
        <v>95</v>
      </c>
      <c r="E355" s="1" t="s">
        <v>135</v>
      </c>
      <c r="F355" s="10" t="s">
        <v>193</v>
      </c>
      <c r="G355" s="1">
        <v>3.5000000000000003E-2</v>
      </c>
      <c r="H355" s="1">
        <v>0.05</v>
      </c>
      <c r="I355" s="8">
        <v>44092</v>
      </c>
      <c r="J355" s="6">
        <v>778146</v>
      </c>
      <c r="K355" s="6">
        <v>63598</v>
      </c>
      <c r="L355" s="6">
        <v>34738.660000000003</v>
      </c>
      <c r="M355" s="6">
        <v>2839.2</v>
      </c>
      <c r="N355" s="7">
        <v>7515.57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50504.639999999999</v>
      </c>
      <c r="U355" s="6">
        <v>45093.43</v>
      </c>
      <c r="V355" s="6">
        <v>0</v>
      </c>
      <c r="W355" s="6">
        <v>4208.72</v>
      </c>
      <c r="AI355" s="2">
        <v>778146</v>
      </c>
      <c r="AJ355" s="2">
        <v>63598</v>
      </c>
      <c r="AK355" s="2">
        <v>34738.660000000003</v>
      </c>
      <c r="AL355" s="2">
        <v>2839.2</v>
      </c>
      <c r="AM355" s="5">
        <v>7515.57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50504.639999999999</v>
      </c>
      <c r="AT355" s="12">
        <v>45093.43</v>
      </c>
      <c r="AU355" s="2">
        <v>0</v>
      </c>
      <c r="AV355" s="5">
        <v>4208.72</v>
      </c>
      <c r="BL355" s="1" t="s">
        <v>137</v>
      </c>
    </row>
    <row r="356" spans="1:64" x14ac:dyDescent="0.3">
      <c r="A356" t="s">
        <v>191</v>
      </c>
      <c r="B356" s="1" t="s">
        <v>194</v>
      </c>
      <c r="C356" s="9" t="s">
        <v>195</v>
      </c>
      <c r="D356" s="1" t="s">
        <v>95</v>
      </c>
      <c r="E356" s="1" t="s">
        <v>135</v>
      </c>
      <c r="F356" s="10" t="s">
        <v>193</v>
      </c>
      <c r="G356" s="1">
        <v>4.4999999999999998E-2</v>
      </c>
      <c r="H356" s="1">
        <v>0.05</v>
      </c>
      <c r="I356" s="8">
        <v>44092</v>
      </c>
      <c r="J356" s="6">
        <v>379268</v>
      </c>
      <c r="K356" s="6">
        <v>33068</v>
      </c>
      <c r="L356" s="6">
        <v>16931.61</v>
      </c>
      <c r="M356" s="6">
        <v>1476.25</v>
      </c>
      <c r="N356" s="7">
        <v>3681.57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24740.16</v>
      </c>
      <c r="U356" s="6">
        <v>22089.43</v>
      </c>
      <c r="V356" s="6">
        <v>0</v>
      </c>
      <c r="W356" s="6">
        <v>2061.6799999999998</v>
      </c>
      <c r="AI356" s="2">
        <v>379268</v>
      </c>
      <c r="AJ356" s="2">
        <v>33068</v>
      </c>
      <c r="AK356" s="2">
        <v>16931.61</v>
      </c>
      <c r="AL356" s="2">
        <v>1476.25</v>
      </c>
      <c r="AM356" s="5">
        <v>3681.57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24740.16</v>
      </c>
      <c r="AT356" s="12">
        <v>22089.43</v>
      </c>
      <c r="AU356" s="2">
        <v>0</v>
      </c>
      <c r="AV356" s="5">
        <v>2061.6799999999998</v>
      </c>
      <c r="BL356" s="1" t="s">
        <v>137</v>
      </c>
    </row>
    <row r="357" spans="1:64" x14ac:dyDescent="0.3">
      <c r="A357" t="s">
        <v>191</v>
      </c>
      <c r="B357" s="1" t="s">
        <v>196</v>
      </c>
      <c r="C357" s="9" t="s">
        <v>197</v>
      </c>
      <c r="D357" s="1" t="s">
        <v>95</v>
      </c>
      <c r="E357" s="1" t="s">
        <v>135</v>
      </c>
      <c r="F357" s="10" t="s">
        <v>193</v>
      </c>
      <c r="G357" s="1">
        <v>4.4999999999999998E-2</v>
      </c>
      <c r="H357" s="1">
        <v>0.05</v>
      </c>
      <c r="I357" s="8">
        <v>44092</v>
      </c>
      <c r="J357" s="6">
        <v>541913</v>
      </c>
      <c r="K357" s="6">
        <v>57691</v>
      </c>
      <c r="L357" s="6">
        <v>24192.54</v>
      </c>
      <c r="M357" s="6">
        <v>2575.4899999999998</v>
      </c>
      <c r="N357" s="7">
        <v>5353.61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35976.239999999998</v>
      </c>
      <c r="U357" s="6">
        <v>32121.64</v>
      </c>
      <c r="V357" s="6">
        <v>0</v>
      </c>
      <c r="W357" s="6">
        <v>2998.02</v>
      </c>
      <c r="AI357" s="2">
        <v>541913</v>
      </c>
      <c r="AJ357" s="2">
        <v>57691</v>
      </c>
      <c r="AK357" s="2">
        <v>24192.54</v>
      </c>
      <c r="AL357" s="2">
        <v>2575.4899999999998</v>
      </c>
      <c r="AM357" s="5">
        <v>5353.61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35976.239999999998</v>
      </c>
      <c r="AT357" s="12">
        <v>32121.64</v>
      </c>
      <c r="AU357" s="2">
        <v>0</v>
      </c>
      <c r="AV357" s="5">
        <v>2998.02</v>
      </c>
      <c r="BL357" s="1" t="s">
        <v>137</v>
      </c>
    </row>
    <row r="358" spans="1:64" x14ac:dyDescent="0.3">
      <c r="A358" t="s">
        <v>191</v>
      </c>
      <c r="B358" s="1" t="s">
        <v>198</v>
      </c>
      <c r="C358" s="9" t="s">
        <v>199</v>
      </c>
      <c r="D358" s="1" t="s">
        <v>95</v>
      </c>
      <c r="E358" s="1" t="s">
        <v>135</v>
      </c>
      <c r="F358" s="10" t="s">
        <v>193</v>
      </c>
      <c r="G358" s="1">
        <v>0</v>
      </c>
      <c r="H358" s="1">
        <v>0.05</v>
      </c>
      <c r="I358" s="8">
        <v>44151</v>
      </c>
      <c r="J358" s="6">
        <v>606909</v>
      </c>
      <c r="K358" s="6">
        <v>32969</v>
      </c>
      <c r="L358" s="6">
        <v>27094.15</v>
      </c>
      <c r="M358" s="6">
        <v>1471.83</v>
      </c>
      <c r="N358" s="7">
        <v>5713.2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38392.68</v>
      </c>
      <c r="U358" s="6">
        <v>34279.18</v>
      </c>
      <c r="V358" s="6">
        <v>0</v>
      </c>
      <c r="W358" s="6">
        <v>3199.39</v>
      </c>
      <c r="AI358" s="2">
        <v>606909</v>
      </c>
      <c r="AJ358" s="2">
        <v>32969</v>
      </c>
      <c r="AK358" s="2">
        <v>27094.15</v>
      </c>
      <c r="AL358" s="2">
        <v>1471.83</v>
      </c>
      <c r="AM358" s="5">
        <v>5713.2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38392.68</v>
      </c>
      <c r="AT358" s="12">
        <v>34279.18</v>
      </c>
      <c r="AU358" s="2">
        <v>0</v>
      </c>
      <c r="AV358" s="5">
        <v>3199.39</v>
      </c>
      <c r="BL358" s="1" t="s">
        <v>137</v>
      </c>
    </row>
    <row r="359" spans="1:64" x14ac:dyDescent="0.3">
      <c r="A359" t="s">
        <v>191</v>
      </c>
      <c r="B359" s="1" t="s">
        <v>200</v>
      </c>
      <c r="C359" s="9" t="s">
        <v>201</v>
      </c>
      <c r="D359" s="1" t="s">
        <v>95</v>
      </c>
      <c r="E359" s="1" t="s">
        <v>135</v>
      </c>
      <c r="F359" s="10" t="s">
        <v>193</v>
      </c>
      <c r="G359" s="1">
        <v>0</v>
      </c>
      <c r="H359" s="1">
        <v>0.05</v>
      </c>
      <c r="I359" s="8">
        <v>44544</v>
      </c>
      <c r="J359" s="6">
        <v>1303570</v>
      </c>
      <c r="K359" s="6">
        <v>58174</v>
      </c>
      <c r="L359" s="6">
        <v>58195.09</v>
      </c>
      <c r="M359" s="6">
        <v>2597.0500000000002</v>
      </c>
      <c r="N359" s="7">
        <v>12158.43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81704.639999999999</v>
      </c>
      <c r="U359" s="6">
        <v>72950.570000000007</v>
      </c>
      <c r="V359" s="6">
        <v>0</v>
      </c>
      <c r="W359" s="6">
        <v>6808.72</v>
      </c>
      <c r="AI359" s="2">
        <v>1303570</v>
      </c>
      <c r="AJ359" s="2">
        <v>58174</v>
      </c>
      <c r="AK359" s="2">
        <v>58195.09</v>
      </c>
      <c r="AL359" s="2">
        <v>2597.0500000000002</v>
      </c>
      <c r="AM359" s="5">
        <v>12158.43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81704.639999999999</v>
      </c>
      <c r="AT359" s="12">
        <v>72950.570000000007</v>
      </c>
      <c r="AU359" s="2">
        <v>0</v>
      </c>
      <c r="AV359" s="5">
        <v>6808.72</v>
      </c>
      <c r="BL359" s="1" t="s">
        <v>137</v>
      </c>
    </row>
    <row r="360" spans="1:64" x14ac:dyDescent="0.3">
      <c r="A360" t="s">
        <v>191</v>
      </c>
      <c r="B360" s="1" t="s">
        <v>202</v>
      </c>
      <c r="C360" s="9" t="s">
        <v>203</v>
      </c>
      <c r="D360" s="1" t="s">
        <v>95</v>
      </c>
      <c r="E360" s="1" t="s">
        <v>135</v>
      </c>
      <c r="F360" s="10" t="s">
        <v>193</v>
      </c>
      <c r="G360" s="1">
        <v>0</v>
      </c>
      <c r="H360" s="1">
        <v>0.05</v>
      </c>
      <c r="I360" s="8">
        <v>45349</v>
      </c>
      <c r="J360" s="6">
        <v>677820</v>
      </c>
      <c r="K360" s="6">
        <v>24219</v>
      </c>
      <c r="L360" s="6">
        <v>30259.82</v>
      </c>
      <c r="M360" s="6">
        <v>1081.21</v>
      </c>
      <c r="N360" s="7">
        <v>6268.21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42122.35</v>
      </c>
      <c r="U360" s="6">
        <v>37609.24</v>
      </c>
      <c r="V360" s="6">
        <v>0</v>
      </c>
      <c r="W360" s="6">
        <v>3510.2</v>
      </c>
      <c r="AI360" s="2">
        <v>677820</v>
      </c>
      <c r="AJ360" s="2">
        <v>24219</v>
      </c>
      <c r="AK360" s="2">
        <v>30259.82</v>
      </c>
      <c r="AL360" s="2">
        <v>1081.21</v>
      </c>
      <c r="AM360" s="5">
        <v>6268.21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42122.35</v>
      </c>
      <c r="AT360" s="12">
        <v>37609.24</v>
      </c>
      <c r="AU360" s="2">
        <v>0</v>
      </c>
      <c r="AV360" s="5">
        <v>3510.2</v>
      </c>
      <c r="BL360" s="1" t="s">
        <v>137</v>
      </c>
    </row>
    <row r="361" spans="1:64" x14ac:dyDescent="0.3">
      <c r="A361" t="s">
        <v>216</v>
      </c>
      <c r="B361" s="1" t="s">
        <v>216</v>
      </c>
      <c r="C361" s="9" t="s">
        <v>217</v>
      </c>
      <c r="D361" s="1" t="s">
        <v>95</v>
      </c>
      <c r="E361" s="1" t="s">
        <v>88</v>
      </c>
      <c r="F361" s="10" t="s">
        <v>218</v>
      </c>
      <c r="G361" s="1">
        <v>0.04</v>
      </c>
      <c r="H361" s="1">
        <v>0.05</v>
      </c>
      <c r="I361" s="8">
        <v>44606</v>
      </c>
      <c r="J361" s="6">
        <v>1528588</v>
      </c>
      <c r="K361" s="6">
        <v>237791</v>
      </c>
      <c r="L361" s="6">
        <v>68240.539999999994</v>
      </c>
      <c r="M361" s="6">
        <v>10615.67</v>
      </c>
      <c r="N361" s="7">
        <v>15771.24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105982.74</v>
      </c>
      <c r="U361" s="6">
        <v>94627.45</v>
      </c>
      <c r="V361" s="6">
        <v>0</v>
      </c>
      <c r="W361" s="6">
        <v>8831.9</v>
      </c>
      <c r="AI361" s="2">
        <v>1528588</v>
      </c>
      <c r="AJ361" s="2">
        <v>237791</v>
      </c>
      <c r="AK361" s="2">
        <v>68240.539999999994</v>
      </c>
      <c r="AL361" s="2">
        <v>10615.67</v>
      </c>
      <c r="AM361" s="5">
        <v>15771.24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105982.74</v>
      </c>
      <c r="AT361" s="12">
        <v>94627.45</v>
      </c>
      <c r="AU361" s="2">
        <v>0</v>
      </c>
      <c r="AV361" s="5">
        <v>8831.9</v>
      </c>
      <c r="BL361" s="1" t="s">
        <v>90</v>
      </c>
    </row>
    <row r="362" spans="1:64" x14ac:dyDescent="0.3">
      <c r="A362" t="s">
        <v>237</v>
      </c>
      <c r="B362" s="1" t="s">
        <v>237</v>
      </c>
      <c r="C362" s="9" t="s">
        <v>238</v>
      </c>
      <c r="D362" s="1" t="s">
        <v>95</v>
      </c>
      <c r="E362" s="1" t="s">
        <v>135</v>
      </c>
      <c r="F362" s="10" t="s">
        <v>193</v>
      </c>
      <c r="G362" s="1">
        <v>3.5000000000000003E-2</v>
      </c>
      <c r="H362" s="1">
        <v>0.05</v>
      </c>
      <c r="I362" s="8">
        <v>45496</v>
      </c>
      <c r="J362" s="6">
        <v>1117061</v>
      </c>
      <c r="K362" s="6">
        <v>229355</v>
      </c>
      <c r="L362" s="6">
        <v>49868.79</v>
      </c>
      <c r="M362" s="6">
        <v>10239.06</v>
      </c>
      <c r="N362" s="7">
        <v>12021.57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80784.95</v>
      </c>
      <c r="U362" s="6">
        <v>72129.42</v>
      </c>
      <c r="V362" s="6">
        <v>0</v>
      </c>
      <c r="W362" s="6">
        <v>6732.08</v>
      </c>
      <c r="AI362" s="2">
        <v>1117061</v>
      </c>
      <c r="AJ362" s="2">
        <v>229355</v>
      </c>
      <c r="AK362" s="2">
        <v>49868.79</v>
      </c>
      <c r="AL362" s="2">
        <v>10239.06</v>
      </c>
      <c r="AM362" s="5">
        <v>12021.57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80784.95</v>
      </c>
      <c r="AT362" s="12">
        <v>72129.42</v>
      </c>
      <c r="AU362" s="2">
        <v>0</v>
      </c>
      <c r="AV362" s="5">
        <v>6732.08</v>
      </c>
      <c r="BL362" s="1" t="s">
        <v>137</v>
      </c>
    </row>
    <row r="363" spans="1:64" x14ac:dyDescent="0.3">
      <c r="A363" t="s">
        <v>249</v>
      </c>
      <c r="B363" s="1" t="s">
        <v>249</v>
      </c>
      <c r="C363" s="9" t="s">
        <v>250</v>
      </c>
      <c r="D363" s="1" t="s">
        <v>95</v>
      </c>
      <c r="E363" s="1" t="s">
        <v>88</v>
      </c>
      <c r="F363" s="10" t="s">
        <v>218</v>
      </c>
      <c r="G363" s="1">
        <v>3.5000000000000003E-2</v>
      </c>
      <c r="H363" s="1">
        <v>0.05</v>
      </c>
      <c r="I363" s="8">
        <v>45657</v>
      </c>
      <c r="J363" s="6">
        <v>1120581</v>
      </c>
      <c r="K363" s="6">
        <v>252008</v>
      </c>
      <c r="L363" s="6">
        <v>50025.94</v>
      </c>
      <c r="M363" s="6">
        <v>11250.36</v>
      </c>
      <c r="N363" s="7">
        <v>12255.26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82355.350000000006</v>
      </c>
      <c r="U363" s="6">
        <v>73531.56</v>
      </c>
      <c r="V363" s="6">
        <v>0</v>
      </c>
      <c r="W363" s="6">
        <v>6862.94</v>
      </c>
      <c r="AI363" s="2">
        <v>1120581</v>
      </c>
      <c r="AJ363" s="2">
        <v>252008</v>
      </c>
      <c r="AK363" s="2">
        <v>50025.94</v>
      </c>
      <c r="AL363" s="2">
        <v>11250.36</v>
      </c>
      <c r="AM363" s="5">
        <v>12255.26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82355.350000000006</v>
      </c>
      <c r="AT363" s="12">
        <v>73531.56</v>
      </c>
      <c r="AU363" s="2">
        <v>0</v>
      </c>
      <c r="AV363" s="5">
        <v>6862.94</v>
      </c>
      <c r="BL363" s="1" t="s">
        <v>90</v>
      </c>
    </row>
    <row r="364" spans="1:64" x14ac:dyDescent="0.3">
      <c r="A364" t="s">
        <v>249</v>
      </c>
      <c r="B364" s="1" t="s">
        <v>251</v>
      </c>
      <c r="C364" s="9" t="s">
        <v>252</v>
      </c>
      <c r="D364" s="1" t="s">
        <v>95</v>
      </c>
      <c r="E364" s="1" t="s">
        <v>88</v>
      </c>
      <c r="F364" s="10" t="s">
        <v>218</v>
      </c>
      <c r="G364" s="1">
        <v>3.5000000000000003E-2</v>
      </c>
      <c r="H364" s="1">
        <v>0.05</v>
      </c>
      <c r="I364" s="8">
        <v>45657</v>
      </c>
      <c r="J364" s="6">
        <v>1032597</v>
      </c>
      <c r="K364" s="6">
        <v>223838</v>
      </c>
      <c r="L364" s="6">
        <v>46098.080000000002</v>
      </c>
      <c r="M364" s="6">
        <v>9992.77</v>
      </c>
      <c r="N364" s="7">
        <v>11218.17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75386.100000000006</v>
      </c>
      <c r="U364" s="6">
        <v>67309.02</v>
      </c>
      <c r="V364" s="6">
        <v>0</v>
      </c>
      <c r="W364" s="6">
        <v>6282.18</v>
      </c>
      <c r="AI364" s="2">
        <v>1032597</v>
      </c>
      <c r="AJ364" s="2">
        <v>223838</v>
      </c>
      <c r="AK364" s="2">
        <v>46098.080000000002</v>
      </c>
      <c r="AL364" s="2">
        <v>9992.77</v>
      </c>
      <c r="AM364" s="5">
        <v>11218.17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75386.100000000006</v>
      </c>
      <c r="AT364" s="12">
        <v>67309.02</v>
      </c>
      <c r="AU364" s="2">
        <v>0</v>
      </c>
      <c r="AV364" s="5">
        <v>6282.18</v>
      </c>
      <c r="BL364" s="1" t="s">
        <v>90</v>
      </c>
    </row>
    <row r="365" spans="1:64" x14ac:dyDescent="0.3">
      <c r="A365" t="s">
        <v>255</v>
      </c>
      <c r="B365" s="1" t="s">
        <v>255</v>
      </c>
      <c r="C365" s="9" t="s">
        <v>256</v>
      </c>
      <c r="D365" s="1" t="s">
        <v>95</v>
      </c>
      <c r="E365" s="1" t="s">
        <v>135</v>
      </c>
      <c r="F365" s="10" t="s">
        <v>136</v>
      </c>
      <c r="G365" s="1">
        <v>3.5000000000000003E-2</v>
      </c>
      <c r="H365" s="1">
        <v>0.05</v>
      </c>
      <c r="I365" s="8">
        <v>45608</v>
      </c>
      <c r="J365" s="6">
        <v>1766435.08</v>
      </c>
      <c r="K365" s="6">
        <v>329359</v>
      </c>
      <c r="L365" s="6">
        <v>78858.710000000006</v>
      </c>
      <c r="M365" s="6">
        <v>14703.53</v>
      </c>
      <c r="N365" s="7">
        <v>18712.45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125747.65</v>
      </c>
      <c r="U365" s="6">
        <v>112274.69</v>
      </c>
      <c r="V365" s="6">
        <v>0</v>
      </c>
      <c r="W365" s="6">
        <v>10478.969999999999</v>
      </c>
      <c r="AI365" s="2">
        <v>1766435.08</v>
      </c>
      <c r="AJ365" s="2">
        <v>329359</v>
      </c>
      <c r="AK365" s="2">
        <v>78858.710000000006</v>
      </c>
      <c r="AL365" s="2">
        <v>14703.53</v>
      </c>
      <c r="AM365" s="5">
        <v>18712.45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125747.65</v>
      </c>
      <c r="AT365" s="12">
        <v>112274.69</v>
      </c>
      <c r="AU365" s="2">
        <v>0</v>
      </c>
      <c r="AV365" s="5">
        <v>10478.969999999999</v>
      </c>
      <c r="BL365" s="1" t="s">
        <v>137</v>
      </c>
    </row>
    <row r="366" spans="1:64" x14ac:dyDescent="0.3">
      <c r="A366" t="s">
        <v>255</v>
      </c>
      <c r="B366" s="1" t="s">
        <v>257</v>
      </c>
      <c r="C366" s="9" t="s">
        <v>258</v>
      </c>
      <c r="D366" s="1" t="s">
        <v>95</v>
      </c>
      <c r="E366" s="1" t="s">
        <v>135</v>
      </c>
      <c r="F366" s="10" t="s">
        <v>136</v>
      </c>
      <c r="G366" s="1">
        <v>3.5000000000000003E-2</v>
      </c>
      <c r="H366" s="1">
        <v>0.05</v>
      </c>
      <c r="I366" s="8">
        <v>45608</v>
      </c>
      <c r="J366" s="6">
        <v>124027</v>
      </c>
      <c r="K366" s="6">
        <v>66564</v>
      </c>
      <c r="L366" s="6">
        <v>5536.92</v>
      </c>
      <c r="M366" s="6">
        <v>2971.61</v>
      </c>
      <c r="N366" s="7">
        <v>1701.71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11435.47</v>
      </c>
      <c r="U366" s="6">
        <v>10210.240000000002</v>
      </c>
      <c r="V366" s="6">
        <v>0</v>
      </c>
      <c r="W366" s="6">
        <v>952.96</v>
      </c>
      <c r="AI366" s="2">
        <v>124027</v>
      </c>
      <c r="AJ366" s="2">
        <v>66564</v>
      </c>
      <c r="AK366" s="2">
        <v>5536.92</v>
      </c>
      <c r="AL366" s="2">
        <v>2971.61</v>
      </c>
      <c r="AM366" s="5">
        <v>1701.71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11435.47</v>
      </c>
      <c r="AT366" s="12">
        <v>10210.240000000002</v>
      </c>
      <c r="AU366" s="2">
        <v>0</v>
      </c>
      <c r="AV366" s="5">
        <v>952.96</v>
      </c>
      <c r="BL366" s="1" t="s">
        <v>137</v>
      </c>
    </row>
    <row r="367" spans="1:64" x14ac:dyDescent="0.3">
      <c r="A367" t="s">
        <v>255</v>
      </c>
      <c r="B367" s="1" t="s">
        <v>259</v>
      </c>
      <c r="C367" s="9" t="s">
        <v>260</v>
      </c>
      <c r="D367" s="1" t="s">
        <v>95</v>
      </c>
      <c r="E367" s="1" t="s">
        <v>135</v>
      </c>
      <c r="F367" s="10" t="s">
        <v>136</v>
      </c>
      <c r="G367" s="1">
        <v>3.5000000000000003E-2</v>
      </c>
      <c r="H367" s="1">
        <v>0.05</v>
      </c>
      <c r="I367" s="8">
        <v>45608</v>
      </c>
      <c r="J367" s="6">
        <v>225228</v>
      </c>
      <c r="K367" s="6">
        <v>81871</v>
      </c>
      <c r="L367" s="6">
        <v>10054.82</v>
      </c>
      <c r="M367" s="6">
        <v>3654.96</v>
      </c>
      <c r="N367" s="7">
        <v>2741.96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18425.95</v>
      </c>
      <c r="U367" s="6">
        <v>16451.739999999998</v>
      </c>
      <c r="V367" s="6">
        <v>0</v>
      </c>
      <c r="W367" s="6">
        <v>1535.5</v>
      </c>
      <c r="AI367" s="2">
        <v>225228</v>
      </c>
      <c r="AJ367" s="2">
        <v>81871</v>
      </c>
      <c r="AK367" s="2">
        <v>10054.82</v>
      </c>
      <c r="AL367" s="2">
        <v>3654.96</v>
      </c>
      <c r="AM367" s="5">
        <v>2741.96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18425.95</v>
      </c>
      <c r="AT367" s="12">
        <v>16451.739999999998</v>
      </c>
      <c r="AU367" s="2">
        <v>0</v>
      </c>
      <c r="AV367" s="5">
        <v>1535.5</v>
      </c>
      <c r="BL367" s="1" t="s">
        <v>137</v>
      </c>
    </row>
    <row r="368" spans="1:64" x14ac:dyDescent="0.3">
      <c r="A368" t="s">
        <v>278</v>
      </c>
      <c r="B368" s="1" t="s">
        <v>278</v>
      </c>
      <c r="C368" s="9" t="s">
        <v>279</v>
      </c>
      <c r="D368" s="1" t="s">
        <v>95</v>
      </c>
      <c r="E368" s="1" t="s">
        <v>88</v>
      </c>
      <c r="F368" s="10" t="s">
        <v>218</v>
      </c>
      <c r="G368" s="1">
        <v>3.5000000000000003E-2</v>
      </c>
      <c r="H368" s="1">
        <v>0.05</v>
      </c>
      <c r="I368" s="8">
        <v>44262</v>
      </c>
      <c r="J368" s="6">
        <v>216052</v>
      </c>
      <c r="K368" s="6">
        <v>52925</v>
      </c>
      <c r="L368" s="6">
        <v>9645.18</v>
      </c>
      <c r="M368" s="6">
        <v>2362.7199999999998</v>
      </c>
      <c r="N368" s="7">
        <v>2401.58</v>
      </c>
      <c r="O368" s="6">
        <v>112558.18</v>
      </c>
      <c r="P368" s="6">
        <v>26061.14</v>
      </c>
      <c r="Q368" s="6">
        <v>5024.92</v>
      </c>
      <c r="R368" s="6">
        <v>1163.45</v>
      </c>
      <c r="S368" s="7">
        <v>1237.67</v>
      </c>
      <c r="T368" s="11">
        <v>24455.78</v>
      </c>
      <c r="U368" s="6">
        <v>21835.520000000004</v>
      </c>
      <c r="V368" s="6">
        <v>0</v>
      </c>
      <c r="W368" s="6">
        <v>2037.98</v>
      </c>
      <c r="AI368" s="2">
        <v>216052</v>
      </c>
      <c r="AJ368" s="2">
        <v>52925</v>
      </c>
      <c r="AK368" s="2">
        <v>9645.18</v>
      </c>
      <c r="AL368" s="2">
        <v>2362.7199999999998</v>
      </c>
      <c r="AM368" s="5">
        <v>2401.58</v>
      </c>
      <c r="AN368" s="12">
        <v>112558.18</v>
      </c>
      <c r="AO368" s="2">
        <v>26061.14</v>
      </c>
      <c r="AP368" s="2">
        <v>5024.92</v>
      </c>
      <c r="AQ368" s="2">
        <v>1163.45</v>
      </c>
      <c r="AR368" s="5">
        <v>1237.67</v>
      </c>
      <c r="AS368" s="2">
        <v>24455.78</v>
      </c>
      <c r="AT368" s="12">
        <v>21835.520000000004</v>
      </c>
      <c r="AU368" s="2">
        <v>0</v>
      </c>
      <c r="AV368" s="5">
        <v>2037.98</v>
      </c>
      <c r="BL368" s="1" t="s">
        <v>90</v>
      </c>
    </row>
    <row r="369" spans="1:64" x14ac:dyDescent="0.3">
      <c r="A369" t="s">
        <v>282</v>
      </c>
      <c r="B369" s="1" t="s">
        <v>282</v>
      </c>
      <c r="C369" s="9" t="s">
        <v>283</v>
      </c>
      <c r="D369" s="1" t="s">
        <v>95</v>
      </c>
      <c r="E369" s="1" t="s">
        <v>135</v>
      </c>
      <c r="F369" s="10" t="s">
        <v>193</v>
      </c>
      <c r="G369" s="1">
        <v>3.5000000000000003E-2</v>
      </c>
      <c r="H369" s="1">
        <v>0.05</v>
      </c>
      <c r="I369" s="8">
        <v>45496</v>
      </c>
      <c r="J369" s="6">
        <v>928386</v>
      </c>
      <c r="K369" s="6">
        <v>369612</v>
      </c>
      <c r="L369" s="6">
        <v>41445.800000000003</v>
      </c>
      <c r="M369" s="6">
        <v>16500.54</v>
      </c>
      <c r="N369" s="7">
        <v>11589.27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77879.88</v>
      </c>
      <c r="U369" s="6">
        <v>69535.61</v>
      </c>
      <c r="V369" s="6">
        <v>0</v>
      </c>
      <c r="W369" s="6">
        <v>6489.99</v>
      </c>
      <c r="AI369" s="2">
        <v>928386</v>
      </c>
      <c r="AJ369" s="2">
        <v>369612</v>
      </c>
      <c r="AK369" s="2">
        <v>41445.800000000003</v>
      </c>
      <c r="AL369" s="2">
        <v>16500.54</v>
      </c>
      <c r="AM369" s="5">
        <v>11589.27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77879.88</v>
      </c>
      <c r="AT369" s="12">
        <v>69535.61</v>
      </c>
      <c r="AU369" s="2">
        <v>0</v>
      </c>
      <c r="AV369" s="5">
        <v>6489.99</v>
      </c>
      <c r="BL369" s="1" t="s">
        <v>137</v>
      </c>
    </row>
    <row r="370" spans="1:64" x14ac:dyDescent="0.3">
      <c r="A370" t="s">
        <v>282</v>
      </c>
      <c r="B370" s="1" t="s">
        <v>284</v>
      </c>
      <c r="C370" s="9" t="s">
        <v>285</v>
      </c>
      <c r="D370" s="1" t="s">
        <v>95</v>
      </c>
      <c r="E370" s="1" t="s">
        <v>135</v>
      </c>
      <c r="F370" s="10" t="s">
        <v>193</v>
      </c>
      <c r="G370" s="1">
        <v>3.5000000000000003E-2</v>
      </c>
      <c r="H370" s="1">
        <v>0.05</v>
      </c>
      <c r="I370" s="8">
        <v>45496</v>
      </c>
      <c r="J370" s="6">
        <v>515632</v>
      </c>
      <c r="K370" s="6">
        <v>325276</v>
      </c>
      <c r="L370" s="6">
        <v>23019.29</v>
      </c>
      <c r="M370" s="6">
        <v>14521.25</v>
      </c>
      <c r="N370" s="7">
        <v>7508.11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50454.49</v>
      </c>
      <c r="U370" s="6">
        <v>45048.65</v>
      </c>
      <c r="V370" s="6">
        <v>0</v>
      </c>
      <c r="W370" s="6">
        <v>4204.54</v>
      </c>
      <c r="AI370" s="2">
        <v>515632</v>
      </c>
      <c r="AJ370" s="2">
        <v>325276</v>
      </c>
      <c r="AK370" s="2">
        <v>23019.29</v>
      </c>
      <c r="AL370" s="2">
        <v>14521.25</v>
      </c>
      <c r="AM370" s="5">
        <v>7508.11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50454.49</v>
      </c>
      <c r="AT370" s="12">
        <v>45048.65</v>
      </c>
      <c r="AU370" s="2">
        <v>0</v>
      </c>
      <c r="AV370" s="5">
        <v>4204.54</v>
      </c>
      <c r="BL370" s="1" t="s">
        <v>137</v>
      </c>
    </row>
    <row r="371" spans="1:64" x14ac:dyDescent="0.3">
      <c r="A371" t="s">
        <v>282</v>
      </c>
      <c r="B371" s="1" t="s">
        <v>286</v>
      </c>
      <c r="C371" s="9" t="s">
        <v>287</v>
      </c>
      <c r="D371" s="1" t="s">
        <v>95</v>
      </c>
      <c r="E371" s="1" t="s">
        <v>135</v>
      </c>
      <c r="F371" s="10" t="s">
        <v>193</v>
      </c>
      <c r="G371" s="1">
        <v>0</v>
      </c>
      <c r="H371" s="1">
        <v>0.05</v>
      </c>
      <c r="I371" s="8">
        <v>45496</v>
      </c>
      <c r="J371" s="6">
        <v>281678</v>
      </c>
      <c r="K371" s="6">
        <v>149762</v>
      </c>
      <c r="L371" s="6">
        <v>12574.91</v>
      </c>
      <c r="M371" s="6">
        <v>6685.8</v>
      </c>
      <c r="N371" s="7">
        <v>3852.14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25886.39</v>
      </c>
      <c r="U371" s="6">
        <v>23112.85</v>
      </c>
      <c r="V371" s="6">
        <v>0</v>
      </c>
      <c r="W371" s="6">
        <v>2157.1999999999998</v>
      </c>
      <c r="AI371" s="2">
        <v>281678</v>
      </c>
      <c r="AJ371" s="2">
        <v>149762</v>
      </c>
      <c r="AK371" s="2">
        <v>12574.91</v>
      </c>
      <c r="AL371" s="2">
        <v>6685.8</v>
      </c>
      <c r="AM371" s="5">
        <v>3852.14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25886.39</v>
      </c>
      <c r="AT371" s="12">
        <v>23112.85</v>
      </c>
      <c r="AU371" s="2">
        <v>0</v>
      </c>
      <c r="AV371" s="5">
        <v>2157.1999999999998</v>
      </c>
      <c r="BL371" s="1" t="s">
        <v>137</v>
      </c>
    </row>
    <row r="372" spans="1:64" x14ac:dyDescent="0.3">
      <c r="A372" t="s">
        <v>298</v>
      </c>
      <c r="B372" s="1" t="s">
        <v>298</v>
      </c>
      <c r="C372" s="9" t="s">
        <v>299</v>
      </c>
      <c r="D372" s="1" t="s">
        <v>95</v>
      </c>
      <c r="E372" s="1" t="s">
        <v>88</v>
      </c>
      <c r="F372" s="10" t="s">
        <v>218</v>
      </c>
      <c r="G372" s="1">
        <v>3.5000000000000003E-2</v>
      </c>
      <c r="H372" s="1">
        <v>0.05</v>
      </c>
      <c r="I372" s="8">
        <v>44000</v>
      </c>
      <c r="J372" s="6">
        <v>147879</v>
      </c>
      <c r="K372" s="6">
        <v>55010</v>
      </c>
      <c r="L372" s="6">
        <v>6601.74</v>
      </c>
      <c r="M372" s="6">
        <v>2455.8000000000002</v>
      </c>
      <c r="N372" s="7">
        <v>1811.51</v>
      </c>
      <c r="O372" s="6">
        <v>421213.60000000003</v>
      </c>
      <c r="P372" s="6">
        <v>111727.19999999998</v>
      </c>
      <c r="Q372" s="6">
        <v>18804.18</v>
      </c>
      <c r="R372" s="6">
        <v>4987.82</v>
      </c>
      <c r="S372" s="7">
        <v>4758.3999999999996</v>
      </c>
      <c r="T372" s="11">
        <v>44149.78</v>
      </c>
      <c r="U372" s="6">
        <v>39419.450000000004</v>
      </c>
      <c r="V372" s="6">
        <v>0</v>
      </c>
      <c r="W372" s="6">
        <v>3679.15</v>
      </c>
      <c r="AI372" s="2">
        <v>147879</v>
      </c>
      <c r="AJ372" s="2">
        <v>55010</v>
      </c>
      <c r="AK372" s="2">
        <v>6601.74</v>
      </c>
      <c r="AL372" s="2">
        <v>2455.8000000000002</v>
      </c>
      <c r="AM372" s="5">
        <v>1811.51</v>
      </c>
      <c r="AN372" s="12">
        <v>421213.60000000003</v>
      </c>
      <c r="AO372" s="2">
        <v>111727.19999999998</v>
      </c>
      <c r="AP372" s="2">
        <v>18804.18</v>
      </c>
      <c r="AQ372" s="2">
        <v>4987.82</v>
      </c>
      <c r="AR372" s="5">
        <v>4758.3999999999996</v>
      </c>
      <c r="AS372" s="2">
        <v>44149.78</v>
      </c>
      <c r="AT372" s="12">
        <v>39419.450000000004</v>
      </c>
      <c r="AU372" s="2">
        <v>0</v>
      </c>
      <c r="AV372" s="5">
        <v>3679.15</v>
      </c>
      <c r="BL372" s="1" t="s">
        <v>90</v>
      </c>
    </row>
    <row r="373" spans="1:64" x14ac:dyDescent="0.3">
      <c r="A373" t="s">
        <v>300</v>
      </c>
      <c r="B373" s="1" t="s">
        <v>300</v>
      </c>
      <c r="C373" s="9" t="s">
        <v>301</v>
      </c>
      <c r="D373" s="1" t="s">
        <v>95</v>
      </c>
      <c r="E373" s="1" t="s">
        <v>135</v>
      </c>
      <c r="F373" s="10" t="s">
        <v>136</v>
      </c>
      <c r="G373" s="1">
        <v>3.5000000000000003E-2</v>
      </c>
      <c r="H373" s="1">
        <v>0.05</v>
      </c>
      <c r="I373" s="8">
        <v>44019</v>
      </c>
      <c r="J373" s="6">
        <v>1830668</v>
      </c>
      <c r="K373" s="6">
        <v>186567</v>
      </c>
      <c r="L373" s="6">
        <v>81726.25</v>
      </c>
      <c r="M373" s="6">
        <v>8328.8799999999992</v>
      </c>
      <c r="N373" s="7">
        <v>18011.03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121034.1</v>
      </c>
      <c r="U373" s="6">
        <v>108066.16</v>
      </c>
      <c r="V373" s="6">
        <v>0</v>
      </c>
      <c r="W373" s="6">
        <v>10086.18</v>
      </c>
      <c r="AI373" s="2">
        <v>1830668</v>
      </c>
      <c r="AJ373" s="2">
        <v>186567</v>
      </c>
      <c r="AK373" s="2">
        <v>81726.25</v>
      </c>
      <c r="AL373" s="2">
        <v>8328.8799999999992</v>
      </c>
      <c r="AM373" s="5">
        <v>18011.03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121034.1</v>
      </c>
      <c r="AT373" s="12">
        <v>108066.16</v>
      </c>
      <c r="AU373" s="2">
        <v>0</v>
      </c>
      <c r="AV373" s="5">
        <v>10086.18</v>
      </c>
      <c r="BL373" s="1" t="s">
        <v>302</v>
      </c>
    </row>
    <row r="374" spans="1:64" x14ac:dyDescent="0.3">
      <c r="A374" t="s">
        <v>300</v>
      </c>
      <c r="B374" s="1" t="s">
        <v>303</v>
      </c>
      <c r="C374" s="9" t="s">
        <v>304</v>
      </c>
      <c r="D374" s="1" t="s">
        <v>95</v>
      </c>
      <c r="E374" s="1" t="s">
        <v>135</v>
      </c>
      <c r="F374" s="10" t="s">
        <v>136</v>
      </c>
      <c r="G374" s="1">
        <v>3.5000000000000003E-2</v>
      </c>
      <c r="H374" s="1">
        <v>0.05</v>
      </c>
      <c r="I374" s="8">
        <v>44019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404954.39999999997</v>
      </c>
      <c r="P374" s="6">
        <v>82522.8</v>
      </c>
      <c r="Q374" s="6">
        <v>18078.32</v>
      </c>
      <c r="R374" s="6">
        <v>3684.05</v>
      </c>
      <c r="S374" s="7">
        <v>4352.47</v>
      </c>
      <c r="T374" s="11">
        <v>29248.62</v>
      </c>
      <c r="U374" s="6">
        <v>26114.84</v>
      </c>
      <c r="V374" s="6">
        <v>0</v>
      </c>
      <c r="W374" s="6">
        <v>2437.39</v>
      </c>
      <c r="AI374" s="2">
        <v>0</v>
      </c>
      <c r="AJ374" s="2">
        <v>0</v>
      </c>
      <c r="AK374" s="2">
        <v>0</v>
      </c>
      <c r="AL374" s="2">
        <v>0</v>
      </c>
      <c r="AM374" s="5">
        <v>0</v>
      </c>
      <c r="AN374" s="12">
        <v>404954.39999999997</v>
      </c>
      <c r="AO374" s="2">
        <v>82522.8</v>
      </c>
      <c r="AP374" s="2">
        <v>18078.32</v>
      </c>
      <c r="AQ374" s="2">
        <v>3684.05</v>
      </c>
      <c r="AR374" s="5">
        <v>4352.47</v>
      </c>
      <c r="AS374" s="2">
        <v>29248.62</v>
      </c>
      <c r="AT374" s="12">
        <v>26114.84</v>
      </c>
      <c r="AU374" s="2">
        <v>0</v>
      </c>
      <c r="AV374" s="5">
        <v>2437.39</v>
      </c>
      <c r="BL374" s="1" t="s">
        <v>302</v>
      </c>
    </row>
    <row r="375" spans="1:64" x14ac:dyDescent="0.3">
      <c r="A375" t="s">
        <v>300</v>
      </c>
      <c r="B375" s="1" t="s">
        <v>305</v>
      </c>
      <c r="C375" s="9" t="s">
        <v>306</v>
      </c>
      <c r="D375" s="1" t="s">
        <v>95</v>
      </c>
      <c r="E375" s="1" t="s">
        <v>135</v>
      </c>
      <c r="F375" s="10" t="s">
        <v>136</v>
      </c>
      <c r="G375" s="1">
        <v>0</v>
      </c>
      <c r="H375" s="1">
        <v>0.05</v>
      </c>
      <c r="I375" s="8">
        <v>45767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265525.2</v>
      </c>
      <c r="P375" s="6">
        <v>0</v>
      </c>
      <c r="Q375" s="6">
        <v>4346.3900000000003</v>
      </c>
      <c r="R375" s="6">
        <v>0</v>
      </c>
      <c r="S375" s="7">
        <v>0</v>
      </c>
      <c r="T375" s="11">
        <v>4867.96</v>
      </c>
      <c r="U375" s="6">
        <v>4346.3900000000003</v>
      </c>
      <c r="V375" s="6">
        <v>0</v>
      </c>
      <c r="W375" s="6">
        <v>1327.63</v>
      </c>
      <c r="AI375" s="2">
        <v>0</v>
      </c>
      <c r="AJ375" s="2">
        <v>0</v>
      </c>
      <c r="AK375" s="2">
        <v>0</v>
      </c>
      <c r="AL375" s="2">
        <v>0</v>
      </c>
      <c r="AM375" s="5">
        <v>0</v>
      </c>
      <c r="AN375" s="12">
        <v>265525.2</v>
      </c>
      <c r="AO375" s="2">
        <v>0</v>
      </c>
      <c r="AP375" s="2">
        <v>4346.3900000000003</v>
      </c>
      <c r="AQ375" s="2">
        <v>0</v>
      </c>
      <c r="AR375" s="5">
        <v>0</v>
      </c>
      <c r="AS375" s="2">
        <v>4867.96</v>
      </c>
      <c r="AT375" s="12">
        <v>4346.3900000000003</v>
      </c>
      <c r="AU375" s="2">
        <v>0</v>
      </c>
      <c r="AV375" s="5">
        <v>1327.63</v>
      </c>
      <c r="BL375" s="1" t="s">
        <v>302</v>
      </c>
    </row>
    <row r="376" spans="1:64" x14ac:dyDescent="0.3">
      <c r="A376" t="s">
        <v>307</v>
      </c>
      <c r="B376" s="1" t="s">
        <v>307</v>
      </c>
      <c r="C376" s="9" t="s">
        <v>308</v>
      </c>
      <c r="D376" s="1" t="s">
        <v>95</v>
      </c>
      <c r="E376" s="1" t="s">
        <v>128</v>
      </c>
      <c r="F376" s="10" t="s">
        <v>309</v>
      </c>
      <c r="G376" s="1">
        <v>3.5000000000000003E-2</v>
      </c>
      <c r="H376" s="1">
        <v>0.05</v>
      </c>
      <c r="I376" s="8">
        <v>44040</v>
      </c>
      <c r="J376" s="6">
        <v>710757</v>
      </c>
      <c r="K376" s="6">
        <v>87818</v>
      </c>
      <c r="L376" s="6">
        <v>31730.22</v>
      </c>
      <c r="M376" s="6">
        <v>3920.45</v>
      </c>
      <c r="N376" s="7">
        <v>7130.13</v>
      </c>
      <c r="O376" s="6">
        <v>251607.37</v>
      </c>
      <c r="P376" s="6">
        <v>14047.39</v>
      </c>
      <c r="Q376" s="6">
        <v>11232.47</v>
      </c>
      <c r="R376" s="6">
        <v>627.12</v>
      </c>
      <c r="S376" s="7">
        <v>2371.92</v>
      </c>
      <c r="T376" s="11">
        <v>63853.79</v>
      </c>
      <c r="U376" s="6">
        <v>57012.31</v>
      </c>
      <c r="V376" s="6">
        <v>0</v>
      </c>
      <c r="W376" s="6">
        <v>5321.15</v>
      </c>
      <c r="AI376" s="2">
        <v>710757</v>
      </c>
      <c r="AJ376" s="2">
        <v>87818</v>
      </c>
      <c r="AK376" s="2">
        <v>31730.22</v>
      </c>
      <c r="AL376" s="2">
        <v>3920.45</v>
      </c>
      <c r="AM376" s="5">
        <v>7130.13</v>
      </c>
      <c r="AN376" s="12">
        <v>251607.37</v>
      </c>
      <c r="AO376" s="2">
        <v>14047.39</v>
      </c>
      <c r="AP376" s="2">
        <v>11232.47</v>
      </c>
      <c r="AQ376" s="2">
        <v>627.12</v>
      </c>
      <c r="AR376" s="5">
        <v>2371.92</v>
      </c>
      <c r="AS376" s="2">
        <v>63853.79</v>
      </c>
      <c r="AT376" s="12">
        <v>57012.31</v>
      </c>
      <c r="AU376" s="2">
        <v>0</v>
      </c>
      <c r="AV376" s="5">
        <v>5321.15</v>
      </c>
      <c r="BL376" s="1" t="s">
        <v>130</v>
      </c>
    </row>
    <row r="377" spans="1:64" x14ac:dyDescent="0.3">
      <c r="A377" t="s">
        <v>307</v>
      </c>
      <c r="B377" s="1" t="s">
        <v>310</v>
      </c>
      <c r="C377" s="9" t="s">
        <v>311</v>
      </c>
      <c r="D377" s="1" t="s">
        <v>95</v>
      </c>
      <c r="E377" s="1" t="s">
        <v>128</v>
      </c>
      <c r="F377" s="10" t="s">
        <v>309</v>
      </c>
      <c r="G377" s="1">
        <v>3.5000000000000003E-2</v>
      </c>
      <c r="H377" s="1">
        <v>0.05</v>
      </c>
      <c r="I377" s="8">
        <v>44040</v>
      </c>
      <c r="J377" s="6">
        <v>322359</v>
      </c>
      <c r="K377" s="6">
        <v>23953</v>
      </c>
      <c r="L377" s="6">
        <v>14391.03</v>
      </c>
      <c r="M377" s="6">
        <v>1069.33</v>
      </c>
      <c r="N377" s="7">
        <v>3092.07</v>
      </c>
      <c r="O377" s="6">
        <v>92886.71</v>
      </c>
      <c r="P377" s="6">
        <v>3596.81</v>
      </c>
      <c r="Q377" s="6">
        <v>4146.7299999999996</v>
      </c>
      <c r="R377" s="6">
        <v>160.57</v>
      </c>
      <c r="S377" s="7">
        <v>861.46</v>
      </c>
      <c r="T377" s="11">
        <v>26567.73</v>
      </c>
      <c r="U377" s="6">
        <v>23721.19</v>
      </c>
      <c r="V377" s="6">
        <v>0</v>
      </c>
      <c r="W377" s="6">
        <v>2213.98</v>
      </c>
      <c r="AI377" s="2">
        <v>322359</v>
      </c>
      <c r="AJ377" s="2">
        <v>23953</v>
      </c>
      <c r="AK377" s="2">
        <v>14391.03</v>
      </c>
      <c r="AL377" s="2">
        <v>1069.33</v>
      </c>
      <c r="AM377" s="5">
        <v>3092.07</v>
      </c>
      <c r="AN377" s="12">
        <v>92886.71</v>
      </c>
      <c r="AO377" s="2">
        <v>3596.81</v>
      </c>
      <c r="AP377" s="2">
        <v>4146.7299999999996</v>
      </c>
      <c r="AQ377" s="2">
        <v>160.57</v>
      </c>
      <c r="AR377" s="5">
        <v>861.46</v>
      </c>
      <c r="AS377" s="2">
        <v>26567.73</v>
      </c>
      <c r="AT377" s="12">
        <v>23721.19</v>
      </c>
      <c r="AU377" s="2">
        <v>0</v>
      </c>
      <c r="AV377" s="5">
        <v>2213.98</v>
      </c>
      <c r="BL377" s="1" t="s">
        <v>130</v>
      </c>
    </row>
    <row r="378" spans="1:64" x14ac:dyDescent="0.3">
      <c r="A378" t="s">
        <v>323</v>
      </c>
      <c r="B378" s="1" t="s">
        <v>323</v>
      </c>
      <c r="C378" s="9" t="s">
        <v>324</v>
      </c>
      <c r="D378" s="1" t="s">
        <v>95</v>
      </c>
      <c r="E378" s="1" t="s">
        <v>128</v>
      </c>
      <c r="F378" s="10" t="s">
        <v>325</v>
      </c>
      <c r="G378" s="1">
        <v>3.5000000000000003E-2</v>
      </c>
      <c r="H378" s="1">
        <v>0.05</v>
      </c>
      <c r="I378" s="8">
        <v>44424</v>
      </c>
      <c r="J378" s="6">
        <v>2422911</v>
      </c>
      <c r="K378" s="6">
        <v>159918</v>
      </c>
      <c r="L378" s="6">
        <v>108165.67</v>
      </c>
      <c r="M378" s="6">
        <v>7139.2</v>
      </c>
      <c r="N378" s="7">
        <v>23060.97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154969.74</v>
      </c>
      <c r="U378" s="6">
        <v>138365.84</v>
      </c>
      <c r="V378" s="6">
        <v>0</v>
      </c>
      <c r="W378" s="6">
        <v>12914.14</v>
      </c>
      <c r="AI378" s="2">
        <v>2422911</v>
      </c>
      <c r="AJ378" s="2">
        <v>159918</v>
      </c>
      <c r="AK378" s="2">
        <v>108165.67</v>
      </c>
      <c r="AL378" s="2">
        <v>7139.2</v>
      </c>
      <c r="AM378" s="5">
        <v>23060.97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154969.74</v>
      </c>
      <c r="AT378" s="12">
        <v>138365.84</v>
      </c>
      <c r="AU378" s="2">
        <v>0</v>
      </c>
      <c r="AV378" s="5">
        <v>12914.14</v>
      </c>
      <c r="BL378" s="1" t="s">
        <v>326</v>
      </c>
    </row>
    <row r="379" spans="1:64" x14ac:dyDescent="0.3">
      <c r="A379" t="s">
        <v>342</v>
      </c>
      <c r="B379" s="1" t="s">
        <v>342</v>
      </c>
      <c r="C379" s="9" t="s">
        <v>343</v>
      </c>
      <c r="D379" s="1" t="s">
        <v>95</v>
      </c>
      <c r="E379" s="1" t="s">
        <v>128</v>
      </c>
      <c r="F379" s="10" t="s">
        <v>147</v>
      </c>
      <c r="G379" s="1">
        <v>0.04</v>
      </c>
      <c r="H379" s="1">
        <v>0.05</v>
      </c>
      <c r="I379" s="8">
        <v>44615</v>
      </c>
      <c r="J379" s="6">
        <v>313866</v>
      </c>
      <c r="K379" s="6">
        <v>50075</v>
      </c>
      <c r="L379" s="6">
        <v>14011.87</v>
      </c>
      <c r="M379" s="6">
        <v>2235.4899999999998</v>
      </c>
      <c r="N379" s="7">
        <v>3249.47</v>
      </c>
      <c r="O379" s="6">
        <v>175299.8</v>
      </c>
      <c r="P379" s="6">
        <v>9639</v>
      </c>
      <c r="Q379" s="6">
        <v>7825.88</v>
      </c>
      <c r="R379" s="6">
        <v>430.31</v>
      </c>
      <c r="S379" s="7">
        <v>1651.24</v>
      </c>
      <c r="T379" s="11">
        <v>32932.769999999997</v>
      </c>
      <c r="U379" s="6">
        <v>29404.260000000006</v>
      </c>
      <c r="V379" s="6">
        <v>0</v>
      </c>
      <c r="W379" s="6">
        <v>2744.4</v>
      </c>
      <c r="AI379" s="2">
        <v>313866</v>
      </c>
      <c r="AJ379" s="2">
        <v>50075</v>
      </c>
      <c r="AK379" s="2">
        <v>14011.87</v>
      </c>
      <c r="AL379" s="2">
        <v>2235.4899999999998</v>
      </c>
      <c r="AM379" s="5">
        <v>3249.47</v>
      </c>
      <c r="AN379" s="12">
        <v>175299.8</v>
      </c>
      <c r="AO379" s="2">
        <v>9639</v>
      </c>
      <c r="AP379" s="2">
        <v>7825.88</v>
      </c>
      <c r="AQ379" s="2">
        <v>430.31</v>
      </c>
      <c r="AR379" s="5">
        <v>1651.24</v>
      </c>
      <c r="AS379" s="2">
        <v>32932.769999999997</v>
      </c>
      <c r="AT379" s="12">
        <v>29404.260000000006</v>
      </c>
      <c r="AU379" s="2">
        <v>0</v>
      </c>
      <c r="AV379" s="5">
        <v>2744.4</v>
      </c>
      <c r="BL379" s="1" t="s">
        <v>130</v>
      </c>
    </row>
    <row r="380" spans="1:64" x14ac:dyDescent="0.3">
      <c r="A380" t="s">
        <v>342</v>
      </c>
      <c r="B380" s="1" t="s">
        <v>344</v>
      </c>
      <c r="C380" s="9" t="s">
        <v>345</v>
      </c>
      <c r="D380" s="1" t="s">
        <v>95</v>
      </c>
      <c r="E380" s="1" t="s">
        <v>128</v>
      </c>
      <c r="F380" s="10" t="s">
        <v>147</v>
      </c>
      <c r="G380" s="1">
        <v>0.04</v>
      </c>
      <c r="H380" s="1">
        <v>0.05</v>
      </c>
      <c r="I380" s="8">
        <v>44615</v>
      </c>
      <c r="J380" s="6">
        <v>261720</v>
      </c>
      <c r="K380" s="6">
        <v>55802</v>
      </c>
      <c r="L380" s="6">
        <v>11683.93</v>
      </c>
      <c r="M380" s="6">
        <v>2491.16</v>
      </c>
      <c r="N380" s="7">
        <v>2835.02</v>
      </c>
      <c r="O380" s="6">
        <v>135738.1</v>
      </c>
      <c r="P380" s="6">
        <v>13492.300000000001</v>
      </c>
      <c r="Q380" s="6">
        <v>6059.74</v>
      </c>
      <c r="R380" s="6">
        <v>602.34</v>
      </c>
      <c r="S380" s="7">
        <v>1332.41</v>
      </c>
      <c r="T380" s="11">
        <v>28005.15</v>
      </c>
      <c r="U380" s="6">
        <v>25004.6</v>
      </c>
      <c r="V380" s="6">
        <v>0</v>
      </c>
      <c r="W380" s="6">
        <v>2333.7600000000002</v>
      </c>
      <c r="AI380" s="2">
        <v>261720</v>
      </c>
      <c r="AJ380" s="2">
        <v>55802</v>
      </c>
      <c r="AK380" s="2">
        <v>11683.93</v>
      </c>
      <c r="AL380" s="2">
        <v>2491.16</v>
      </c>
      <c r="AM380" s="5">
        <v>2835.02</v>
      </c>
      <c r="AN380" s="12">
        <v>135738.1</v>
      </c>
      <c r="AO380" s="2">
        <v>13492.300000000001</v>
      </c>
      <c r="AP380" s="2">
        <v>6059.74</v>
      </c>
      <c r="AQ380" s="2">
        <v>602.34</v>
      </c>
      <c r="AR380" s="5">
        <v>1332.41</v>
      </c>
      <c r="AS380" s="2">
        <v>28005.15</v>
      </c>
      <c r="AT380" s="12">
        <v>25004.6</v>
      </c>
      <c r="AU380" s="2">
        <v>0</v>
      </c>
      <c r="AV380" s="5">
        <v>2333.7600000000002</v>
      </c>
      <c r="BL380" s="1" t="s">
        <v>130</v>
      </c>
    </row>
    <row r="381" spans="1:64" x14ac:dyDescent="0.3">
      <c r="A381" t="s">
        <v>346</v>
      </c>
      <c r="B381" s="1" t="s">
        <v>346</v>
      </c>
      <c r="C381" s="9" t="s">
        <v>347</v>
      </c>
      <c r="D381" s="1" t="s">
        <v>95</v>
      </c>
      <c r="E381" s="1" t="s">
        <v>135</v>
      </c>
      <c r="F381" s="10" t="s">
        <v>348</v>
      </c>
      <c r="G381" s="1">
        <v>0.04</v>
      </c>
      <c r="H381" s="1">
        <v>0.05</v>
      </c>
      <c r="I381" s="8">
        <v>44630</v>
      </c>
      <c r="J381" s="6">
        <v>195519</v>
      </c>
      <c r="K381" s="6">
        <v>52913</v>
      </c>
      <c r="L381" s="6">
        <v>8728.5300000000007</v>
      </c>
      <c r="M381" s="6">
        <v>2362.19</v>
      </c>
      <c r="N381" s="7">
        <v>2218.14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14905.92</v>
      </c>
      <c r="U381" s="6">
        <v>13308.86</v>
      </c>
      <c r="V381" s="6">
        <v>0</v>
      </c>
      <c r="W381" s="6">
        <v>1242.1600000000001</v>
      </c>
      <c r="AI381" s="2">
        <v>195519</v>
      </c>
      <c r="AJ381" s="2">
        <v>52913</v>
      </c>
      <c r="AK381" s="2">
        <v>8728.5300000000007</v>
      </c>
      <c r="AL381" s="2">
        <v>2362.19</v>
      </c>
      <c r="AM381" s="5">
        <v>2218.14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14905.92</v>
      </c>
      <c r="AT381" s="12">
        <v>13308.86</v>
      </c>
      <c r="AU381" s="2">
        <v>0</v>
      </c>
      <c r="AV381" s="5">
        <v>1242.1600000000001</v>
      </c>
      <c r="BL381" s="1" t="s">
        <v>137</v>
      </c>
    </row>
    <row r="382" spans="1:64" x14ac:dyDescent="0.3">
      <c r="A382" t="s">
        <v>346</v>
      </c>
      <c r="B382" s="1" t="s">
        <v>349</v>
      </c>
      <c r="C382" s="9" t="s">
        <v>350</v>
      </c>
      <c r="D382" s="1" t="s">
        <v>95</v>
      </c>
      <c r="E382" s="1" t="s">
        <v>135</v>
      </c>
      <c r="F382" s="10" t="s">
        <v>348</v>
      </c>
      <c r="G382" s="1">
        <v>0</v>
      </c>
      <c r="H382" s="1">
        <v>0.05</v>
      </c>
      <c r="I382" s="8">
        <v>44630</v>
      </c>
      <c r="J382" s="6">
        <v>65817</v>
      </c>
      <c r="K382" s="6">
        <v>27409</v>
      </c>
      <c r="L382" s="6">
        <v>2938.26</v>
      </c>
      <c r="M382" s="6">
        <v>1223.6199999999999</v>
      </c>
      <c r="N382" s="7">
        <v>832.37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5593.56</v>
      </c>
      <c r="U382" s="6">
        <v>4994.25</v>
      </c>
      <c r="V382" s="6">
        <v>0</v>
      </c>
      <c r="W382" s="6">
        <v>466.13</v>
      </c>
      <c r="AI382" s="2">
        <v>65817</v>
      </c>
      <c r="AJ382" s="2">
        <v>27409</v>
      </c>
      <c r="AK382" s="2">
        <v>2938.26</v>
      </c>
      <c r="AL382" s="2">
        <v>1223.6199999999999</v>
      </c>
      <c r="AM382" s="5">
        <v>832.37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5593.56</v>
      </c>
      <c r="AT382" s="12">
        <v>4994.25</v>
      </c>
      <c r="AU382" s="2">
        <v>0</v>
      </c>
      <c r="AV382" s="5">
        <v>466.13</v>
      </c>
      <c r="BL382" s="1" t="s">
        <v>137</v>
      </c>
    </row>
    <row r="383" spans="1:64" x14ac:dyDescent="0.3">
      <c r="A383" t="s">
        <v>353</v>
      </c>
      <c r="B383" s="1" t="s">
        <v>353</v>
      </c>
      <c r="C383" s="9" t="s">
        <v>354</v>
      </c>
      <c r="D383" s="1" t="s">
        <v>95</v>
      </c>
      <c r="E383" s="1" t="s">
        <v>128</v>
      </c>
      <c r="F383" s="10" t="s">
        <v>355</v>
      </c>
      <c r="G383" s="1">
        <v>0.04</v>
      </c>
      <c r="H383" s="1">
        <v>0.05</v>
      </c>
      <c r="I383" s="8">
        <v>44679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465541.8</v>
      </c>
      <c r="P383" s="6">
        <v>28970.700000000004</v>
      </c>
      <c r="Q383" s="6">
        <v>20783.12</v>
      </c>
      <c r="R383" s="6">
        <v>1293.3399999999999</v>
      </c>
      <c r="S383" s="7">
        <v>4415.29</v>
      </c>
      <c r="T383" s="11">
        <v>29670.76</v>
      </c>
      <c r="U383" s="6">
        <v>26491.75</v>
      </c>
      <c r="V383" s="6">
        <v>0</v>
      </c>
      <c r="W383" s="6">
        <v>2472.56</v>
      </c>
      <c r="AI383" s="2">
        <v>0</v>
      </c>
      <c r="AJ383" s="2">
        <v>0</v>
      </c>
      <c r="AK383" s="2">
        <v>0</v>
      </c>
      <c r="AL383" s="2">
        <v>0</v>
      </c>
      <c r="AM383" s="5">
        <v>0</v>
      </c>
      <c r="AN383" s="12">
        <v>465541.8</v>
      </c>
      <c r="AO383" s="2">
        <v>28970.700000000004</v>
      </c>
      <c r="AP383" s="2">
        <v>20783.12</v>
      </c>
      <c r="AQ383" s="2">
        <v>1293.3399999999999</v>
      </c>
      <c r="AR383" s="5">
        <v>4415.29</v>
      </c>
      <c r="AS383" s="2">
        <v>29670.76</v>
      </c>
      <c r="AT383" s="12">
        <v>26491.75</v>
      </c>
      <c r="AU383" s="2">
        <v>0</v>
      </c>
      <c r="AV383" s="5">
        <v>2472.56</v>
      </c>
      <c r="BL383" s="1" t="s">
        <v>130</v>
      </c>
    </row>
    <row r="384" spans="1:64" x14ac:dyDescent="0.3">
      <c r="A384" t="s">
        <v>353</v>
      </c>
      <c r="B384" s="1" t="s">
        <v>356</v>
      </c>
      <c r="C384" s="9" t="s">
        <v>357</v>
      </c>
      <c r="D384" s="1" t="s">
        <v>95</v>
      </c>
      <c r="E384" s="1" t="s">
        <v>128</v>
      </c>
      <c r="F384" s="10" t="s">
        <v>355</v>
      </c>
      <c r="G384" s="1">
        <v>0</v>
      </c>
      <c r="H384" s="1">
        <v>0.05</v>
      </c>
      <c r="I384" s="8">
        <v>45011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308557.19999999995</v>
      </c>
      <c r="P384" s="6">
        <v>6151.8</v>
      </c>
      <c r="Q384" s="6">
        <v>13774.88</v>
      </c>
      <c r="R384" s="6">
        <v>274.63</v>
      </c>
      <c r="S384" s="7">
        <v>0</v>
      </c>
      <c r="T384" s="11">
        <v>15735.45</v>
      </c>
      <c r="U384" s="6">
        <v>14049.509999999998</v>
      </c>
      <c r="V384" s="6">
        <v>0</v>
      </c>
      <c r="W384" s="6">
        <v>1573.54</v>
      </c>
      <c r="AI384" s="2">
        <v>0</v>
      </c>
      <c r="AJ384" s="2">
        <v>0</v>
      </c>
      <c r="AK384" s="2">
        <v>0</v>
      </c>
      <c r="AL384" s="2">
        <v>0</v>
      </c>
      <c r="AM384" s="5">
        <v>0</v>
      </c>
      <c r="AN384" s="12">
        <v>308557.19999999995</v>
      </c>
      <c r="AO384" s="2">
        <v>6151.8</v>
      </c>
      <c r="AP384" s="2">
        <v>13774.88</v>
      </c>
      <c r="AQ384" s="2">
        <v>274.63</v>
      </c>
      <c r="AR384" s="5">
        <v>0</v>
      </c>
      <c r="AS384" s="2">
        <v>15735.45</v>
      </c>
      <c r="AT384" s="12">
        <v>14049.509999999998</v>
      </c>
      <c r="AU384" s="2">
        <v>0</v>
      </c>
      <c r="AV384" s="5">
        <v>1573.54</v>
      </c>
      <c r="BL384" s="1" t="s">
        <v>130</v>
      </c>
    </row>
    <row r="385" spans="1:64" x14ac:dyDescent="0.3">
      <c r="A385" t="s">
        <v>353</v>
      </c>
      <c r="B385" s="1" t="s">
        <v>358</v>
      </c>
      <c r="C385" s="9" t="s">
        <v>359</v>
      </c>
      <c r="D385" s="1" t="s">
        <v>95</v>
      </c>
      <c r="E385" s="1" t="s">
        <v>128</v>
      </c>
      <c r="F385" s="10" t="s">
        <v>355</v>
      </c>
      <c r="G385" s="1">
        <v>0</v>
      </c>
      <c r="H385" s="1">
        <v>0.05</v>
      </c>
      <c r="I385" s="8">
        <v>45503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358374.3</v>
      </c>
      <c r="P385" s="6">
        <v>16241.4</v>
      </c>
      <c r="Q385" s="6">
        <v>15998.86</v>
      </c>
      <c r="R385" s="6">
        <v>725.06</v>
      </c>
      <c r="S385" s="7">
        <v>0</v>
      </c>
      <c r="T385" s="11">
        <v>18730.79</v>
      </c>
      <c r="U385" s="6">
        <v>16723.920000000002</v>
      </c>
      <c r="V385" s="6">
        <v>0</v>
      </c>
      <c r="W385" s="6">
        <v>1873.08</v>
      </c>
      <c r="AI385" s="2">
        <v>0</v>
      </c>
      <c r="AJ385" s="2">
        <v>0</v>
      </c>
      <c r="AK385" s="2">
        <v>0</v>
      </c>
      <c r="AL385" s="2">
        <v>0</v>
      </c>
      <c r="AM385" s="5">
        <v>0</v>
      </c>
      <c r="AN385" s="12">
        <v>358374.3</v>
      </c>
      <c r="AO385" s="2">
        <v>16241.4</v>
      </c>
      <c r="AP385" s="2">
        <v>15998.86</v>
      </c>
      <c r="AQ385" s="2">
        <v>725.06</v>
      </c>
      <c r="AR385" s="5">
        <v>0</v>
      </c>
      <c r="AS385" s="2">
        <v>18730.79</v>
      </c>
      <c r="AT385" s="12">
        <v>16723.920000000002</v>
      </c>
      <c r="AU385" s="2">
        <v>0</v>
      </c>
      <c r="AV385" s="5">
        <v>1873.08</v>
      </c>
      <c r="BL385" s="1" t="s">
        <v>130</v>
      </c>
    </row>
    <row r="386" spans="1:64" x14ac:dyDescent="0.3">
      <c r="A386" t="s">
        <v>360</v>
      </c>
      <c r="B386" s="1" t="s">
        <v>360</v>
      </c>
      <c r="C386" s="9" t="s">
        <v>361</v>
      </c>
      <c r="D386" s="1" t="s">
        <v>95</v>
      </c>
      <c r="E386" s="1" t="s">
        <v>128</v>
      </c>
      <c r="F386" s="10" t="s">
        <v>309</v>
      </c>
      <c r="G386" s="1">
        <v>0.04</v>
      </c>
      <c r="H386" s="1">
        <v>0.05</v>
      </c>
      <c r="I386" s="8">
        <v>44705</v>
      </c>
      <c r="J386" s="6">
        <v>341517</v>
      </c>
      <c r="K386" s="6">
        <v>49658</v>
      </c>
      <c r="L386" s="6">
        <v>15246.29</v>
      </c>
      <c r="M386" s="6">
        <v>2216.88</v>
      </c>
      <c r="N386" s="7">
        <v>3492.63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23470.5</v>
      </c>
      <c r="U386" s="6">
        <v>20955.800000000003</v>
      </c>
      <c r="V386" s="6">
        <v>0</v>
      </c>
      <c r="W386" s="6">
        <v>1955.88</v>
      </c>
      <c r="AI386" s="2">
        <v>341517</v>
      </c>
      <c r="AJ386" s="2">
        <v>49658</v>
      </c>
      <c r="AK386" s="2">
        <v>15246.29</v>
      </c>
      <c r="AL386" s="2">
        <v>2216.88</v>
      </c>
      <c r="AM386" s="5">
        <v>3492.63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23470.5</v>
      </c>
      <c r="AT386" s="12">
        <v>20955.800000000003</v>
      </c>
      <c r="AU386" s="2">
        <v>0</v>
      </c>
      <c r="AV386" s="5">
        <v>1955.88</v>
      </c>
      <c r="BL386" s="1" t="s">
        <v>130</v>
      </c>
    </row>
    <row r="387" spans="1:64" x14ac:dyDescent="0.3">
      <c r="A387" t="s">
        <v>362</v>
      </c>
      <c r="B387" s="1" t="s">
        <v>362</v>
      </c>
      <c r="C387" s="9" t="s">
        <v>363</v>
      </c>
      <c r="D387" s="1" t="s">
        <v>95</v>
      </c>
      <c r="E387" s="1" t="s">
        <v>128</v>
      </c>
      <c r="F387" s="10" t="s">
        <v>129</v>
      </c>
      <c r="G387" s="1">
        <v>0.04</v>
      </c>
      <c r="H387" s="1">
        <v>0.05</v>
      </c>
      <c r="I387" s="8">
        <v>44725</v>
      </c>
      <c r="J387" s="6">
        <v>385695</v>
      </c>
      <c r="K387" s="6">
        <v>30542</v>
      </c>
      <c r="L387" s="6">
        <v>17218.53</v>
      </c>
      <c r="M387" s="6">
        <v>1363.48</v>
      </c>
      <c r="N387" s="7">
        <v>3716.4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24974.22</v>
      </c>
      <c r="U387" s="6">
        <v>22298.41</v>
      </c>
      <c r="V387" s="6">
        <v>0</v>
      </c>
      <c r="W387" s="6">
        <v>2081.1799999999998</v>
      </c>
      <c r="AI387" s="2">
        <v>385695</v>
      </c>
      <c r="AJ387" s="2">
        <v>30542</v>
      </c>
      <c r="AK387" s="2">
        <v>17218.53</v>
      </c>
      <c r="AL387" s="2">
        <v>1363.48</v>
      </c>
      <c r="AM387" s="5">
        <v>3716.4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24974.22</v>
      </c>
      <c r="AT387" s="12">
        <v>22298.41</v>
      </c>
      <c r="AU387" s="2">
        <v>0</v>
      </c>
      <c r="AV387" s="5">
        <v>2081.1799999999998</v>
      </c>
      <c r="BL387" s="1" t="s">
        <v>326</v>
      </c>
    </row>
    <row r="388" spans="1:64" x14ac:dyDescent="0.3">
      <c r="A388" t="s">
        <v>362</v>
      </c>
      <c r="B388" s="1" t="s">
        <v>364</v>
      </c>
      <c r="C388" s="9" t="s">
        <v>365</v>
      </c>
      <c r="D388" s="1" t="s">
        <v>95</v>
      </c>
      <c r="E388" s="1" t="s">
        <v>128</v>
      </c>
      <c r="F388" s="10" t="s">
        <v>129</v>
      </c>
      <c r="G388" s="1">
        <v>0</v>
      </c>
      <c r="H388" s="1">
        <v>0.05</v>
      </c>
      <c r="I388" s="8">
        <v>44866</v>
      </c>
      <c r="J388" s="6">
        <v>216514</v>
      </c>
      <c r="K388" s="6">
        <v>2720</v>
      </c>
      <c r="L388" s="6">
        <v>9665.7999999999993</v>
      </c>
      <c r="M388" s="6">
        <v>121.43</v>
      </c>
      <c r="N388" s="7">
        <v>1957.45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13154.04</v>
      </c>
      <c r="U388" s="6">
        <v>11744.68</v>
      </c>
      <c r="V388" s="6">
        <v>0</v>
      </c>
      <c r="W388" s="6">
        <v>1096.17</v>
      </c>
      <c r="AI388" s="2">
        <v>216514</v>
      </c>
      <c r="AJ388" s="2">
        <v>2720</v>
      </c>
      <c r="AK388" s="2">
        <v>9665.7999999999993</v>
      </c>
      <c r="AL388" s="2">
        <v>121.43</v>
      </c>
      <c r="AM388" s="5">
        <v>1957.45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13154.04</v>
      </c>
      <c r="AT388" s="12">
        <v>11744.68</v>
      </c>
      <c r="AU388" s="2">
        <v>0</v>
      </c>
      <c r="AV388" s="5">
        <v>1096.17</v>
      </c>
      <c r="BL388" s="1" t="s">
        <v>326</v>
      </c>
    </row>
    <row r="389" spans="1:64" x14ac:dyDescent="0.3">
      <c r="A389" t="s">
        <v>366</v>
      </c>
      <c r="B389" s="1" t="s">
        <v>366</v>
      </c>
      <c r="C389" s="9" t="s">
        <v>367</v>
      </c>
      <c r="D389" s="1" t="s">
        <v>95</v>
      </c>
      <c r="E389" s="1" t="s">
        <v>128</v>
      </c>
      <c r="F389" s="10" t="s">
        <v>325</v>
      </c>
      <c r="G389" s="1">
        <v>3.5000000000000003E-2</v>
      </c>
      <c r="H389" s="1">
        <v>0.05</v>
      </c>
      <c r="I389" s="8">
        <v>44741</v>
      </c>
      <c r="J389" s="6">
        <v>1770892</v>
      </c>
      <c r="K389" s="6">
        <v>237825</v>
      </c>
      <c r="L389" s="6">
        <v>79057.679999999993</v>
      </c>
      <c r="M389" s="6">
        <v>10617.19</v>
      </c>
      <c r="N389" s="7">
        <v>17934.97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120523.02</v>
      </c>
      <c r="U389" s="6">
        <v>107609.84</v>
      </c>
      <c r="V389" s="6">
        <v>0</v>
      </c>
      <c r="W389" s="6">
        <v>10043.59</v>
      </c>
      <c r="AI389" s="2">
        <v>1770892</v>
      </c>
      <c r="AJ389" s="2">
        <v>237825</v>
      </c>
      <c r="AK389" s="2">
        <v>79057.679999999993</v>
      </c>
      <c r="AL389" s="2">
        <v>10617.19</v>
      </c>
      <c r="AM389" s="5">
        <v>17934.97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120523.02</v>
      </c>
      <c r="AT389" s="12">
        <v>107609.84</v>
      </c>
      <c r="AU389" s="2">
        <v>0</v>
      </c>
      <c r="AV389" s="5">
        <v>10043.59</v>
      </c>
      <c r="BL389" s="1" t="s">
        <v>326</v>
      </c>
    </row>
    <row r="390" spans="1:64" x14ac:dyDescent="0.3">
      <c r="A390" t="s">
        <v>366</v>
      </c>
      <c r="B390" s="1" t="s">
        <v>368</v>
      </c>
      <c r="C390" s="9" t="s">
        <v>369</v>
      </c>
      <c r="D390" s="1" t="s">
        <v>95</v>
      </c>
      <c r="E390" s="1" t="s">
        <v>128</v>
      </c>
      <c r="F390" s="10" t="s">
        <v>325</v>
      </c>
      <c r="G390" s="1">
        <v>3.5000000000000003E-2</v>
      </c>
      <c r="H390" s="1">
        <v>0.05</v>
      </c>
      <c r="I390" s="8">
        <v>44741</v>
      </c>
      <c r="J390" s="6">
        <v>1585025</v>
      </c>
      <c r="K390" s="6">
        <v>183711</v>
      </c>
      <c r="L390" s="6">
        <v>70760.039999999994</v>
      </c>
      <c r="M390" s="6">
        <v>8201.3799999999992</v>
      </c>
      <c r="N390" s="7">
        <v>15792.29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106124.16</v>
      </c>
      <c r="U390" s="6">
        <v>94753.709999999992</v>
      </c>
      <c r="V390" s="6">
        <v>0</v>
      </c>
      <c r="W390" s="6">
        <v>8843.68</v>
      </c>
      <c r="AI390" s="2">
        <v>1585025</v>
      </c>
      <c r="AJ390" s="2">
        <v>183711</v>
      </c>
      <c r="AK390" s="2">
        <v>70760.039999999994</v>
      </c>
      <c r="AL390" s="2">
        <v>8201.3799999999992</v>
      </c>
      <c r="AM390" s="5">
        <v>15792.29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106124.16</v>
      </c>
      <c r="AT390" s="12">
        <v>94753.709999999992</v>
      </c>
      <c r="AU390" s="2">
        <v>0</v>
      </c>
      <c r="AV390" s="5">
        <v>8843.68</v>
      </c>
      <c r="BL390" s="1" t="s">
        <v>326</v>
      </c>
    </row>
    <row r="391" spans="1:64" x14ac:dyDescent="0.3">
      <c r="A391" t="s">
        <v>399</v>
      </c>
      <c r="B391" s="1" t="s">
        <v>399</v>
      </c>
      <c r="C391" s="9" t="s">
        <v>400</v>
      </c>
      <c r="D391" s="1" t="s">
        <v>95</v>
      </c>
      <c r="E391" s="1" t="s">
        <v>128</v>
      </c>
      <c r="F391" s="10" t="s">
        <v>401</v>
      </c>
      <c r="G391" s="1">
        <v>4.4999999999999998E-2</v>
      </c>
      <c r="H391" s="1">
        <v>0.05</v>
      </c>
      <c r="I391" s="8">
        <v>45209</v>
      </c>
      <c r="J391" s="6">
        <v>731603</v>
      </c>
      <c r="K391" s="6">
        <v>50453</v>
      </c>
      <c r="L391" s="6">
        <v>32660.85</v>
      </c>
      <c r="M391" s="6">
        <v>2252.37</v>
      </c>
      <c r="N391" s="7">
        <v>6982.64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46923.360000000001</v>
      </c>
      <c r="U391" s="6">
        <v>41895.86</v>
      </c>
      <c r="V391" s="6">
        <v>0</v>
      </c>
      <c r="W391" s="6">
        <v>3910.28</v>
      </c>
      <c r="AI391" s="2">
        <v>731603</v>
      </c>
      <c r="AJ391" s="2">
        <v>50453</v>
      </c>
      <c r="AK391" s="2">
        <v>32660.85</v>
      </c>
      <c r="AL391" s="2">
        <v>2252.37</v>
      </c>
      <c r="AM391" s="5">
        <v>6982.64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46923.360000000001</v>
      </c>
      <c r="AT391" s="12">
        <v>41895.86</v>
      </c>
      <c r="AU391" s="2">
        <v>0</v>
      </c>
      <c r="AV391" s="5">
        <v>3910.28</v>
      </c>
      <c r="BL391" s="1" t="s">
        <v>130</v>
      </c>
    </row>
    <row r="392" spans="1:64" x14ac:dyDescent="0.3">
      <c r="A392" t="s">
        <v>399</v>
      </c>
      <c r="B392" s="1" t="s">
        <v>402</v>
      </c>
      <c r="C392" s="9" t="s">
        <v>403</v>
      </c>
      <c r="D392" s="1" t="s">
        <v>95</v>
      </c>
      <c r="E392" s="1" t="s">
        <v>128</v>
      </c>
      <c r="F392" s="10" t="s">
        <v>401</v>
      </c>
      <c r="G392" s="1">
        <v>4.4999999999999998E-2</v>
      </c>
      <c r="H392" s="1">
        <v>0.05</v>
      </c>
      <c r="I392" s="8">
        <v>45209</v>
      </c>
      <c r="J392" s="6">
        <v>230640</v>
      </c>
      <c r="K392" s="6">
        <v>37147</v>
      </c>
      <c r="L392" s="6">
        <v>10296.43</v>
      </c>
      <c r="M392" s="6">
        <v>1658.35</v>
      </c>
      <c r="N392" s="7">
        <v>2390.96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16067.23</v>
      </c>
      <c r="U392" s="6">
        <v>14345.740000000002</v>
      </c>
      <c r="V392" s="6">
        <v>0</v>
      </c>
      <c r="W392" s="6">
        <v>1338.94</v>
      </c>
      <c r="AI392" s="2">
        <v>230640</v>
      </c>
      <c r="AJ392" s="2">
        <v>37147</v>
      </c>
      <c r="AK392" s="2">
        <v>10296.43</v>
      </c>
      <c r="AL392" s="2">
        <v>1658.35</v>
      </c>
      <c r="AM392" s="5">
        <v>2390.96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16067.23</v>
      </c>
      <c r="AT392" s="12">
        <v>14345.740000000002</v>
      </c>
      <c r="AU392" s="2">
        <v>0</v>
      </c>
      <c r="AV392" s="5">
        <v>1338.94</v>
      </c>
      <c r="BL392" s="1" t="s">
        <v>130</v>
      </c>
    </row>
    <row r="393" spans="1:64" x14ac:dyDescent="0.3">
      <c r="A393" t="s">
        <v>399</v>
      </c>
      <c r="B393" s="1" t="s">
        <v>404</v>
      </c>
      <c r="C393" s="9" t="s">
        <v>405</v>
      </c>
      <c r="D393" s="1" t="s">
        <v>95</v>
      </c>
      <c r="E393" s="1" t="s">
        <v>128</v>
      </c>
      <c r="F393" s="10" t="s">
        <v>401</v>
      </c>
      <c r="G393" s="1">
        <v>3.5000000000000003E-2</v>
      </c>
      <c r="H393" s="1">
        <v>0.05</v>
      </c>
      <c r="I393" s="8">
        <v>45209</v>
      </c>
      <c r="J393" s="6">
        <v>159544</v>
      </c>
      <c r="K393" s="6">
        <v>0</v>
      </c>
      <c r="L393" s="6">
        <v>7122.5</v>
      </c>
      <c r="M393" s="6">
        <v>0</v>
      </c>
      <c r="N393" s="7">
        <v>1424.5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9572.64</v>
      </c>
      <c r="U393" s="6">
        <v>8547</v>
      </c>
      <c r="V393" s="6">
        <v>0</v>
      </c>
      <c r="W393" s="6">
        <v>797.72</v>
      </c>
      <c r="AI393" s="2">
        <v>159544</v>
      </c>
      <c r="AJ393" s="2">
        <v>0</v>
      </c>
      <c r="AK393" s="2">
        <v>7122.5</v>
      </c>
      <c r="AL393" s="2">
        <v>0</v>
      </c>
      <c r="AM393" s="5">
        <v>1424.5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9572.64</v>
      </c>
      <c r="AT393" s="12">
        <v>8547</v>
      </c>
      <c r="AU393" s="2">
        <v>0</v>
      </c>
      <c r="AV393" s="5">
        <v>797.72</v>
      </c>
      <c r="BL393" s="1" t="s">
        <v>130</v>
      </c>
    </row>
    <row r="394" spans="1:64" x14ac:dyDescent="0.3">
      <c r="A394" t="s">
        <v>399</v>
      </c>
      <c r="B394" s="1" t="s">
        <v>406</v>
      </c>
      <c r="C394" s="9" t="s">
        <v>407</v>
      </c>
      <c r="D394" s="1" t="s">
        <v>95</v>
      </c>
      <c r="E394" s="1" t="s">
        <v>128</v>
      </c>
      <c r="F394" s="10" t="s">
        <v>401</v>
      </c>
      <c r="G394" s="1">
        <v>4.4999999999999998E-2</v>
      </c>
      <c r="H394" s="1">
        <v>0.05</v>
      </c>
      <c r="I394" s="8">
        <v>45209</v>
      </c>
      <c r="J394" s="6">
        <v>598934</v>
      </c>
      <c r="K394" s="6">
        <v>0</v>
      </c>
      <c r="L394" s="6">
        <v>26738.12</v>
      </c>
      <c r="M394" s="6">
        <v>0</v>
      </c>
      <c r="N394" s="7">
        <v>5347.62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35936.03</v>
      </c>
      <c r="U394" s="6">
        <v>32085.739999999998</v>
      </c>
      <c r="V394" s="6">
        <v>0</v>
      </c>
      <c r="W394" s="6">
        <v>2994.67</v>
      </c>
      <c r="AI394" s="2">
        <v>598934</v>
      </c>
      <c r="AJ394" s="2">
        <v>0</v>
      </c>
      <c r="AK394" s="2">
        <v>26738.12</v>
      </c>
      <c r="AL394" s="2">
        <v>0</v>
      </c>
      <c r="AM394" s="5">
        <v>5347.62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35936.03</v>
      </c>
      <c r="AT394" s="12">
        <v>32085.739999999998</v>
      </c>
      <c r="AU394" s="2">
        <v>0</v>
      </c>
      <c r="AV394" s="5">
        <v>2994.67</v>
      </c>
      <c r="BL394" s="1" t="s">
        <v>130</v>
      </c>
    </row>
    <row r="395" spans="1:64" x14ac:dyDescent="0.3">
      <c r="A395" t="s">
        <v>399</v>
      </c>
      <c r="B395" s="1" t="s">
        <v>408</v>
      </c>
      <c r="C395" s="9" t="s">
        <v>409</v>
      </c>
      <c r="D395" s="1" t="s">
        <v>95</v>
      </c>
      <c r="E395" s="1" t="s">
        <v>128</v>
      </c>
      <c r="F395" s="10" t="s">
        <v>401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0</v>
      </c>
      <c r="AJ395" s="2">
        <v>0</v>
      </c>
      <c r="AK395" s="2">
        <v>0</v>
      </c>
      <c r="AL395" s="2">
        <v>0</v>
      </c>
      <c r="AM395" s="5">
        <v>0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0</v>
      </c>
      <c r="AT395" s="12">
        <v>0</v>
      </c>
      <c r="AU395" s="2">
        <v>0</v>
      </c>
      <c r="AV395" s="5">
        <v>0</v>
      </c>
      <c r="BL395" s="1" t="s">
        <v>130</v>
      </c>
    </row>
    <row r="396" spans="1:64" x14ac:dyDescent="0.3">
      <c r="A396" t="s">
        <v>399</v>
      </c>
      <c r="B396" s="1" t="s">
        <v>410</v>
      </c>
      <c r="C396" s="9" t="s">
        <v>411</v>
      </c>
      <c r="D396" s="1" t="s">
        <v>95</v>
      </c>
      <c r="E396" s="1" t="s">
        <v>128</v>
      </c>
      <c r="F396" s="10" t="s">
        <v>401</v>
      </c>
      <c r="G396" s="1">
        <v>0</v>
      </c>
      <c r="H396" s="1">
        <v>0.05</v>
      </c>
      <c r="I396" s="8">
        <v>45209</v>
      </c>
      <c r="J396" s="6">
        <v>178425</v>
      </c>
      <c r="K396" s="6">
        <v>0</v>
      </c>
      <c r="L396" s="6">
        <v>7965.4</v>
      </c>
      <c r="M396" s="6">
        <v>0</v>
      </c>
      <c r="N396" s="7">
        <v>1593.08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10705.5</v>
      </c>
      <c r="U396" s="6">
        <v>9558.48</v>
      </c>
      <c r="V396" s="6">
        <v>0</v>
      </c>
      <c r="W396" s="6">
        <v>892.12</v>
      </c>
      <c r="AI396" s="2">
        <v>178425</v>
      </c>
      <c r="AJ396" s="2">
        <v>0</v>
      </c>
      <c r="AK396" s="2">
        <v>7965.4</v>
      </c>
      <c r="AL396" s="2">
        <v>0</v>
      </c>
      <c r="AM396" s="5">
        <v>1593.08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10705.5</v>
      </c>
      <c r="AT396" s="12">
        <v>9558.48</v>
      </c>
      <c r="AU396" s="2">
        <v>0</v>
      </c>
      <c r="AV396" s="5">
        <v>892.12</v>
      </c>
      <c r="BL396" s="1" t="s">
        <v>130</v>
      </c>
    </row>
    <row r="397" spans="1:64" x14ac:dyDescent="0.3">
      <c r="A397" t="s">
        <v>399</v>
      </c>
      <c r="B397" s="1" t="s">
        <v>412</v>
      </c>
      <c r="C397" s="9" t="s">
        <v>413</v>
      </c>
      <c r="D397" s="1" t="s">
        <v>95</v>
      </c>
      <c r="E397" s="1" t="s">
        <v>128</v>
      </c>
      <c r="F397" s="10" t="s">
        <v>401</v>
      </c>
      <c r="G397" s="1">
        <v>0</v>
      </c>
      <c r="H397" s="1">
        <v>0.05</v>
      </c>
      <c r="I397" s="8">
        <v>45132</v>
      </c>
      <c r="J397" s="6">
        <v>263158</v>
      </c>
      <c r="K397" s="6">
        <v>0</v>
      </c>
      <c r="L397" s="6">
        <v>11748.12</v>
      </c>
      <c r="M397" s="6">
        <v>0</v>
      </c>
      <c r="N397" s="7">
        <v>2349.62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15789.47</v>
      </c>
      <c r="U397" s="6">
        <v>14097.740000000002</v>
      </c>
      <c r="V397" s="6">
        <v>0</v>
      </c>
      <c r="W397" s="6">
        <v>1315.79</v>
      </c>
      <c r="AI397" s="2">
        <v>263158</v>
      </c>
      <c r="AJ397" s="2">
        <v>0</v>
      </c>
      <c r="AK397" s="2">
        <v>11748.12</v>
      </c>
      <c r="AL397" s="2">
        <v>0</v>
      </c>
      <c r="AM397" s="5">
        <v>2349.62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15789.47</v>
      </c>
      <c r="AT397" s="12">
        <v>14097.740000000002</v>
      </c>
      <c r="AU397" s="2">
        <v>0</v>
      </c>
      <c r="AV397" s="5">
        <v>1315.79</v>
      </c>
      <c r="BL397" s="1" t="s">
        <v>130</v>
      </c>
    </row>
    <row r="398" spans="1:64" x14ac:dyDescent="0.3">
      <c r="A398" t="s">
        <v>414</v>
      </c>
      <c r="B398" s="1" t="s">
        <v>414</v>
      </c>
      <c r="C398" s="9" t="s">
        <v>415</v>
      </c>
      <c r="D398" s="1" t="s">
        <v>95</v>
      </c>
      <c r="E398" s="1" t="s">
        <v>128</v>
      </c>
      <c r="F398" s="10" t="s">
        <v>325</v>
      </c>
      <c r="G398" s="1">
        <v>3.5000000000000003E-2</v>
      </c>
      <c r="H398" s="1">
        <v>0.05</v>
      </c>
      <c r="I398" s="8">
        <v>45337</v>
      </c>
      <c r="J398" s="6">
        <v>2486389</v>
      </c>
      <c r="K398" s="6">
        <v>165112</v>
      </c>
      <c r="L398" s="6">
        <v>110999.51</v>
      </c>
      <c r="M398" s="6">
        <v>7371.07</v>
      </c>
      <c r="N398" s="7">
        <v>23674.12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159090.06</v>
      </c>
      <c r="U398" s="6">
        <v>142044.69999999998</v>
      </c>
      <c r="V398" s="6">
        <v>0</v>
      </c>
      <c r="W398" s="6">
        <v>13257.5</v>
      </c>
      <c r="AI398" s="2">
        <v>2486389</v>
      </c>
      <c r="AJ398" s="2">
        <v>165112</v>
      </c>
      <c r="AK398" s="2">
        <v>110999.51</v>
      </c>
      <c r="AL398" s="2">
        <v>7371.07</v>
      </c>
      <c r="AM398" s="5">
        <v>23674.12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159090.06</v>
      </c>
      <c r="AT398" s="12">
        <v>142044.69999999998</v>
      </c>
      <c r="AU398" s="2">
        <v>0</v>
      </c>
      <c r="AV398" s="5">
        <v>13257.5</v>
      </c>
      <c r="BL398" s="1" t="s">
        <v>326</v>
      </c>
    </row>
    <row r="399" spans="1:64" x14ac:dyDescent="0.3">
      <c r="A399" t="s">
        <v>414</v>
      </c>
      <c r="B399" s="1" t="s">
        <v>416</v>
      </c>
      <c r="C399" s="9" t="s">
        <v>417</v>
      </c>
      <c r="D399" s="1" t="s">
        <v>95</v>
      </c>
      <c r="E399" s="1" t="s">
        <v>128</v>
      </c>
      <c r="F399" s="10" t="s">
        <v>325</v>
      </c>
      <c r="G399" s="1">
        <v>3.5000000000000003E-2</v>
      </c>
      <c r="H399" s="1">
        <v>0.05</v>
      </c>
      <c r="I399" s="8">
        <v>45337</v>
      </c>
      <c r="J399" s="6">
        <v>358893.54999999993</v>
      </c>
      <c r="K399" s="6">
        <v>57642</v>
      </c>
      <c r="L399" s="6">
        <v>16022.04</v>
      </c>
      <c r="M399" s="6">
        <v>2573.3000000000002</v>
      </c>
      <c r="N399" s="7">
        <v>3719.07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24992.14</v>
      </c>
      <c r="U399" s="6">
        <v>22314.41</v>
      </c>
      <c r="V399" s="6">
        <v>0</v>
      </c>
      <c r="W399" s="6">
        <v>2082.6799999999998</v>
      </c>
      <c r="AI399" s="2">
        <v>358893.54999999993</v>
      </c>
      <c r="AJ399" s="2">
        <v>57642</v>
      </c>
      <c r="AK399" s="2">
        <v>16022.04</v>
      </c>
      <c r="AL399" s="2">
        <v>2573.3000000000002</v>
      </c>
      <c r="AM399" s="5">
        <v>3719.07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24992.14</v>
      </c>
      <c r="AT399" s="12">
        <v>22314.41</v>
      </c>
      <c r="AU399" s="2">
        <v>0</v>
      </c>
      <c r="AV399" s="5">
        <v>2082.6799999999998</v>
      </c>
      <c r="BL399" s="1" t="s">
        <v>326</v>
      </c>
    </row>
    <row r="400" spans="1:64" x14ac:dyDescent="0.3">
      <c r="A400" t="s">
        <v>422</v>
      </c>
      <c r="B400" s="1" t="s">
        <v>422</v>
      </c>
      <c r="C400" s="9" t="s">
        <v>423</v>
      </c>
      <c r="D400" s="1" t="s">
        <v>95</v>
      </c>
      <c r="E400" s="1" t="s">
        <v>128</v>
      </c>
      <c r="F400" s="10" t="s">
        <v>401</v>
      </c>
      <c r="G400" s="1">
        <v>3.5000000000000003E-2</v>
      </c>
      <c r="H400" s="1">
        <v>0.05</v>
      </c>
      <c r="I400" s="8">
        <v>45555</v>
      </c>
      <c r="J400" s="6">
        <v>667269</v>
      </c>
      <c r="K400" s="6">
        <v>66865</v>
      </c>
      <c r="L400" s="6">
        <v>29788.79</v>
      </c>
      <c r="M400" s="6">
        <v>2985.04</v>
      </c>
      <c r="N400" s="7">
        <v>6554.77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44048.03</v>
      </c>
      <c r="U400" s="6">
        <v>39328.600000000006</v>
      </c>
      <c r="V400" s="6">
        <v>0</v>
      </c>
      <c r="W400" s="6">
        <v>3670.67</v>
      </c>
      <c r="AI400" s="2">
        <v>667269</v>
      </c>
      <c r="AJ400" s="2">
        <v>66865</v>
      </c>
      <c r="AK400" s="2">
        <v>29788.79</v>
      </c>
      <c r="AL400" s="2">
        <v>2985.04</v>
      </c>
      <c r="AM400" s="5">
        <v>6554.77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44048.03</v>
      </c>
      <c r="AT400" s="12">
        <v>39328.600000000006</v>
      </c>
      <c r="AU400" s="2">
        <v>0</v>
      </c>
      <c r="AV400" s="5">
        <v>3670.67</v>
      </c>
      <c r="BL400" s="1" t="s">
        <v>130</v>
      </c>
    </row>
    <row r="401" spans="1:64" x14ac:dyDescent="0.3">
      <c r="A401" t="s">
        <v>424</v>
      </c>
      <c r="B401" s="1" t="s">
        <v>424</v>
      </c>
      <c r="C401" s="9" t="s">
        <v>425</v>
      </c>
      <c r="D401" s="1" t="s">
        <v>95</v>
      </c>
      <c r="E401" s="1" t="s">
        <v>128</v>
      </c>
      <c r="F401" s="10" t="s">
        <v>401</v>
      </c>
      <c r="G401" s="1">
        <v>3.5000000000000003E-2</v>
      </c>
      <c r="H401" s="1">
        <v>0.05</v>
      </c>
      <c r="I401" s="8">
        <v>45664</v>
      </c>
      <c r="J401" s="6">
        <v>1292755</v>
      </c>
      <c r="K401" s="6">
        <v>79128</v>
      </c>
      <c r="L401" s="6">
        <v>57712.28</v>
      </c>
      <c r="M401" s="6">
        <v>3532.5</v>
      </c>
      <c r="N401" s="7">
        <v>12248.96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82312.990000000005</v>
      </c>
      <c r="U401" s="6">
        <v>73493.739999999991</v>
      </c>
      <c r="V401" s="6">
        <v>0</v>
      </c>
      <c r="W401" s="6">
        <v>6859.42</v>
      </c>
      <c r="AI401" s="2">
        <v>1292755</v>
      </c>
      <c r="AJ401" s="2">
        <v>79128</v>
      </c>
      <c r="AK401" s="2">
        <v>57712.28</v>
      </c>
      <c r="AL401" s="2">
        <v>3532.5</v>
      </c>
      <c r="AM401" s="5">
        <v>12248.96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82312.990000000005</v>
      </c>
      <c r="AT401" s="12">
        <v>73493.739999999991</v>
      </c>
      <c r="AU401" s="2">
        <v>0</v>
      </c>
      <c r="AV401" s="5">
        <v>6859.42</v>
      </c>
      <c r="BL401" s="1" t="s">
        <v>326</v>
      </c>
    </row>
    <row r="402" spans="1:64" x14ac:dyDescent="0.3">
      <c r="A402" t="s">
        <v>424</v>
      </c>
      <c r="B402" s="1" t="s">
        <v>426</v>
      </c>
      <c r="C402" s="9" t="s">
        <v>427</v>
      </c>
      <c r="D402" s="1" t="s">
        <v>95</v>
      </c>
      <c r="E402" s="1" t="s">
        <v>128</v>
      </c>
      <c r="F402" s="10" t="s">
        <v>401</v>
      </c>
      <c r="G402" s="1">
        <v>3.5000000000000003E-2</v>
      </c>
      <c r="H402" s="1">
        <v>0.05</v>
      </c>
      <c r="I402" s="8">
        <v>45664</v>
      </c>
      <c r="J402" s="6">
        <v>334590</v>
      </c>
      <c r="K402" s="6">
        <v>20400</v>
      </c>
      <c r="L402" s="6">
        <v>14937.05</v>
      </c>
      <c r="M402" s="6">
        <v>910.71</v>
      </c>
      <c r="N402" s="7">
        <v>3169.55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21299.39</v>
      </c>
      <c r="U402" s="6">
        <v>19017.309999999998</v>
      </c>
      <c r="V402" s="6">
        <v>0</v>
      </c>
      <c r="W402" s="6">
        <v>1774.95</v>
      </c>
      <c r="AI402" s="2">
        <v>334590</v>
      </c>
      <c r="AJ402" s="2">
        <v>20400</v>
      </c>
      <c r="AK402" s="2">
        <v>14937.05</v>
      </c>
      <c r="AL402" s="2">
        <v>910.71</v>
      </c>
      <c r="AM402" s="5">
        <v>3169.55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21299.39</v>
      </c>
      <c r="AT402" s="12">
        <v>19017.309999999998</v>
      </c>
      <c r="AU402" s="2">
        <v>0</v>
      </c>
      <c r="AV402" s="5">
        <v>1774.95</v>
      </c>
      <c r="BL402" s="1" t="s">
        <v>326</v>
      </c>
    </row>
    <row r="403" spans="1:64" x14ac:dyDescent="0.3">
      <c r="A403" t="s">
        <v>424</v>
      </c>
      <c r="B403" s="1" t="s">
        <v>428</v>
      </c>
      <c r="C403" s="9" t="s">
        <v>429</v>
      </c>
      <c r="D403" s="1" t="s">
        <v>95</v>
      </c>
      <c r="E403" s="1" t="s">
        <v>128</v>
      </c>
      <c r="F403" s="10" t="s">
        <v>401</v>
      </c>
      <c r="G403" s="1">
        <v>3.5000000000000003E-2</v>
      </c>
      <c r="H403" s="1">
        <v>0.05</v>
      </c>
      <c r="I403" s="8">
        <v>45664</v>
      </c>
      <c r="J403" s="6">
        <v>523986</v>
      </c>
      <c r="K403" s="6">
        <v>27610</v>
      </c>
      <c r="L403" s="6">
        <v>23392.23</v>
      </c>
      <c r="M403" s="6">
        <v>1232.5899999999999</v>
      </c>
      <c r="N403" s="7">
        <v>4924.96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33095.75</v>
      </c>
      <c r="U403" s="6">
        <v>29549.78</v>
      </c>
      <c r="V403" s="6">
        <v>0</v>
      </c>
      <c r="W403" s="6">
        <v>2757.98</v>
      </c>
      <c r="AI403" s="2">
        <v>523986</v>
      </c>
      <c r="AJ403" s="2">
        <v>27610</v>
      </c>
      <c r="AK403" s="2">
        <v>23392.23</v>
      </c>
      <c r="AL403" s="2">
        <v>1232.5899999999999</v>
      </c>
      <c r="AM403" s="5">
        <v>4924.96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33095.75</v>
      </c>
      <c r="AT403" s="12">
        <v>29549.78</v>
      </c>
      <c r="AU403" s="2">
        <v>0</v>
      </c>
      <c r="AV403" s="5">
        <v>2757.98</v>
      </c>
      <c r="BL403" s="1" t="s">
        <v>326</v>
      </c>
    </row>
    <row r="404" spans="1:64" x14ac:dyDescent="0.3">
      <c r="A404" t="s">
        <v>430</v>
      </c>
      <c r="B404" s="1" t="s">
        <v>430</v>
      </c>
      <c r="C404" s="9" t="s">
        <v>431</v>
      </c>
      <c r="D404" s="1" t="s">
        <v>95</v>
      </c>
      <c r="E404" s="1" t="s">
        <v>88</v>
      </c>
      <c r="F404" s="10" t="s">
        <v>432</v>
      </c>
      <c r="G404" s="1">
        <v>3.5000000000000003E-2</v>
      </c>
      <c r="H404" s="1">
        <v>0.05</v>
      </c>
      <c r="I404" s="8">
        <v>43993</v>
      </c>
      <c r="J404" s="6">
        <v>197401</v>
      </c>
      <c r="K404" s="6">
        <v>12684</v>
      </c>
      <c r="L404" s="6">
        <v>8812.5400000000009</v>
      </c>
      <c r="M404" s="6">
        <v>566.25</v>
      </c>
      <c r="N404" s="7">
        <v>1875.76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12605.1</v>
      </c>
      <c r="U404" s="6">
        <v>11254.550000000001</v>
      </c>
      <c r="V404" s="6">
        <v>0</v>
      </c>
      <c r="W404" s="6">
        <v>1050.42</v>
      </c>
      <c r="AI404" s="2">
        <v>197401</v>
      </c>
      <c r="AJ404" s="2">
        <v>12684</v>
      </c>
      <c r="AK404" s="2">
        <v>8812.5400000000009</v>
      </c>
      <c r="AL404" s="2">
        <v>566.25</v>
      </c>
      <c r="AM404" s="5">
        <v>1875.76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12605.1</v>
      </c>
      <c r="AT404" s="12">
        <v>11254.550000000001</v>
      </c>
      <c r="AU404" s="2">
        <v>0</v>
      </c>
      <c r="AV404" s="5">
        <v>1050.42</v>
      </c>
      <c r="BL404" s="1" t="s">
        <v>90</v>
      </c>
    </row>
    <row r="405" spans="1:64" x14ac:dyDescent="0.3">
      <c r="A405" t="s">
        <v>433</v>
      </c>
      <c r="B405" s="1" t="s">
        <v>433</v>
      </c>
      <c r="C405" s="9" t="s">
        <v>434</v>
      </c>
      <c r="D405" s="1" t="s">
        <v>95</v>
      </c>
      <c r="E405" s="1" t="s">
        <v>135</v>
      </c>
      <c r="F405" s="10" t="s">
        <v>435</v>
      </c>
      <c r="G405" s="1">
        <v>3.5000000000000003E-2</v>
      </c>
      <c r="H405" s="1">
        <v>0.05</v>
      </c>
      <c r="I405" s="8">
        <v>44000</v>
      </c>
      <c r="J405" s="6">
        <v>532067</v>
      </c>
      <c r="K405" s="6">
        <v>51115</v>
      </c>
      <c r="L405" s="6">
        <v>23752.99</v>
      </c>
      <c r="M405" s="6">
        <v>2281.92</v>
      </c>
      <c r="N405" s="7">
        <v>5206.9799999999996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34990.92</v>
      </c>
      <c r="U405" s="6">
        <v>31241.890000000003</v>
      </c>
      <c r="V405" s="6">
        <v>0</v>
      </c>
      <c r="W405" s="6">
        <v>2915.91</v>
      </c>
      <c r="AI405" s="2">
        <v>532067</v>
      </c>
      <c r="AJ405" s="2">
        <v>51115</v>
      </c>
      <c r="AK405" s="2">
        <v>23752.99</v>
      </c>
      <c r="AL405" s="2">
        <v>2281.92</v>
      </c>
      <c r="AM405" s="5">
        <v>5206.9799999999996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34990.92</v>
      </c>
      <c r="AT405" s="12">
        <v>31241.890000000003</v>
      </c>
      <c r="AU405" s="2">
        <v>0</v>
      </c>
      <c r="AV405" s="5">
        <v>2915.91</v>
      </c>
      <c r="BL405" s="1" t="s">
        <v>436</v>
      </c>
    </row>
    <row r="406" spans="1:64" x14ac:dyDescent="0.3">
      <c r="A406" t="s">
        <v>437</v>
      </c>
      <c r="B406" s="1" t="s">
        <v>437</v>
      </c>
      <c r="C406" s="9" t="s">
        <v>438</v>
      </c>
      <c r="D406" s="1" t="s">
        <v>95</v>
      </c>
      <c r="E406" s="1" t="s">
        <v>88</v>
      </c>
      <c r="F406" s="10" t="s">
        <v>218</v>
      </c>
      <c r="G406" s="1">
        <v>3.5000000000000003E-2</v>
      </c>
      <c r="H406" s="1">
        <v>0.05</v>
      </c>
      <c r="I406" s="8">
        <v>44062</v>
      </c>
      <c r="J406" s="6">
        <v>1378133</v>
      </c>
      <c r="K406" s="6">
        <v>173873</v>
      </c>
      <c r="L406" s="6">
        <v>61523.79</v>
      </c>
      <c r="M406" s="6">
        <v>7762.19</v>
      </c>
      <c r="N406" s="7">
        <v>13857.2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93120.36</v>
      </c>
      <c r="U406" s="6">
        <v>83143.179999999993</v>
      </c>
      <c r="V406" s="6">
        <v>0</v>
      </c>
      <c r="W406" s="6">
        <v>7760.03</v>
      </c>
      <c r="AI406" s="2">
        <v>1378133</v>
      </c>
      <c r="AJ406" s="2">
        <v>173873</v>
      </c>
      <c r="AK406" s="2">
        <v>61523.79</v>
      </c>
      <c r="AL406" s="2">
        <v>7762.19</v>
      </c>
      <c r="AM406" s="5">
        <v>13857.2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93120.36</v>
      </c>
      <c r="AT406" s="12">
        <v>83143.179999999993</v>
      </c>
      <c r="AU406" s="2">
        <v>0</v>
      </c>
      <c r="AV406" s="5">
        <v>7760.03</v>
      </c>
      <c r="BL406" s="1" t="s">
        <v>90</v>
      </c>
    </row>
    <row r="407" spans="1:64" x14ac:dyDescent="0.3">
      <c r="A407" t="s">
        <v>439</v>
      </c>
      <c r="B407" s="1" t="s">
        <v>439</v>
      </c>
      <c r="C407" s="9" t="s">
        <v>440</v>
      </c>
      <c r="D407" s="1" t="s">
        <v>95</v>
      </c>
      <c r="E407" s="1" t="s">
        <v>88</v>
      </c>
      <c r="F407" s="10" t="s">
        <v>441</v>
      </c>
      <c r="G407" s="1">
        <v>3.5000000000000003E-2</v>
      </c>
      <c r="H407" s="1">
        <v>0.05</v>
      </c>
      <c r="I407" s="8">
        <v>44774</v>
      </c>
      <c r="J407" s="6">
        <v>206531.9</v>
      </c>
      <c r="K407" s="6">
        <v>34108</v>
      </c>
      <c r="L407" s="6">
        <v>9220.18</v>
      </c>
      <c r="M407" s="6">
        <v>1522.68</v>
      </c>
      <c r="N407" s="7">
        <v>2148.5700000000002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14438.4</v>
      </c>
      <c r="U407" s="6">
        <v>12891.43</v>
      </c>
      <c r="V407" s="6">
        <v>0</v>
      </c>
      <c r="W407" s="6">
        <v>1203.2</v>
      </c>
      <c r="AI407" s="2">
        <v>206531.9</v>
      </c>
      <c r="AJ407" s="2">
        <v>34108</v>
      </c>
      <c r="AK407" s="2">
        <v>9220.18</v>
      </c>
      <c r="AL407" s="2">
        <v>1522.68</v>
      </c>
      <c r="AM407" s="5">
        <v>2148.5700000000002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14438.4</v>
      </c>
      <c r="AT407" s="12">
        <v>12891.43</v>
      </c>
      <c r="AU407" s="2">
        <v>0</v>
      </c>
      <c r="AV407" s="5">
        <v>1203.2</v>
      </c>
      <c r="BL407" s="1" t="s">
        <v>90</v>
      </c>
    </row>
    <row r="408" spans="1:64" x14ac:dyDescent="0.3">
      <c r="A408" t="s">
        <v>439</v>
      </c>
      <c r="B408" s="1" t="s">
        <v>442</v>
      </c>
      <c r="C408" s="9" t="s">
        <v>443</v>
      </c>
      <c r="D408" s="1" t="s">
        <v>95</v>
      </c>
      <c r="E408" s="1" t="s">
        <v>88</v>
      </c>
      <c r="F408" s="10" t="s">
        <v>441</v>
      </c>
      <c r="G408" s="1">
        <v>0.04</v>
      </c>
      <c r="H408" s="1">
        <v>0.05</v>
      </c>
      <c r="I408" s="8">
        <v>44774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0</v>
      </c>
      <c r="U408" s="6">
        <v>0</v>
      </c>
      <c r="V408" s="6">
        <v>0</v>
      </c>
      <c r="W408" s="6">
        <v>0</v>
      </c>
      <c r="AI408" s="2">
        <v>0</v>
      </c>
      <c r="AJ408" s="2">
        <v>0</v>
      </c>
      <c r="AK408" s="2">
        <v>0</v>
      </c>
      <c r="AL408" s="2">
        <v>0</v>
      </c>
      <c r="AM408" s="5">
        <v>0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0</v>
      </c>
      <c r="AT408" s="12">
        <v>0</v>
      </c>
      <c r="AU408" s="2">
        <v>0</v>
      </c>
      <c r="AV408" s="5">
        <v>0</v>
      </c>
      <c r="BL408" s="1" t="s">
        <v>90</v>
      </c>
    </row>
    <row r="409" spans="1:64" x14ac:dyDescent="0.3">
      <c r="A409" t="s">
        <v>439</v>
      </c>
      <c r="B409" s="1" t="s">
        <v>444</v>
      </c>
      <c r="C409" s="9" t="s">
        <v>445</v>
      </c>
      <c r="D409" s="1" t="s">
        <v>95</v>
      </c>
      <c r="E409" s="1" t="s">
        <v>88</v>
      </c>
      <c r="F409" s="10" t="s">
        <v>441</v>
      </c>
      <c r="G409" s="1">
        <v>3.5000000000000003E-2</v>
      </c>
      <c r="H409" s="1">
        <v>0.05</v>
      </c>
      <c r="I409" s="8">
        <v>44774</v>
      </c>
      <c r="J409" s="6">
        <v>76444</v>
      </c>
      <c r="K409" s="6">
        <v>15912</v>
      </c>
      <c r="L409" s="6">
        <v>3412.68</v>
      </c>
      <c r="M409" s="6">
        <v>710.36</v>
      </c>
      <c r="N409" s="7">
        <v>824.61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5541.37</v>
      </c>
      <c r="U409" s="6">
        <v>4947.6499999999996</v>
      </c>
      <c r="V409" s="6">
        <v>0</v>
      </c>
      <c r="W409" s="6">
        <v>461.78</v>
      </c>
      <c r="AI409" s="2">
        <v>76444</v>
      </c>
      <c r="AJ409" s="2">
        <v>15912</v>
      </c>
      <c r="AK409" s="2">
        <v>3412.68</v>
      </c>
      <c r="AL409" s="2">
        <v>710.36</v>
      </c>
      <c r="AM409" s="5">
        <v>824.61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5541.37</v>
      </c>
      <c r="AT409" s="12">
        <v>4947.6499999999996</v>
      </c>
      <c r="AU409" s="2">
        <v>0</v>
      </c>
      <c r="AV409" s="5">
        <v>461.78</v>
      </c>
      <c r="BL409" s="1" t="s">
        <v>90</v>
      </c>
    </row>
    <row r="410" spans="1:64" x14ac:dyDescent="0.3">
      <c r="A410" t="s">
        <v>448</v>
      </c>
      <c r="B410" s="1" t="s">
        <v>448</v>
      </c>
      <c r="C410" s="9" t="s">
        <v>449</v>
      </c>
      <c r="D410" s="1" t="s">
        <v>95</v>
      </c>
      <c r="E410" s="1" t="s">
        <v>128</v>
      </c>
      <c r="F410" s="10" t="s">
        <v>355</v>
      </c>
      <c r="G410" s="1">
        <v>4.4999999999999998E-2</v>
      </c>
      <c r="H410" s="1">
        <v>0.05</v>
      </c>
      <c r="I410" s="8">
        <v>45199</v>
      </c>
      <c r="J410" s="6">
        <v>701940</v>
      </c>
      <c r="K410" s="6">
        <v>57187</v>
      </c>
      <c r="L410" s="6">
        <v>31336.61</v>
      </c>
      <c r="M410" s="6">
        <v>2552.9899999999998</v>
      </c>
      <c r="N410" s="7">
        <v>6777.92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45547.62</v>
      </c>
      <c r="U410" s="6">
        <v>40667.519999999997</v>
      </c>
      <c r="V410" s="6">
        <v>0</v>
      </c>
      <c r="W410" s="6">
        <v>3795.64</v>
      </c>
      <c r="AI410" s="2">
        <v>701940</v>
      </c>
      <c r="AJ410" s="2">
        <v>57187</v>
      </c>
      <c r="AK410" s="2">
        <v>31336.61</v>
      </c>
      <c r="AL410" s="2">
        <v>2552.9899999999998</v>
      </c>
      <c r="AM410" s="5">
        <v>6777.92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45547.62</v>
      </c>
      <c r="AT410" s="12">
        <v>40667.519999999997</v>
      </c>
      <c r="AU410" s="2">
        <v>0</v>
      </c>
      <c r="AV410" s="5">
        <v>3795.64</v>
      </c>
      <c r="BL410" s="1" t="s">
        <v>130</v>
      </c>
    </row>
    <row r="411" spans="1:64" x14ac:dyDescent="0.3">
      <c r="A411" t="s">
        <v>450</v>
      </c>
      <c r="B411" s="1" t="s">
        <v>450</v>
      </c>
      <c r="C411" s="9" t="s">
        <v>451</v>
      </c>
      <c r="D411" s="1" t="s">
        <v>95</v>
      </c>
      <c r="E411" s="1" t="s">
        <v>135</v>
      </c>
      <c r="F411" s="10" t="s">
        <v>193</v>
      </c>
      <c r="G411" s="1">
        <v>3.5000000000000003E-2</v>
      </c>
      <c r="H411" s="1">
        <v>0.05</v>
      </c>
      <c r="I411" s="8">
        <v>44183</v>
      </c>
      <c r="J411" s="6">
        <v>659120.5</v>
      </c>
      <c r="K411" s="6">
        <v>221070</v>
      </c>
      <c r="L411" s="6">
        <v>29425.02</v>
      </c>
      <c r="M411" s="6">
        <v>9869.2000000000007</v>
      </c>
      <c r="N411" s="7">
        <v>7858.85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52811.44</v>
      </c>
      <c r="U411" s="6">
        <v>47153.07</v>
      </c>
      <c r="V411" s="6">
        <v>0</v>
      </c>
      <c r="W411" s="6">
        <v>4400.95</v>
      </c>
      <c r="AI411" s="2">
        <v>659120.5</v>
      </c>
      <c r="AJ411" s="2">
        <v>221070</v>
      </c>
      <c r="AK411" s="2">
        <v>29425.02</v>
      </c>
      <c r="AL411" s="2">
        <v>9869.2000000000007</v>
      </c>
      <c r="AM411" s="5">
        <v>7858.85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52811.44</v>
      </c>
      <c r="AT411" s="12">
        <v>47153.07</v>
      </c>
      <c r="AU411" s="2">
        <v>0</v>
      </c>
      <c r="AV411" s="5">
        <v>4400.95</v>
      </c>
      <c r="BL411" s="1" t="s">
        <v>436</v>
      </c>
    </row>
    <row r="412" spans="1:64" x14ac:dyDescent="0.3">
      <c r="A412" t="s">
        <v>450</v>
      </c>
      <c r="B412" s="1" t="s">
        <v>452</v>
      </c>
      <c r="C412" s="9" t="s">
        <v>453</v>
      </c>
      <c r="D412" s="1" t="s">
        <v>95</v>
      </c>
      <c r="E412" s="1" t="s">
        <v>135</v>
      </c>
      <c r="F412" s="10" t="s">
        <v>193</v>
      </c>
      <c r="G412" s="1">
        <v>0</v>
      </c>
      <c r="H412" s="1">
        <v>0.05</v>
      </c>
      <c r="I412" s="8">
        <v>45329</v>
      </c>
      <c r="J412" s="6">
        <v>171264</v>
      </c>
      <c r="K412" s="6">
        <v>51450</v>
      </c>
      <c r="L412" s="6">
        <v>7645.71</v>
      </c>
      <c r="M412" s="6">
        <v>2296.88</v>
      </c>
      <c r="N412" s="7">
        <v>1988.52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13362.84</v>
      </c>
      <c r="U412" s="6">
        <v>11931.11</v>
      </c>
      <c r="V412" s="6">
        <v>0</v>
      </c>
      <c r="W412" s="6">
        <v>1113.57</v>
      </c>
      <c r="AI412" s="2">
        <v>171264</v>
      </c>
      <c r="AJ412" s="2">
        <v>51450</v>
      </c>
      <c r="AK412" s="2">
        <v>7645.71</v>
      </c>
      <c r="AL412" s="2">
        <v>2296.88</v>
      </c>
      <c r="AM412" s="5">
        <v>1988.52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13362.84</v>
      </c>
      <c r="AT412" s="12">
        <v>11931.11</v>
      </c>
      <c r="AU412" s="2">
        <v>0</v>
      </c>
      <c r="AV412" s="5">
        <v>1113.57</v>
      </c>
      <c r="BL412" s="1" t="s">
        <v>137</v>
      </c>
    </row>
    <row r="413" spans="1:64" x14ac:dyDescent="0.3">
      <c r="A413" t="s">
        <v>475</v>
      </c>
      <c r="B413" s="1" t="s">
        <v>475</v>
      </c>
      <c r="C413" s="9" t="s">
        <v>476</v>
      </c>
      <c r="D413" s="1" t="s">
        <v>95</v>
      </c>
      <c r="E413" s="1" t="s">
        <v>88</v>
      </c>
      <c r="F413" s="10" t="s">
        <v>218</v>
      </c>
      <c r="G413" s="1">
        <v>3.5000000000000003E-2</v>
      </c>
      <c r="H413" s="1">
        <v>0.05</v>
      </c>
      <c r="I413" s="8">
        <v>44496</v>
      </c>
      <c r="J413" s="6">
        <v>975555</v>
      </c>
      <c r="K413" s="6">
        <v>428848</v>
      </c>
      <c r="L413" s="6">
        <v>43551.56</v>
      </c>
      <c r="M413" s="6">
        <v>19145</v>
      </c>
      <c r="N413" s="7">
        <v>12539.31</v>
      </c>
      <c r="O413" s="6">
        <v>421446.24</v>
      </c>
      <c r="P413" s="6">
        <v>50817.87</v>
      </c>
      <c r="Q413" s="6">
        <v>18814.560000000001</v>
      </c>
      <c r="R413" s="6">
        <v>2268.65</v>
      </c>
      <c r="S413" s="7">
        <v>4216.6400000000003</v>
      </c>
      <c r="T413" s="11">
        <v>112600.01</v>
      </c>
      <c r="U413" s="6">
        <v>100535.71999999999</v>
      </c>
      <c r="V413" s="6">
        <v>0</v>
      </c>
      <c r="W413" s="6">
        <v>9383.34</v>
      </c>
      <c r="AI413" s="2">
        <v>975555</v>
      </c>
      <c r="AJ413" s="2">
        <v>428848</v>
      </c>
      <c r="AK413" s="2">
        <v>43551.56</v>
      </c>
      <c r="AL413" s="2">
        <v>19145</v>
      </c>
      <c r="AM413" s="5">
        <v>12539.31</v>
      </c>
      <c r="AN413" s="12">
        <v>421446.24</v>
      </c>
      <c r="AO413" s="2">
        <v>50817.87</v>
      </c>
      <c r="AP413" s="2">
        <v>18814.560000000001</v>
      </c>
      <c r="AQ413" s="2">
        <v>2268.65</v>
      </c>
      <c r="AR413" s="5">
        <v>4216.6400000000003</v>
      </c>
      <c r="AS413" s="2">
        <v>112600.01</v>
      </c>
      <c r="AT413" s="12">
        <v>100535.71999999999</v>
      </c>
      <c r="AU413" s="2">
        <v>0</v>
      </c>
      <c r="AV413" s="5">
        <v>9383.34</v>
      </c>
      <c r="BL413" s="1" t="s">
        <v>90</v>
      </c>
    </row>
    <row r="414" spans="1:64" x14ac:dyDescent="0.3">
      <c r="A414" t="s">
        <v>475</v>
      </c>
      <c r="B414" s="1" t="s">
        <v>477</v>
      </c>
      <c r="C414" s="9" t="s">
        <v>478</v>
      </c>
      <c r="D414" s="1" t="s">
        <v>95</v>
      </c>
      <c r="E414" s="1" t="s">
        <v>88</v>
      </c>
      <c r="F414" s="10" t="s">
        <v>218</v>
      </c>
      <c r="G414" s="1">
        <v>0</v>
      </c>
      <c r="H414" s="1">
        <v>0.05</v>
      </c>
      <c r="I414" s="8">
        <v>45225</v>
      </c>
      <c r="J414" s="6">
        <v>165420</v>
      </c>
      <c r="K414" s="6">
        <v>89949</v>
      </c>
      <c r="L414" s="6">
        <v>7384.82</v>
      </c>
      <c r="M414" s="6">
        <v>4015.58</v>
      </c>
      <c r="N414" s="7">
        <v>2280.08</v>
      </c>
      <c r="O414" s="6">
        <v>120458.97</v>
      </c>
      <c r="P414" s="6">
        <v>10937.52</v>
      </c>
      <c r="Q414" s="6">
        <v>5377.63</v>
      </c>
      <c r="R414" s="6">
        <v>488.29</v>
      </c>
      <c r="S414" s="7">
        <v>0</v>
      </c>
      <c r="T414" s="11">
        <v>21891.97</v>
      </c>
      <c r="U414" s="6">
        <v>19546.400000000001</v>
      </c>
      <c r="V414" s="6">
        <v>0</v>
      </c>
      <c r="W414" s="6">
        <v>1933.83</v>
      </c>
      <c r="AI414" s="2">
        <v>165420</v>
      </c>
      <c r="AJ414" s="2">
        <v>89949</v>
      </c>
      <c r="AK414" s="2">
        <v>7384.82</v>
      </c>
      <c r="AL414" s="2">
        <v>4015.58</v>
      </c>
      <c r="AM414" s="5">
        <v>2280.08</v>
      </c>
      <c r="AN414" s="12">
        <v>120458.97</v>
      </c>
      <c r="AO414" s="2">
        <v>10937.52</v>
      </c>
      <c r="AP414" s="2">
        <v>5377.63</v>
      </c>
      <c r="AQ414" s="2">
        <v>488.29</v>
      </c>
      <c r="AR414" s="5">
        <v>0</v>
      </c>
      <c r="AS414" s="2">
        <v>21891.97</v>
      </c>
      <c r="AT414" s="12">
        <v>19546.400000000001</v>
      </c>
      <c r="AU414" s="2">
        <v>0</v>
      </c>
      <c r="AV414" s="5">
        <v>1933.83</v>
      </c>
      <c r="BL414" s="1" t="s">
        <v>90</v>
      </c>
    </row>
    <row r="415" spans="1:64" x14ac:dyDescent="0.3">
      <c r="A415" t="s">
        <v>479</v>
      </c>
      <c r="B415" s="1" t="s">
        <v>479</v>
      </c>
      <c r="C415" s="9" t="s">
        <v>480</v>
      </c>
      <c r="D415" s="1" t="s">
        <v>95</v>
      </c>
      <c r="E415" s="1" t="s">
        <v>135</v>
      </c>
      <c r="F415" s="10" t="s">
        <v>136</v>
      </c>
      <c r="G415" s="1">
        <v>0.04</v>
      </c>
      <c r="H415" s="1">
        <v>0.05</v>
      </c>
      <c r="I415" s="8">
        <v>44778</v>
      </c>
      <c r="J415" s="6">
        <v>902275</v>
      </c>
      <c r="K415" s="6">
        <v>127789</v>
      </c>
      <c r="L415" s="6">
        <v>40280.129999999997</v>
      </c>
      <c r="M415" s="6">
        <v>5704.87</v>
      </c>
      <c r="N415" s="7">
        <v>9197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61803.839999999997</v>
      </c>
      <c r="U415" s="6">
        <v>55182</v>
      </c>
      <c r="V415" s="6">
        <v>0</v>
      </c>
      <c r="W415" s="6">
        <v>5150.32</v>
      </c>
      <c r="AI415" s="2">
        <v>902275</v>
      </c>
      <c r="AJ415" s="2">
        <v>127789</v>
      </c>
      <c r="AK415" s="2">
        <v>40280.129999999997</v>
      </c>
      <c r="AL415" s="2">
        <v>5704.87</v>
      </c>
      <c r="AM415" s="5">
        <v>9197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61803.839999999997</v>
      </c>
      <c r="AT415" s="12">
        <v>55182</v>
      </c>
      <c r="AU415" s="2">
        <v>0</v>
      </c>
      <c r="AV415" s="5">
        <v>5150.32</v>
      </c>
      <c r="BL415" s="1" t="s">
        <v>302</v>
      </c>
    </row>
    <row r="416" spans="1:64" x14ac:dyDescent="0.3">
      <c r="A416" t="s">
        <v>479</v>
      </c>
      <c r="B416" s="1" t="s">
        <v>481</v>
      </c>
      <c r="C416" s="9" t="s">
        <v>482</v>
      </c>
      <c r="D416" s="1" t="s">
        <v>95</v>
      </c>
      <c r="E416" s="1" t="s">
        <v>135</v>
      </c>
      <c r="F416" s="10" t="s">
        <v>136</v>
      </c>
      <c r="G416" s="1">
        <v>0</v>
      </c>
      <c r="H416" s="1">
        <v>0.05</v>
      </c>
      <c r="I416" s="8">
        <v>45177</v>
      </c>
      <c r="J416" s="6">
        <v>171051</v>
      </c>
      <c r="K416" s="6">
        <v>30612</v>
      </c>
      <c r="L416" s="6">
        <v>7636.21</v>
      </c>
      <c r="M416" s="6">
        <v>1366.61</v>
      </c>
      <c r="N416" s="7">
        <v>1800.56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12099.79</v>
      </c>
      <c r="U416" s="6">
        <v>10803.38</v>
      </c>
      <c r="V416" s="6">
        <v>0</v>
      </c>
      <c r="W416" s="6">
        <v>1008.32</v>
      </c>
      <c r="AI416" s="2">
        <v>171051</v>
      </c>
      <c r="AJ416" s="2">
        <v>30612</v>
      </c>
      <c r="AK416" s="2">
        <v>7636.21</v>
      </c>
      <c r="AL416" s="2">
        <v>1366.61</v>
      </c>
      <c r="AM416" s="5">
        <v>1800.56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12099.79</v>
      </c>
      <c r="AT416" s="12">
        <v>10803.38</v>
      </c>
      <c r="AU416" s="2">
        <v>0</v>
      </c>
      <c r="AV416" s="5">
        <v>1008.32</v>
      </c>
      <c r="BL416" s="1" t="s">
        <v>302</v>
      </c>
    </row>
    <row r="417" spans="1:64" x14ac:dyDescent="0.3">
      <c r="A417" t="s">
        <v>483</v>
      </c>
      <c r="B417" s="1" t="s">
        <v>483</v>
      </c>
      <c r="C417" s="9" t="s">
        <v>484</v>
      </c>
      <c r="D417" s="1" t="s">
        <v>95</v>
      </c>
      <c r="E417" s="1" t="s">
        <v>135</v>
      </c>
      <c r="F417" s="10" t="s">
        <v>485</v>
      </c>
      <c r="G417" s="1">
        <v>0.04</v>
      </c>
      <c r="H417" s="1">
        <v>0.05</v>
      </c>
      <c r="I417" s="8">
        <v>44828</v>
      </c>
      <c r="J417" s="6">
        <v>322119</v>
      </c>
      <c r="K417" s="6">
        <v>57151</v>
      </c>
      <c r="L417" s="6">
        <v>14380.31</v>
      </c>
      <c r="M417" s="6">
        <v>2551.38</v>
      </c>
      <c r="N417" s="7">
        <v>3386.34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22756.19</v>
      </c>
      <c r="U417" s="6">
        <v>20318.03</v>
      </c>
      <c r="V417" s="6">
        <v>0</v>
      </c>
      <c r="W417" s="6">
        <v>1896.35</v>
      </c>
      <c r="AI417" s="2">
        <v>322119</v>
      </c>
      <c r="AJ417" s="2">
        <v>57151</v>
      </c>
      <c r="AK417" s="2">
        <v>14380.31</v>
      </c>
      <c r="AL417" s="2">
        <v>2551.38</v>
      </c>
      <c r="AM417" s="5">
        <v>3386.34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22756.19</v>
      </c>
      <c r="AT417" s="12">
        <v>20318.03</v>
      </c>
      <c r="AU417" s="2">
        <v>0</v>
      </c>
      <c r="AV417" s="5">
        <v>1896.35</v>
      </c>
      <c r="BL417" s="1" t="s">
        <v>302</v>
      </c>
    </row>
    <row r="418" spans="1:64" x14ac:dyDescent="0.3">
      <c r="A418" t="s">
        <v>483</v>
      </c>
      <c r="B418" s="1" t="s">
        <v>486</v>
      </c>
      <c r="C418" s="9" t="s">
        <v>487</v>
      </c>
      <c r="D418" s="1" t="s">
        <v>95</v>
      </c>
      <c r="E418" s="1" t="s">
        <v>135</v>
      </c>
      <c r="F418" s="10" t="s">
        <v>485</v>
      </c>
      <c r="G418" s="1">
        <v>0.04</v>
      </c>
      <c r="H418" s="1">
        <v>0.05</v>
      </c>
      <c r="I418" s="8">
        <v>44828</v>
      </c>
      <c r="J418" s="6">
        <v>273069</v>
      </c>
      <c r="K418" s="6">
        <v>63767</v>
      </c>
      <c r="L418" s="6">
        <v>12190.58</v>
      </c>
      <c r="M418" s="6">
        <v>2846.74</v>
      </c>
      <c r="N418" s="7">
        <v>3007.46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20210.150000000001</v>
      </c>
      <c r="U418" s="6">
        <v>18044.78</v>
      </c>
      <c r="V418" s="6">
        <v>0</v>
      </c>
      <c r="W418" s="6">
        <v>1684.18</v>
      </c>
      <c r="AI418" s="2">
        <v>273069</v>
      </c>
      <c r="AJ418" s="2">
        <v>63767</v>
      </c>
      <c r="AK418" s="2">
        <v>12190.58</v>
      </c>
      <c r="AL418" s="2">
        <v>2846.74</v>
      </c>
      <c r="AM418" s="5">
        <v>3007.46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20210.150000000001</v>
      </c>
      <c r="AT418" s="12">
        <v>18044.78</v>
      </c>
      <c r="AU418" s="2">
        <v>0</v>
      </c>
      <c r="AV418" s="5">
        <v>1684.18</v>
      </c>
      <c r="BL418" s="1" t="s">
        <v>302</v>
      </c>
    </row>
    <row r="419" spans="1:64" x14ac:dyDescent="0.3">
      <c r="A419" t="s">
        <v>483</v>
      </c>
      <c r="B419" s="1" t="s">
        <v>488</v>
      </c>
      <c r="C419" s="9" t="s">
        <v>489</v>
      </c>
      <c r="D419" s="1" t="s">
        <v>95</v>
      </c>
      <c r="E419" s="1" t="s">
        <v>135</v>
      </c>
      <c r="F419" s="10" t="s">
        <v>485</v>
      </c>
      <c r="G419" s="1">
        <v>0</v>
      </c>
      <c r="H419" s="1">
        <v>0.05</v>
      </c>
      <c r="I419" s="8">
        <v>45463</v>
      </c>
      <c r="J419" s="6">
        <v>361740</v>
      </c>
      <c r="K419" s="6">
        <v>0</v>
      </c>
      <c r="L419" s="6">
        <v>16149.11</v>
      </c>
      <c r="M419" s="6">
        <v>0</v>
      </c>
      <c r="N419" s="7">
        <v>3229.82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21704.400000000001</v>
      </c>
      <c r="U419" s="6">
        <v>19378.93</v>
      </c>
      <c r="V419" s="6">
        <v>0</v>
      </c>
      <c r="W419" s="6">
        <v>1808.7</v>
      </c>
      <c r="AI419" s="2">
        <v>361740</v>
      </c>
      <c r="AJ419" s="2">
        <v>0</v>
      </c>
      <c r="AK419" s="2">
        <v>16149.11</v>
      </c>
      <c r="AL419" s="2">
        <v>0</v>
      </c>
      <c r="AM419" s="5">
        <v>3229.82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21704.400000000001</v>
      </c>
      <c r="AT419" s="12">
        <v>19378.93</v>
      </c>
      <c r="AU419" s="2">
        <v>0</v>
      </c>
      <c r="AV419" s="5">
        <v>1808.7</v>
      </c>
      <c r="BL419" s="1" t="s">
        <v>302</v>
      </c>
    </row>
    <row r="420" spans="1:64" x14ac:dyDescent="0.3">
      <c r="A420" t="s">
        <v>510</v>
      </c>
      <c r="B420" s="1" t="s">
        <v>510</v>
      </c>
      <c r="C420" s="9" t="s">
        <v>511</v>
      </c>
      <c r="D420" s="1" t="s">
        <v>95</v>
      </c>
      <c r="E420" s="1" t="s">
        <v>88</v>
      </c>
      <c r="F420" s="10" t="s">
        <v>218</v>
      </c>
      <c r="G420" s="1">
        <v>4.4999999999999998E-2</v>
      </c>
      <c r="H420" s="1">
        <v>0.05</v>
      </c>
      <c r="I420" s="8">
        <v>45260</v>
      </c>
      <c r="J420" s="6">
        <v>824334</v>
      </c>
      <c r="K420" s="6">
        <v>240893</v>
      </c>
      <c r="L420" s="6">
        <v>36800.620000000003</v>
      </c>
      <c r="M420" s="6">
        <v>10754.15</v>
      </c>
      <c r="N420" s="7">
        <v>9510.9599999999991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63913.62</v>
      </c>
      <c r="U420" s="6">
        <v>57065.73</v>
      </c>
      <c r="V420" s="6">
        <v>0</v>
      </c>
      <c r="W420" s="6">
        <v>5326.14</v>
      </c>
      <c r="AI420" s="2">
        <v>824334</v>
      </c>
      <c r="AJ420" s="2">
        <v>240893</v>
      </c>
      <c r="AK420" s="2">
        <v>36800.620000000003</v>
      </c>
      <c r="AL420" s="2">
        <v>10754.15</v>
      </c>
      <c r="AM420" s="5">
        <v>9510.9599999999991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63913.62</v>
      </c>
      <c r="AT420" s="12">
        <v>57065.73</v>
      </c>
      <c r="AU420" s="2">
        <v>0</v>
      </c>
      <c r="AV420" s="5">
        <v>5326.14</v>
      </c>
      <c r="BL420" s="1" t="s">
        <v>90</v>
      </c>
    </row>
    <row r="421" spans="1:64" x14ac:dyDescent="0.3">
      <c r="A421" t="s">
        <v>510</v>
      </c>
      <c r="B421" s="1" t="s">
        <v>512</v>
      </c>
      <c r="C421" s="9" t="s">
        <v>513</v>
      </c>
      <c r="D421" s="1" t="s">
        <v>95</v>
      </c>
      <c r="E421" s="1" t="s">
        <v>88</v>
      </c>
      <c r="F421" s="10" t="s">
        <v>218</v>
      </c>
      <c r="G421" s="1">
        <v>4.4999999999999998E-2</v>
      </c>
      <c r="H421" s="1">
        <v>0.05</v>
      </c>
      <c r="I421" s="8">
        <v>45260</v>
      </c>
      <c r="J421" s="6">
        <v>354027</v>
      </c>
      <c r="K421" s="6">
        <v>98360</v>
      </c>
      <c r="L421" s="6">
        <v>15804.78</v>
      </c>
      <c r="M421" s="6">
        <v>4391.07</v>
      </c>
      <c r="N421" s="7">
        <v>4039.17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27143.22</v>
      </c>
      <c r="U421" s="6">
        <v>24235.019999999997</v>
      </c>
      <c r="V421" s="6">
        <v>0</v>
      </c>
      <c r="W421" s="6">
        <v>2261.94</v>
      </c>
      <c r="AI421" s="2">
        <v>354027</v>
      </c>
      <c r="AJ421" s="2">
        <v>98360</v>
      </c>
      <c r="AK421" s="2">
        <v>15804.78</v>
      </c>
      <c r="AL421" s="2">
        <v>4391.07</v>
      </c>
      <c r="AM421" s="5">
        <v>4039.17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27143.22</v>
      </c>
      <c r="AT421" s="12">
        <v>24235.019999999997</v>
      </c>
      <c r="AU421" s="2">
        <v>0</v>
      </c>
      <c r="AV421" s="5">
        <v>2261.94</v>
      </c>
      <c r="BL421" s="1" t="s">
        <v>90</v>
      </c>
    </row>
    <row r="422" spans="1:64" x14ac:dyDescent="0.3">
      <c r="A422" t="s">
        <v>510</v>
      </c>
      <c r="B422" s="1" t="s">
        <v>514</v>
      </c>
      <c r="C422" s="9" t="s">
        <v>515</v>
      </c>
      <c r="D422" s="1" t="s">
        <v>95</v>
      </c>
      <c r="E422" s="1" t="s">
        <v>88</v>
      </c>
      <c r="F422" s="10" t="s">
        <v>218</v>
      </c>
      <c r="G422" s="1">
        <v>0</v>
      </c>
      <c r="H422" s="1">
        <v>0.05</v>
      </c>
      <c r="I422" s="8">
        <v>45260</v>
      </c>
      <c r="J422" s="6">
        <v>746500</v>
      </c>
      <c r="K422" s="6">
        <v>141051</v>
      </c>
      <c r="L422" s="6">
        <v>33325.89</v>
      </c>
      <c r="M422" s="6">
        <v>6296.92</v>
      </c>
      <c r="N422" s="7">
        <v>7924.56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53253.05</v>
      </c>
      <c r="U422" s="6">
        <v>47547.369999999995</v>
      </c>
      <c r="V422" s="6">
        <v>0</v>
      </c>
      <c r="W422" s="6">
        <v>4437.76</v>
      </c>
      <c r="AI422" s="2">
        <v>746500</v>
      </c>
      <c r="AJ422" s="2">
        <v>141051</v>
      </c>
      <c r="AK422" s="2">
        <v>33325.89</v>
      </c>
      <c r="AL422" s="2">
        <v>6296.92</v>
      </c>
      <c r="AM422" s="5">
        <v>7924.56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53253.05</v>
      </c>
      <c r="AT422" s="12">
        <v>47547.369999999995</v>
      </c>
      <c r="AU422" s="2">
        <v>0</v>
      </c>
      <c r="AV422" s="5">
        <v>4437.76</v>
      </c>
      <c r="BL422" s="1" t="s">
        <v>90</v>
      </c>
    </row>
    <row r="423" spans="1:64" x14ac:dyDescent="0.3">
      <c r="A423" t="s">
        <v>516</v>
      </c>
      <c r="B423" s="1" t="s">
        <v>516</v>
      </c>
      <c r="C423" s="9" t="s">
        <v>517</v>
      </c>
      <c r="D423" s="1" t="s">
        <v>95</v>
      </c>
      <c r="E423" s="1" t="s">
        <v>128</v>
      </c>
      <c r="F423" s="10" t="s">
        <v>325</v>
      </c>
      <c r="G423" s="1">
        <v>4.4999999999999998E-2</v>
      </c>
      <c r="H423" s="1">
        <v>0.05</v>
      </c>
      <c r="I423" s="8">
        <v>45270</v>
      </c>
      <c r="J423" s="6">
        <v>580282</v>
      </c>
      <c r="K423" s="6">
        <v>125925</v>
      </c>
      <c r="L423" s="6">
        <v>25905.45</v>
      </c>
      <c r="M423" s="6">
        <v>5621.65</v>
      </c>
      <c r="N423" s="7">
        <v>6305.42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42372.42</v>
      </c>
      <c r="U423" s="6">
        <v>37832.519999999997</v>
      </c>
      <c r="V423" s="6">
        <v>0</v>
      </c>
      <c r="W423" s="6">
        <v>3531.04</v>
      </c>
      <c r="AI423" s="2">
        <v>580282</v>
      </c>
      <c r="AJ423" s="2">
        <v>125925</v>
      </c>
      <c r="AK423" s="2">
        <v>25905.45</v>
      </c>
      <c r="AL423" s="2">
        <v>5621.65</v>
      </c>
      <c r="AM423" s="5">
        <v>6305.42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42372.42</v>
      </c>
      <c r="AT423" s="12">
        <v>37832.519999999997</v>
      </c>
      <c r="AU423" s="2">
        <v>0</v>
      </c>
      <c r="AV423" s="5">
        <v>3531.04</v>
      </c>
      <c r="BL423" s="1" t="s">
        <v>326</v>
      </c>
    </row>
    <row r="424" spans="1:64" x14ac:dyDescent="0.3">
      <c r="A424" t="s">
        <v>532</v>
      </c>
      <c r="B424" s="1" t="s">
        <v>532</v>
      </c>
      <c r="C424" s="9" t="s">
        <v>533</v>
      </c>
      <c r="D424" s="1" t="s">
        <v>95</v>
      </c>
      <c r="E424" s="1" t="s">
        <v>88</v>
      </c>
      <c r="F424" s="10" t="s">
        <v>534</v>
      </c>
      <c r="G424" s="1">
        <v>3.5000000000000003E-2</v>
      </c>
      <c r="H424" s="1">
        <v>0.05</v>
      </c>
      <c r="I424" s="8">
        <v>45611</v>
      </c>
      <c r="J424" s="6">
        <v>114794</v>
      </c>
      <c r="K424" s="6">
        <v>34304</v>
      </c>
      <c r="L424" s="6">
        <v>5124.7299999999996</v>
      </c>
      <c r="M424" s="6">
        <v>1531.43</v>
      </c>
      <c r="N424" s="7">
        <v>1331.23</v>
      </c>
      <c r="O424" s="6">
        <v>33986.94</v>
      </c>
      <c r="P424" s="6">
        <v>4971.4799999999996</v>
      </c>
      <c r="Q424" s="6">
        <v>1517.28</v>
      </c>
      <c r="R424" s="6">
        <v>221.94</v>
      </c>
      <c r="S424" s="7">
        <v>347.84</v>
      </c>
      <c r="T424" s="11">
        <v>11283.38</v>
      </c>
      <c r="U424" s="6">
        <v>10074.450000000001</v>
      </c>
      <c r="V424" s="6">
        <v>0</v>
      </c>
      <c r="W424" s="6">
        <v>940.28</v>
      </c>
      <c r="AI424" s="2">
        <v>114794</v>
      </c>
      <c r="AJ424" s="2">
        <v>34304</v>
      </c>
      <c r="AK424" s="2">
        <v>5124.7299999999996</v>
      </c>
      <c r="AL424" s="2">
        <v>1531.43</v>
      </c>
      <c r="AM424" s="5">
        <v>1331.23</v>
      </c>
      <c r="AN424" s="12">
        <v>33986.94</v>
      </c>
      <c r="AO424" s="2">
        <v>4971.4799999999996</v>
      </c>
      <c r="AP424" s="2">
        <v>1517.28</v>
      </c>
      <c r="AQ424" s="2">
        <v>221.94</v>
      </c>
      <c r="AR424" s="5">
        <v>347.84</v>
      </c>
      <c r="AS424" s="2">
        <v>11283.38</v>
      </c>
      <c r="AT424" s="12">
        <v>10074.450000000001</v>
      </c>
      <c r="AU424" s="2">
        <v>0</v>
      </c>
      <c r="AV424" s="5">
        <v>940.28</v>
      </c>
      <c r="BL424" s="1" t="s">
        <v>90</v>
      </c>
    </row>
    <row r="425" spans="1:64" x14ac:dyDescent="0.3">
      <c r="A425" t="s">
        <v>535</v>
      </c>
      <c r="B425" s="1" t="s">
        <v>535</v>
      </c>
      <c r="C425" s="9" t="s">
        <v>536</v>
      </c>
      <c r="D425" s="1" t="s">
        <v>95</v>
      </c>
      <c r="E425" s="1" t="s">
        <v>88</v>
      </c>
      <c r="F425" s="10" t="s">
        <v>432</v>
      </c>
      <c r="G425" s="1">
        <v>3.5000000000000003E-2</v>
      </c>
      <c r="H425" s="1">
        <v>0.05</v>
      </c>
      <c r="I425" s="8">
        <v>45616</v>
      </c>
      <c r="J425" s="6">
        <v>257210</v>
      </c>
      <c r="K425" s="6">
        <v>185347</v>
      </c>
      <c r="L425" s="6">
        <v>11482.59</v>
      </c>
      <c r="M425" s="6">
        <v>8274.42</v>
      </c>
      <c r="N425" s="7">
        <v>3951.4</v>
      </c>
      <c r="O425" s="6">
        <v>124048.88999999998</v>
      </c>
      <c r="P425" s="6">
        <v>23389.02</v>
      </c>
      <c r="Q425" s="6">
        <v>5537.89</v>
      </c>
      <c r="R425" s="6">
        <v>1044.1500000000001</v>
      </c>
      <c r="S425" s="7">
        <v>1316.41</v>
      </c>
      <c r="T425" s="11">
        <v>35399.68</v>
      </c>
      <c r="U425" s="6">
        <v>31606.860000000004</v>
      </c>
      <c r="V425" s="6">
        <v>0</v>
      </c>
      <c r="W425" s="6">
        <v>2949.97</v>
      </c>
      <c r="AI425" s="2">
        <v>257210</v>
      </c>
      <c r="AJ425" s="2">
        <v>185347</v>
      </c>
      <c r="AK425" s="2">
        <v>11482.59</v>
      </c>
      <c r="AL425" s="2">
        <v>8274.42</v>
      </c>
      <c r="AM425" s="5">
        <v>3951.4</v>
      </c>
      <c r="AN425" s="12">
        <v>124048.88999999998</v>
      </c>
      <c r="AO425" s="2">
        <v>23389.02</v>
      </c>
      <c r="AP425" s="2">
        <v>5537.89</v>
      </c>
      <c r="AQ425" s="2">
        <v>1044.1500000000001</v>
      </c>
      <c r="AR425" s="5">
        <v>1316.41</v>
      </c>
      <c r="AS425" s="2">
        <v>35399.68</v>
      </c>
      <c r="AT425" s="12">
        <v>31606.860000000004</v>
      </c>
      <c r="AU425" s="2">
        <v>0</v>
      </c>
      <c r="AV425" s="5">
        <v>2949.97</v>
      </c>
      <c r="BL425" s="1" t="s">
        <v>90</v>
      </c>
    </row>
    <row r="426" spans="1:64" x14ac:dyDescent="0.3">
      <c r="A426" t="s">
        <v>535</v>
      </c>
      <c r="B426" s="1" t="s">
        <v>537</v>
      </c>
      <c r="C426" s="9" t="s">
        <v>538</v>
      </c>
      <c r="D426" s="1" t="s">
        <v>95</v>
      </c>
      <c r="E426" s="1" t="s">
        <v>88</v>
      </c>
      <c r="F426" s="10" t="s">
        <v>432</v>
      </c>
      <c r="G426" s="1">
        <v>3.5000000000000003E-2</v>
      </c>
      <c r="H426" s="1">
        <v>0.05</v>
      </c>
      <c r="I426" s="8">
        <v>45616</v>
      </c>
      <c r="J426" s="6">
        <v>256190</v>
      </c>
      <c r="K426" s="6">
        <v>128949</v>
      </c>
      <c r="L426" s="6">
        <v>11437.05</v>
      </c>
      <c r="M426" s="6">
        <v>5756.65</v>
      </c>
      <c r="N426" s="7">
        <v>3438.74</v>
      </c>
      <c r="O426" s="6">
        <v>144945.26999999999</v>
      </c>
      <c r="P426" s="6">
        <v>17772.66</v>
      </c>
      <c r="Q426" s="6">
        <v>6470.77</v>
      </c>
      <c r="R426" s="6">
        <v>793.42</v>
      </c>
      <c r="S426" s="7">
        <v>1452.84</v>
      </c>
      <c r="T426" s="11">
        <v>32871.410000000003</v>
      </c>
      <c r="U426" s="6">
        <v>29349.469999999994</v>
      </c>
      <c r="V426" s="6">
        <v>0</v>
      </c>
      <c r="W426" s="6">
        <v>2739.28</v>
      </c>
      <c r="AI426" s="2">
        <v>256190</v>
      </c>
      <c r="AJ426" s="2">
        <v>128949</v>
      </c>
      <c r="AK426" s="2">
        <v>11437.05</v>
      </c>
      <c r="AL426" s="2">
        <v>5756.65</v>
      </c>
      <c r="AM426" s="5">
        <v>3438.74</v>
      </c>
      <c r="AN426" s="12">
        <v>144945.26999999999</v>
      </c>
      <c r="AO426" s="2">
        <v>17772.66</v>
      </c>
      <c r="AP426" s="2">
        <v>6470.77</v>
      </c>
      <c r="AQ426" s="2">
        <v>793.42</v>
      </c>
      <c r="AR426" s="5">
        <v>1452.84</v>
      </c>
      <c r="AS426" s="2">
        <v>32871.410000000003</v>
      </c>
      <c r="AT426" s="12">
        <v>29349.469999999994</v>
      </c>
      <c r="AU426" s="2">
        <v>0</v>
      </c>
      <c r="AV426" s="5">
        <v>2739.28</v>
      </c>
      <c r="BL426" s="1" t="s">
        <v>90</v>
      </c>
    </row>
    <row r="427" spans="1:64" x14ac:dyDescent="0.3">
      <c r="A427" t="s">
        <v>539</v>
      </c>
      <c r="B427" s="1" t="s">
        <v>539</v>
      </c>
      <c r="C427" s="9" t="s">
        <v>540</v>
      </c>
      <c r="D427" s="1" t="s">
        <v>95</v>
      </c>
      <c r="E427" s="1" t="s">
        <v>128</v>
      </c>
      <c r="F427" s="10" t="s">
        <v>309</v>
      </c>
      <c r="G427" s="1">
        <v>3.5000000000000003E-2</v>
      </c>
      <c r="H427" s="1">
        <v>0.05</v>
      </c>
      <c r="I427" s="8">
        <v>45627</v>
      </c>
      <c r="J427" s="6">
        <v>945225.25</v>
      </c>
      <c r="K427" s="6">
        <v>33663</v>
      </c>
      <c r="L427" s="6">
        <v>42197.55</v>
      </c>
      <c r="M427" s="6">
        <v>1502.81</v>
      </c>
      <c r="N427" s="7">
        <v>8740.07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  <c r="T427" s="11">
        <v>58733.279999999999</v>
      </c>
      <c r="U427" s="6">
        <v>52440.43</v>
      </c>
      <c r="V427" s="6">
        <v>0</v>
      </c>
      <c r="W427" s="6">
        <v>4894.4399999999996</v>
      </c>
      <c r="AI427" s="2">
        <v>945225.25</v>
      </c>
      <c r="AJ427" s="2">
        <v>33663</v>
      </c>
      <c r="AK427" s="2">
        <v>42197.55</v>
      </c>
      <c r="AL427" s="2">
        <v>1502.81</v>
      </c>
      <c r="AM427" s="5">
        <v>8740.07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58733.279999999999</v>
      </c>
      <c r="AT427" s="12">
        <v>52440.43</v>
      </c>
      <c r="AU427" s="2">
        <v>0</v>
      </c>
      <c r="AV427" s="5">
        <v>4894.4399999999996</v>
      </c>
      <c r="BL427" s="1" t="s">
        <v>130</v>
      </c>
    </row>
    <row r="428" spans="1:64" x14ac:dyDescent="0.3">
      <c r="A428" t="s">
        <v>539</v>
      </c>
      <c r="B428" s="1" t="s">
        <v>541</v>
      </c>
      <c r="C428" s="9" t="s">
        <v>542</v>
      </c>
      <c r="D428" s="1" t="s">
        <v>95</v>
      </c>
      <c r="E428" s="1" t="s">
        <v>128</v>
      </c>
      <c r="F428" s="10" t="s">
        <v>309</v>
      </c>
      <c r="G428" s="1">
        <v>0</v>
      </c>
      <c r="H428" s="1">
        <v>0.05</v>
      </c>
      <c r="I428" s="8">
        <v>45589</v>
      </c>
      <c r="J428" s="6">
        <v>414231.95</v>
      </c>
      <c r="K428" s="6">
        <v>6618</v>
      </c>
      <c r="L428" s="6">
        <v>18492.5</v>
      </c>
      <c r="M428" s="6">
        <v>295.45</v>
      </c>
      <c r="N428" s="7">
        <v>3757.59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25251</v>
      </c>
      <c r="U428" s="6">
        <v>22545.54</v>
      </c>
      <c r="V428" s="6">
        <v>0</v>
      </c>
      <c r="W428" s="6">
        <v>2104.25</v>
      </c>
      <c r="AI428" s="2">
        <v>414231.95</v>
      </c>
      <c r="AJ428" s="2">
        <v>6618</v>
      </c>
      <c r="AK428" s="2">
        <v>18492.5</v>
      </c>
      <c r="AL428" s="2">
        <v>295.45</v>
      </c>
      <c r="AM428" s="5">
        <v>3757.59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25251</v>
      </c>
      <c r="AT428" s="12">
        <v>22545.54</v>
      </c>
      <c r="AU428" s="2">
        <v>0</v>
      </c>
      <c r="AV428" s="5">
        <v>2104.25</v>
      </c>
      <c r="BL428" s="1" t="s">
        <v>130</v>
      </c>
    </row>
    <row r="429" spans="1:64" x14ac:dyDescent="0.3">
      <c r="A429" t="s">
        <v>543</v>
      </c>
      <c r="B429" s="1" t="s">
        <v>543</v>
      </c>
      <c r="C429" s="9" t="s">
        <v>544</v>
      </c>
      <c r="D429" s="1" t="s">
        <v>95</v>
      </c>
      <c r="E429" s="1" t="s">
        <v>88</v>
      </c>
      <c r="F429" s="10" t="s">
        <v>545</v>
      </c>
      <c r="G429" s="1">
        <v>3.5000000000000003E-2</v>
      </c>
      <c r="H429" s="1">
        <v>0.05</v>
      </c>
      <c r="I429" s="8">
        <v>45636</v>
      </c>
      <c r="J429" s="6">
        <v>1142995</v>
      </c>
      <c r="K429" s="6">
        <v>771392</v>
      </c>
      <c r="L429" s="6">
        <v>51026.559999999998</v>
      </c>
      <c r="M429" s="6">
        <v>34437.14</v>
      </c>
      <c r="N429" s="7">
        <v>17092.740000000002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114863.21</v>
      </c>
      <c r="U429" s="6">
        <v>102556.44</v>
      </c>
      <c r="V429" s="6">
        <v>0</v>
      </c>
      <c r="W429" s="6">
        <v>9571.94</v>
      </c>
      <c r="AI429" s="2">
        <v>1142995</v>
      </c>
      <c r="AJ429" s="2">
        <v>771392</v>
      </c>
      <c r="AK429" s="2">
        <v>51026.559999999998</v>
      </c>
      <c r="AL429" s="2">
        <v>34437.14</v>
      </c>
      <c r="AM429" s="5">
        <v>17092.740000000002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114863.21</v>
      </c>
      <c r="AT429" s="12">
        <v>102556.44</v>
      </c>
      <c r="AU429" s="2">
        <v>0</v>
      </c>
      <c r="AV429" s="5">
        <v>9571.94</v>
      </c>
      <c r="BL429" s="1" t="s">
        <v>546</v>
      </c>
    </row>
    <row r="430" spans="1:64" x14ac:dyDescent="0.3">
      <c r="A430" t="s">
        <v>543</v>
      </c>
      <c r="B430" s="1" t="s">
        <v>547</v>
      </c>
      <c r="C430" s="9" t="s">
        <v>548</v>
      </c>
      <c r="D430" s="1" t="s">
        <v>95</v>
      </c>
      <c r="E430" s="1" t="s">
        <v>88</v>
      </c>
      <c r="F430" s="10" t="s">
        <v>545</v>
      </c>
      <c r="G430" s="1">
        <v>3.5000000000000003E-2</v>
      </c>
      <c r="H430" s="1">
        <v>0.05</v>
      </c>
      <c r="I430" s="8">
        <v>45636</v>
      </c>
      <c r="J430" s="6">
        <v>176579</v>
      </c>
      <c r="K430" s="6">
        <v>3790</v>
      </c>
      <c r="L430" s="6">
        <v>7882.99</v>
      </c>
      <c r="M430" s="6">
        <v>169.2</v>
      </c>
      <c r="N430" s="7">
        <v>1610.44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10822.15</v>
      </c>
      <c r="U430" s="6">
        <v>9662.6299999999992</v>
      </c>
      <c r="V430" s="6">
        <v>0</v>
      </c>
      <c r="W430" s="6">
        <v>901.84</v>
      </c>
      <c r="AI430" s="2">
        <v>176579</v>
      </c>
      <c r="AJ430" s="2">
        <v>3790</v>
      </c>
      <c r="AK430" s="2">
        <v>7882.99</v>
      </c>
      <c r="AL430" s="2">
        <v>169.2</v>
      </c>
      <c r="AM430" s="5">
        <v>1610.44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10822.15</v>
      </c>
      <c r="AT430" s="12">
        <v>9662.6299999999992</v>
      </c>
      <c r="AU430" s="2">
        <v>0</v>
      </c>
      <c r="AV430" s="5">
        <v>901.84</v>
      </c>
      <c r="BL430" s="1" t="s">
        <v>546</v>
      </c>
    </row>
    <row r="431" spans="1:64" x14ac:dyDescent="0.3">
      <c r="A431" t="s">
        <v>543</v>
      </c>
      <c r="B431" s="1" t="s">
        <v>549</v>
      </c>
      <c r="C431" s="9" t="s">
        <v>550</v>
      </c>
      <c r="D431" s="1" t="s">
        <v>95</v>
      </c>
      <c r="E431" s="1" t="s">
        <v>88</v>
      </c>
      <c r="F431" s="10" t="s">
        <v>545</v>
      </c>
      <c r="G431" s="1">
        <v>0</v>
      </c>
      <c r="H431" s="1">
        <v>0.05</v>
      </c>
      <c r="I431" s="8">
        <v>45444</v>
      </c>
      <c r="J431" s="6">
        <v>156645</v>
      </c>
      <c r="K431" s="6">
        <v>5165</v>
      </c>
      <c r="L431" s="6">
        <v>6993.08</v>
      </c>
      <c r="M431" s="6">
        <v>230.58</v>
      </c>
      <c r="N431" s="7">
        <v>1444.73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9708.6</v>
      </c>
      <c r="U431" s="6">
        <v>8668.39</v>
      </c>
      <c r="V431" s="6">
        <v>0</v>
      </c>
      <c r="W431" s="6">
        <v>809.05</v>
      </c>
      <c r="AI431" s="2">
        <v>156645</v>
      </c>
      <c r="AJ431" s="2">
        <v>5165</v>
      </c>
      <c r="AK431" s="2">
        <v>6993.08</v>
      </c>
      <c r="AL431" s="2">
        <v>230.58</v>
      </c>
      <c r="AM431" s="5">
        <v>1444.73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9708.6</v>
      </c>
      <c r="AT431" s="12">
        <v>8668.39</v>
      </c>
      <c r="AU431" s="2">
        <v>0</v>
      </c>
      <c r="AV431" s="5">
        <v>809.05</v>
      </c>
      <c r="BL431" s="1" t="s">
        <v>546</v>
      </c>
    </row>
    <row r="432" spans="1:64" x14ac:dyDescent="0.3">
      <c r="A432" t="s">
        <v>551</v>
      </c>
      <c r="B432" s="1" t="s">
        <v>551</v>
      </c>
      <c r="C432" s="9" t="s">
        <v>552</v>
      </c>
      <c r="D432" s="1" t="s">
        <v>95</v>
      </c>
      <c r="E432" s="1" t="s">
        <v>135</v>
      </c>
      <c r="F432" s="10" t="s">
        <v>193</v>
      </c>
      <c r="G432" s="1">
        <v>3.5000000000000003E-2</v>
      </c>
      <c r="H432" s="1">
        <v>0.05</v>
      </c>
      <c r="I432" s="8">
        <v>45694</v>
      </c>
      <c r="J432" s="6">
        <v>980818</v>
      </c>
      <c r="K432" s="6">
        <v>449747</v>
      </c>
      <c r="L432" s="6">
        <v>43786.52</v>
      </c>
      <c r="M432" s="6">
        <v>20077.990000000002</v>
      </c>
      <c r="N432" s="7">
        <v>12772.9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85833.9</v>
      </c>
      <c r="U432" s="6">
        <v>76637.409999999989</v>
      </c>
      <c r="V432" s="6">
        <v>0</v>
      </c>
      <c r="W432" s="6">
        <v>7152.82</v>
      </c>
      <c r="AI432" s="2">
        <v>980818</v>
      </c>
      <c r="AJ432" s="2">
        <v>449747</v>
      </c>
      <c r="AK432" s="2">
        <v>43786.52</v>
      </c>
      <c r="AL432" s="2">
        <v>20077.990000000002</v>
      </c>
      <c r="AM432" s="5">
        <v>12772.9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85833.9</v>
      </c>
      <c r="AT432" s="12">
        <v>76637.409999999989</v>
      </c>
      <c r="AU432" s="2">
        <v>0</v>
      </c>
      <c r="AV432" s="5">
        <v>7152.82</v>
      </c>
      <c r="BL432" s="1" t="s">
        <v>137</v>
      </c>
    </row>
    <row r="433" spans="1:64" x14ac:dyDescent="0.3">
      <c r="A433" t="s">
        <v>551</v>
      </c>
      <c r="B433" s="1" t="s">
        <v>553</v>
      </c>
      <c r="C433" s="9" t="s">
        <v>554</v>
      </c>
      <c r="D433" s="1" t="s">
        <v>95</v>
      </c>
      <c r="E433" s="1" t="s">
        <v>135</v>
      </c>
      <c r="F433" s="10" t="s">
        <v>193</v>
      </c>
      <c r="G433" s="1">
        <v>0.04</v>
      </c>
      <c r="H433" s="1">
        <v>0.05</v>
      </c>
      <c r="I433" s="8">
        <v>45694</v>
      </c>
      <c r="J433" s="6">
        <v>45775</v>
      </c>
      <c r="K433" s="6">
        <v>23672</v>
      </c>
      <c r="L433" s="6">
        <v>2043.53</v>
      </c>
      <c r="M433" s="6">
        <v>1056.79</v>
      </c>
      <c r="N433" s="7">
        <v>620.05999999999995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4166.83</v>
      </c>
      <c r="U433" s="6">
        <v>3720.3799999999997</v>
      </c>
      <c r="V433" s="6">
        <v>0</v>
      </c>
      <c r="W433" s="6">
        <v>347.24</v>
      </c>
      <c r="AI433" s="2">
        <v>45775</v>
      </c>
      <c r="AJ433" s="2">
        <v>23672</v>
      </c>
      <c r="AK433" s="2">
        <v>2043.53</v>
      </c>
      <c r="AL433" s="2">
        <v>1056.79</v>
      </c>
      <c r="AM433" s="5">
        <v>620.05999999999995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4166.83</v>
      </c>
      <c r="AT433" s="12">
        <v>3720.3799999999997</v>
      </c>
      <c r="AU433" s="2">
        <v>0</v>
      </c>
      <c r="AV433" s="5">
        <v>347.24</v>
      </c>
      <c r="BL433" s="1" t="s">
        <v>436</v>
      </c>
    </row>
    <row r="434" spans="1:64" x14ac:dyDescent="0.3">
      <c r="A434" t="s">
        <v>555</v>
      </c>
      <c r="B434" s="1" t="s">
        <v>555</v>
      </c>
      <c r="C434" s="9" t="s">
        <v>556</v>
      </c>
      <c r="D434" s="1" t="s">
        <v>95</v>
      </c>
      <c r="E434" s="1" t="s">
        <v>88</v>
      </c>
      <c r="F434" s="10" t="s">
        <v>218</v>
      </c>
      <c r="G434" s="1">
        <v>3.5000000000000003E-2</v>
      </c>
      <c r="H434" s="1">
        <v>0.05</v>
      </c>
      <c r="I434" s="8">
        <v>45752</v>
      </c>
      <c r="J434" s="6">
        <v>434860</v>
      </c>
      <c r="K434" s="6">
        <v>137639</v>
      </c>
      <c r="L434" s="6">
        <v>18636.86</v>
      </c>
      <c r="M434" s="6">
        <v>5898.82</v>
      </c>
      <c r="N434" s="7">
        <v>5111.6000000000004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33204.949999999997</v>
      </c>
      <c r="U434" s="6">
        <v>29647.279999999999</v>
      </c>
      <c r="V434" s="6">
        <v>0</v>
      </c>
      <c r="W434" s="6">
        <v>2862.5</v>
      </c>
      <c r="AI434" s="2">
        <v>434860</v>
      </c>
      <c r="AJ434" s="2">
        <v>137639</v>
      </c>
      <c r="AK434" s="2">
        <v>18636.86</v>
      </c>
      <c r="AL434" s="2">
        <v>5898.82</v>
      </c>
      <c r="AM434" s="5">
        <v>5111.6000000000004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33204.949999999997</v>
      </c>
      <c r="AT434" s="12">
        <v>29647.279999999999</v>
      </c>
      <c r="AU434" s="2">
        <v>0</v>
      </c>
      <c r="AV434" s="5">
        <v>2862.5</v>
      </c>
      <c r="BL434" s="1" t="s">
        <v>90</v>
      </c>
    </row>
    <row r="435" spans="1:64" x14ac:dyDescent="0.3">
      <c r="A435" t="s">
        <v>557</v>
      </c>
      <c r="B435" s="1" t="s">
        <v>557</v>
      </c>
      <c r="C435" s="9" t="s">
        <v>558</v>
      </c>
      <c r="D435" s="1" t="s">
        <v>95</v>
      </c>
      <c r="E435" s="1" t="s">
        <v>135</v>
      </c>
      <c r="F435" s="10" t="s">
        <v>485</v>
      </c>
      <c r="G435" s="1">
        <v>3.5000000000000003E-2</v>
      </c>
      <c r="H435" s="1">
        <v>0.05</v>
      </c>
      <c r="I435" s="8">
        <v>43929</v>
      </c>
      <c r="J435" s="6">
        <v>121358</v>
      </c>
      <c r="K435" s="6">
        <v>16791</v>
      </c>
      <c r="L435" s="6">
        <v>5417.77</v>
      </c>
      <c r="M435" s="6">
        <v>749.6</v>
      </c>
      <c r="N435" s="7">
        <v>1233.47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8288.94</v>
      </c>
      <c r="U435" s="6">
        <v>7400.8400000000011</v>
      </c>
      <c r="V435" s="6">
        <v>0</v>
      </c>
      <c r="W435" s="6">
        <v>690.74</v>
      </c>
      <c r="AI435" s="2">
        <v>121358</v>
      </c>
      <c r="AJ435" s="2">
        <v>16791</v>
      </c>
      <c r="AK435" s="2">
        <v>5417.77</v>
      </c>
      <c r="AL435" s="2">
        <v>749.6</v>
      </c>
      <c r="AM435" s="5">
        <v>1233.47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8288.94</v>
      </c>
      <c r="AT435" s="12">
        <v>7400.8400000000011</v>
      </c>
      <c r="AU435" s="2">
        <v>0</v>
      </c>
      <c r="AV435" s="5">
        <v>690.74</v>
      </c>
      <c r="BL435" s="1" t="s">
        <v>302</v>
      </c>
    </row>
    <row r="436" spans="1:64" x14ac:dyDescent="0.3">
      <c r="A436" t="s">
        <v>571</v>
      </c>
      <c r="B436" s="1" t="s">
        <v>571</v>
      </c>
      <c r="C436" s="9" t="s">
        <v>572</v>
      </c>
      <c r="D436" s="1" t="s">
        <v>95</v>
      </c>
      <c r="E436" s="1" t="s">
        <v>128</v>
      </c>
      <c r="F436" s="10" t="s">
        <v>401</v>
      </c>
      <c r="G436" s="1">
        <v>3.5000000000000003E-2</v>
      </c>
      <c r="H436" s="1">
        <v>0.05</v>
      </c>
      <c r="I436" s="8">
        <v>44256</v>
      </c>
      <c r="J436" s="6">
        <v>258200</v>
      </c>
      <c r="K436" s="6">
        <v>11596</v>
      </c>
      <c r="L436" s="6">
        <v>11526.79</v>
      </c>
      <c r="M436" s="6">
        <v>517.67999999999995</v>
      </c>
      <c r="N436" s="7">
        <v>2408.89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16187.76</v>
      </c>
      <c r="U436" s="6">
        <v>14453.36</v>
      </c>
      <c r="V436" s="6">
        <v>0</v>
      </c>
      <c r="W436" s="6">
        <v>1348.98</v>
      </c>
      <c r="AI436" s="2">
        <v>258200</v>
      </c>
      <c r="AJ436" s="2">
        <v>11596</v>
      </c>
      <c r="AK436" s="2">
        <v>11526.79</v>
      </c>
      <c r="AL436" s="2">
        <v>517.67999999999995</v>
      </c>
      <c r="AM436" s="5">
        <v>2408.89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16187.76</v>
      </c>
      <c r="AT436" s="12">
        <v>14453.36</v>
      </c>
      <c r="AU436" s="2">
        <v>0</v>
      </c>
      <c r="AV436" s="5">
        <v>1348.98</v>
      </c>
      <c r="BL436" s="1" t="s">
        <v>130</v>
      </c>
    </row>
    <row r="437" spans="1:64" x14ac:dyDescent="0.3">
      <c r="A437" t="s">
        <v>571</v>
      </c>
      <c r="B437" s="1" t="s">
        <v>573</v>
      </c>
      <c r="C437" s="9" t="s">
        <v>574</v>
      </c>
      <c r="D437" s="1" t="s">
        <v>95</v>
      </c>
      <c r="E437" s="1" t="s">
        <v>128</v>
      </c>
      <c r="F437" s="10" t="s">
        <v>401</v>
      </c>
      <c r="G437" s="1">
        <v>3.5000000000000003E-2</v>
      </c>
      <c r="H437" s="1">
        <v>0.05</v>
      </c>
      <c r="I437" s="8">
        <v>44256</v>
      </c>
      <c r="J437" s="6">
        <v>378113</v>
      </c>
      <c r="K437" s="6">
        <v>15186</v>
      </c>
      <c r="L437" s="6">
        <v>16880.04</v>
      </c>
      <c r="M437" s="6">
        <v>677.95</v>
      </c>
      <c r="N437" s="7">
        <v>3511.6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23597.94</v>
      </c>
      <c r="U437" s="6">
        <v>21069.59</v>
      </c>
      <c r="V437" s="6">
        <v>0</v>
      </c>
      <c r="W437" s="6">
        <v>1966.5</v>
      </c>
      <c r="AI437" s="2">
        <v>378113</v>
      </c>
      <c r="AJ437" s="2">
        <v>15186</v>
      </c>
      <c r="AK437" s="2">
        <v>16880.04</v>
      </c>
      <c r="AL437" s="2">
        <v>677.95</v>
      </c>
      <c r="AM437" s="5">
        <v>3511.6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23597.94</v>
      </c>
      <c r="AT437" s="12">
        <v>21069.59</v>
      </c>
      <c r="AU437" s="2">
        <v>0</v>
      </c>
      <c r="AV437" s="5">
        <v>1966.5</v>
      </c>
      <c r="BL437" s="1" t="s">
        <v>130</v>
      </c>
    </row>
    <row r="438" spans="1:64" x14ac:dyDescent="0.3">
      <c r="A438" t="s">
        <v>575</v>
      </c>
      <c r="B438" s="1" t="s">
        <v>575</v>
      </c>
      <c r="C438" s="9" t="s">
        <v>576</v>
      </c>
      <c r="D438" s="1" t="s">
        <v>95</v>
      </c>
      <c r="E438" s="1" t="s">
        <v>135</v>
      </c>
      <c r="F438" s="10" t="s">
        <v>435</v>
      </c>
      <c r="G438" s="1">
        <v>3.5000000000000003E-2</v>
      </c>
      <c r="H438" s="1">
        <v>0.05</v>
      </c>
      <c r="I438" s="8">
        <v>44273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752597.70000000007</v>
      </c>
      <c r="P438" s="6">
        <v>136569</v>
      </c>
      <c r="Q438" s="6">
        <v>33598.11</v>
      </c>
      <c r="R438" s="6">
        <v>6096.83</v>
      </c>
      <c r="S438" s="7">
        <v>7938.99</v>
      </c>
      <c r="T438" s="11">
        <v>53350</v>
      </c>
      <c r="U438" s="6">
        <v>47633.93</v>
      </c>
      <c r="V438" s="6">
        <v>0</v>
      </c>
      <c r="W438" s="6">
        <v>4445.83</v>
      </c>
      <c r="AI438" s="2">
        <v>0</v>
      </c>
      <c r="AJ438" s="2">
        <v>0</v>
      </c>
      <c r="AK438" s="2">
        <v>0</v>
      </c>
      <c r="AL438" s="2">
        <v>0</v>
      </c>
      <c r="AM438" s="5">
        <v>0</v>
      </c>
      <c r="AN438" s="12">
        <v>752597.70000000007</v>
      </c>
      <c r="AO438" s="2">
        <v>136569</v>
      </c>
      <c r="AP438" s="2">
        <v>33598.11</v>
      </c>
      <c r="AQ438" s="2">
        <v>6096.83</v>
      </c>
      <c r="AR438" s="5">
        <v>7938.99</v>
      </c>
      <c r="AS438" s="2">
        <v>53350</v>
      </c>
      <c r="AT438" s="12">
        <v>47633.93</v>
      </c>
      <c r="AU438" s="2">
        <v>0</v>
      </c>
      <c r="AV438" s="5">
        <v>4445.83</v>
      </c>
      <c r="BL438" s="1" t="s">
        <v>436</v>
      </c>
    </row>
    <row r="439" spans="1:64" x14ac:dyDescent="0.3">
      <c r="A439" t="s">
        <v>584</v>
      </c>
      <c r="B439" s="1" t="s">
        <v>584</v>
      </c>
      <c r="C439" s="9" t="s">
        <v>585</v>
      </c>
      <c r="D439" s="1" t="s">
        <v>95</v>
      </c>
      <c r="E439" s="1" t="s">
        <v>135</v>
      </c>
      <c r="F439" s="10" t="s">
        <v>435</v>
      </c>
      <c r="G439" s="1">
        <v>3.5000000000000003E-2</v>
      </c>
      <c r="H439" s="1">
        <v>0.05</v>
      </c>
      <c r="I439" s="8">
        <v>44420</v>
      </c>
      <c r="J439" s="6">
        <v>545308</v>
      </c>
      <c r="K439" s="6">
        <v>84135</v>
      </c>
      <c r="L439" s="6">
        <v>24344.11</v>
      </c>
      <c r="M439" s="6">
        <v>3756.03</v>
      </c>
      <c r="N439" s="7">
        <v>5620.03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37766.589999999997</v>
      </c>
      <c r="U439" s="6">
        <v>33720.17</v>
      </c>
      <c r="V439" s="6">
        <v>0</v>
      </c>
      <c r="W439" s="6">
        <v>3147.22</v>
      </c>
      <c r="AI439" s="2">
        <v>545308</v>
      </c>
      <c r="AJ439" s="2">
        <v>84135</v>
      </c>
      <c r="AK439" s="2">
        <v>24344.11</v>
      </c>
      <c r="AL439" s="2">
        <v>3756.03</v>
      </c>
      <c r="AM439" s="5">
        <v>5620.03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37766.589999999997</v>
      </c>
      <c r="AT439" s="12">
        <v>33720.17</v>
      </c>
      <c r="AU439" s="2">
        <v>0</v>
      </c>
      <c r="AV439" s="5">
        <v>3147.22</v>
      </c>
      <c r="BL439" s="1" t="s">
        <v>137</v>
      </c>
    </row>
    <row r="440" spans="1:64" x14ac:dyDescent="0.3">
      <c r="A440" t="s">
        <v>588</v>
      </c>
      <c r="B440" s="1" t="s">
        <v>588</v>
      </c>
      <c r="C440" s="9" t="s">
        <v>589</v>
      </c>
      <c r="D440" s="1" t="s">
        <v>95</v>
      </c>
      <c r="E440" s="1" t="s">
        <v>135</v>
      </c>
      <c r="F440" s="10" t="s">
        <v>435</v>
      </c>
      <c r="G440" s="1">
        <v>3.5000000000000003E-2</v>
      </c>
      <c r="H440" s="1">
        <v>0.05</v>
      </c>
      <c r="I440" s="8">
        <v>44544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501939.60000000003</v>
      </c>
      <c r="P440" s="6">
        <v>91082.400000000009</v>
      </c>
      <c r="Q440" s="6">
        <v>22408.02</v>
      </c>
      <c r="R440" s="6">
        <v>4066.18</v>
      </c>
      <c r="S440" s="7">
        <v>5294.84</v>
      </c>
      <c r="T440" s="11">
        <v>35581.32</v>
      </c>
      <c r="U440" s="6">
        <v>31769.040000000001</v>
      </c>
      <c r="V440" s="6">
        <v>0</v>
      </c>
      <c r="W440" s="6">
        <v>2965.11</v>
      </c>
      <c r="AI440" s="2">
        <v>0</v>
      </c>
      <c r="AJ440" s="2">
        <v>0</v>
      </c>
      <c r="AK440" s="2">
        <v>0</v>
      </c>
      <c r="AL440" s="2">
        <v>0</v>
      </c>
      <c r="AM440" s="5">
        <v>0</v>
      </c>
      <c r="AN440" s="12">
        <v>501939.60000000003</v>
      </c>
      <c r="AO440" s="2">
        <v>91082.400000000009</v>
      </c>
      <c r="AP440" s="2">
        <v>22408.02</v>
      </c>
      <c r="AQ440" s="2">
        <v>4066.18</v>
      </c>
      <c r="AR440" s="5">
        <v>5294.84</v>
      </c>
      <c r="AS440" s="2">
        <v>35581.32</v>
      </c>
      <c r="AT440" s="12">
        <v>31769.040000000001</v>
      </c>
      <c r="AU440" s="2">
        <v>0</v>
      </c>
      <c r="AV440" s="5">
        <v>2965.11</v>
      </c>
      <c r="BL440" s="1" t="s">
        <v>137</v>
      </c>
    </row>
    <row r="441" spans="1:64" x14ac:dyDescent="0.3">
      <c r="A441" t="s">
        <v>588</v>
      </c>
      <c r="B441" s="1" t="s">
        <v>590</v>
      </c>
      <c r="C441" s="9" t="s">
        <v>591</v>
      </c>
      <c r="D441" s="1" t="s">
        <v>95</v>
      </c>
      <c r="E441" s="1" t="s">
        <v>135</v>
      </c>
      <c r="F441" s="10" t="s">
        <v>435</v>
      </c>
      <c r="G441" s="1">
        <v>0</v>
      </c>
      <c r="H441" s="1">
        <v>0.05</v>
      </c>
      <c r="I441" s="8">
        <v>44544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0</v>
      </c>
      <c r="AJ441" s="2">
        <v>0</v>
      </c>
      <c r="AK441" s="2">
        <v>0</v>
      </c>
      <c r="AL441" s="2">
        <v>0</v>
      </c>
      <c r="AM441" s="5">
        <v>0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0</v>
      </c>
      <c r="AT441" s="12">
        <v>0</v>
      </c>
      <c r="AU441" s="2">
        <v>0</v>
      </c>
      <c r="AV441" s="5">
        <v>0</v>
      </c>
      <c r="BL441" s="1" t="s">
        <v>137</v>
      </c>
    </row>
    <row r="442" spans="1:64" x14ac:dyDescent="0.3">
      <c r="A442" t="s">
        <v>592</v>
      </c>
      <c r="B442" s="1" t="s">
        <v>592</v>
      </c>
      <c r="C442" s="9" t="s">
        <v>593</v>
      </c>
      <c r="D442" s="1" t="s">
        <v>95</v>
      </c>
      <c r="E442" s="1" t="s">
        <v>88</v>
      </c>
      <c r="F442" s="10" t="s">
        <v>545</v>
      </c>
      <c r="G442" s="1">
        <v>3.5000000000000003E-2</v>
      </c>
      <c r="H442" s="1">
        <v>0.05</v>
      </c>
      <c r="I442" s="8">
        <v>44518</v>
      </c>
      <c r="J442" s="6">
        <v>190936</v>
      </c>
      <c r="K442" s="6">
        <v>19727</v>
      </c>
      <c r="L442" s="6">
        <v>8523.93</v>
      </c>
      <c r="M442" s="6">
        <v>880.67</v>
      </c>
      <c r="N442" s="7">
        <v>1880.92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12639.78</v>
      </c>
      <c r="U442" s="6">
        <v>11285.52</v>
      </c>
      <c r="V442" s="6">
        <v>0</v>
      </c>
      <c r="W442" s="6">
        <v>1053.32</v>
      </c>
      <c r="AI442" s="2">
        <v>190936</v>
      </c>
      <c r="AJ442" s="2">
        <v>19727</v>
      </c>
      <c r="AK442" s="2">
        <v>8523.93</v>
      </c>
      <c r="AL442" s="2">
        <v>880.67</v>
      </c>
      <c r="AM442" s="5">
        <v>1880.92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12639.78</v>
      </c>
      <c r="AT442" s="12">
        <v>11285.52</v>
      </c>
      <c r="AU442" s="2">
        <v>0</v>
      </c>
      <c r="AV442" s="5">
        <v>1053.32</v>
      </c>
      <c r="BL442" s="1" t="s">
        <v>546</v>
      </c>
    </row>
    <row r="443" spans="1:64" x14ac:dyDescent="0.3">
      <c r="A443" t="s">
        <v>602</v>
      </c>
      <c r="B443" s="1" t="s">
        <v>603</v>
      </c>
      <c r="C443" s="9" t="s">
        <v>604</v>
      </c>
      <c r="D443" s="1" t="s">
        <v>95</v>
      </c>
      <c r="E443" s="1" t="s">
        <v>135</v>
      </c>
      <c r="F443" s="10" t="s">
        <v>435</v>
      </c>
      <c r="G443" s="1">
        <v>4.4999999999999998E-2</v>
      </c>
      <c r="H443" s="1">
        <v>0.05</v>
      </c>
      <c r="I443" s="8">
        <v>45186</v>
      </c>
      <c r="J443" s="6">
        <v>67914</v>
      </c>
      <c r="K443" s="6">
        <v>33750</v>
      </c>
      <c r="L443" s="6">
        <v>3031.87</v>
      </c>
      <c r="M443" s="6">
        <v>1506.7</v>
      </c>
      <c r="N443" s="7">
        <v>907.71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6099.83</v>
      </c>
      <c r="U443" s="6">
        <v>5446.28</v>
      </c>
      <c r="V443" s="6">
        <v>0</v>
      </c>
      <c r="W443" s="6">
        <v>508.32</v>
      </c>
      <c r="AI443" s="2">
        <v>67914</v>
      </c>
      <c r="AJ443" s="2">
        <v>33750</v>
      </c>
      <c r="AK443" s="2">
        <v>3031.87</v>
      </c>
      <c r="AL443" s="2">
        <v>1506.7</v>
      </c>
      <c r="AM443" s="5">
        <v>907.71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6099.83</v>
      </c>
      <c r="AT443" s="12">
        <v>5446.28</v>
      </c>
      <c r="AU443" s="2">
        <v>0</v>
      </c>
      <c r="AV443" s="5">
        <v>508.32</v>
      </c>
      <c r="BL443" s="1" t="s">
        <v>436</v>
      </c>
    </row>
    <row r="444" spans="1:64" x14ac:dyDescent="0.3">
      <c r="A444" t="s">
        <v>602</v>
      </c>
      <c r="B444" s="1" t="s">
        <v>602</v>
      </c>
      <c r="C444" s="9" t="s">
        <v>605</v>
      </c>
      <c r="D444" s="1" t="s">
        <v>95</v>
      </c>
      <c r="E444" s="1" t="s">
        <v>135</v>
      </c>
      <c r="F444" s="10" t="s">
        <v>435</v>
      </c>
      <c r="G444" s="1">
        <v>0.04</v>
      </c>
      <c r="H444" s="1">
        <v>0.05</v>
      </c>
      <c r="I444" s="8">
        <v>45186</v>
      </c>
      <c r="J444" s="6">
        <v>495197</v>
      </c>
      <c r="K444" s="6">
        <v>164665.5</v>
      </c>
      <c r="L444" s="6">
        <v>22107.01</v>
      </c>
      <c r="M444" s="6">
        <v>7351.14</v>
      </c>
      <c r="N444" s="7">
        <v>5891.62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39591.74</v>
      </c>
      <c r="U444" s="6">
        <v>35349.769999999997</v>
      </c>
      <c r="V444" s="6">
        <v>0</v>
      </c>
      <c r="W444" s="6">
        <v>3299.31</v>
      </c>
      <c r="AI444" s="2">
        <v>495197</v>
      </c>
      <c r="AJ444" s="2">
        <v>164665.5</v>
      </c>
      <c r="AK444" s="2">
        <v>22107.01</v>
      </c>
      <c r="AL444" s="2">
        <v>7351.14</v>
      </c>
      <c r="AM444" s="5">
        <v>5891.62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39591.74</v>
      </c>
      <c r="AT444" s="12">
        <v>35349.769999999997</v>
      </c>
      <c r="AU444" s="2">
        <v>0</v>
      </c>
      <c r="AV444" s="5">
        <v>3299.31</v>
      </c>
      <c r="BL444" s="1" t="s">
        <v>137</v>
      </c>
    </row>
    <row r="445" spans="1:64" x14ac:dyDescent="0.3">
      <c r="A445" t="s">
        <v>602</v>
      </c>
      <c r="B445" s="1" t="s">
        <v>606</v>
      </c>
      <c r="C445" s="9" t="s">
        <v>607</v>
      </c>
      <c r="D445" s="1" t="s">
        <v>95</v>
      </c>
      <c r="E445" s="1" t="s">
        <v>135</v>
      </c>
      <c r="F445" s="10" t="s">
        <v>435</v>
      </c>
      <c r="G445" s="1">
        <v>3.5000000000000003E-2</v>
      </c>
      <c r="H445" s="1">
        <v>0.05</v>
      </c>
      <c r="I445" s="8">
        <v>45186</v>
      </c>
      <c r="J445" s="6">
        <v>79826</v>
      </c>
      <c r="K445" s="6">
        <v>31390</v>
      </c>
      <c r="L445" s="6">
        <v>3563.66</v>
      </c>
      <c r="M445" s="6">
        <v>1401.34</v>
      </c>
      <c r="N445" s="7">
        <v>993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6672.96</v>
      </c>
      <c r="U445" s="6">
        <v>5958</v>
      </c>
      <c r="V445" s="6">
        <v>0</v>
      </c>
      <c r="W445" s="6">
        <v>556.08000000000004</v>
      </c>
      <c r="AI445" s="2">
        <v>79826</v>
      </c>
      <c r="AJ445" s="2">
        <v>31390</v>
      </c>
      <c r="AK445" s="2">
        <v>3563.66</v>
      </c>
      <c r="AL445" s="2">
        <v>1401.34</v>
      </c>
      <c r="AM445" s="5">
        <v>993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6672.96</v>
      </c>
      <c r="AT445" s="12">
        <v>5958</v>
      </c>
      <c r="AU445" s="2">
        <v>0</v>
      </c>
      <c r="AV445" s="5">
        <v>556.08000000000004</v>
      </c>
      <c r="BL445" s="1" t="s">
        <v>137</v>
      </c>
    </row>
    <row r="446" spans="1:64" x14ac:dyDescent="0.3">
      <c r="A446" t="s">
        <v>608</v>
      </c>
      <c r="B446" s="1" t="s">
        <v>608</v>
      </c>
      <c r="C446" s="9" t="s">
        <v>609</v>
      </c>
      <c r="D446" s="1" t="s">
        <v>95</v>
      </c>
      <c r="E446" s="1" t="s">
        <v>135</v>
      </c>
      <c r="F446" s="10" t="s">
        <v>435</v>
      </c>
      <c r="G446" s="1">
        <v>3.5000000000000003E-2</v>
      </c>
      <c r="H446" s="1">
        <v>0.05</v>
      </c>
      <c r="I446" s="8">
        <v>44898</v>
      </c>
      <c r="J446" s="6">
        <v>522958</v>
      </c>
      <c r="K446" s="6">
        <v>81480</v>
      </c>
      <c r="L446" s="6">
        <v>23346.34</v>
      </c>
      <c r="M446" s="6">
        <v>3637.5</v>
      </c>
      <c r="N446" s="7">
        <v>5396.77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36266.28</v>
      </c>
      <c r="U446" s="6">
        <v>32380.61</v>
      </c>
      <c r="V446" s="6">
        <v>0</v>
      </c>
      <c r="W446" s="6">
        <v>3022.19</v>
      </c>
      <c r="AI446" s="2">
        <v>522958</v>
      </c>
      <c r="AJ446" s="2">
        <v>81480</v>
      </c>
      <c r="AK446" s="2">
        <v>23346.34</v>
      </c>
      <c r="AL446" s="2">
        <v>3637.5</v>
      </c>
      <c r="AM446" s="5">
        <v>5396.77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36266.28</v>
      </c>
      <c r="AT446" s="12">
        <v>32380.61</v>
      </c>
      <c r="AU446" s="2">
        <v>0</v>
      </c>
      <c r="AV446" s="5">
        <v>3022.19</v>
      </c>
      <c r="BL446" s="1" t="s">
        <v>137</v>
      </c>
    </row>
    <row r="447" spans="1:64" x14ac:dyDescent="0.3">
      <c r="A447" t="s">
        <v>608</v>
      </c>
      <c r="B447" s="1" t="s">
        <v>610</v>
      </c>
      <c r="C447" s="9" t="s">
        <v>611</v>
      </c>
      <c r="D447" s="1" t="s">
        <v>95</v>
      </c>
      <c r="E447" s="1" t="s">
        <v>135</v>
      </c>
      <c r="F447" s="10" t="s">
        <v>435</v>
      </c>
      <c r="G447" s="1">
        <v>0</v>
      </c>
      <c r="H447" s="1">
        <v>0.05</v>
      </c>
      <c r="I447" s="8">
        <v>44898</v>
      </c>
      <c r="J447" s="6">
        <v>493041</v>
      </c>
      <c r="K447" s="6">
        <v>101810</v>
      </c>
      <c r="L447" s="6">
        <v>22010.76</v>
      </c>
      <c r="M447" s="6">
        <v>4545.09</v>
      </c>
      <c r="N447" s="7">
        <v>5311.17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35691.06</v>
      </c>
      <c r="U447" s="6">
        <v>31867.019999999997</v>
      </c>
      <c r="V447" s="6">
        <v>0</v>
      </c>
      <c r="W447" s="6">
        <v>2974.26</v>
      </c>
      <c r="AI447" s="2">
        <v>493041</v>
      </c>
      <c r="AJ447" s="2">
        <v>101810</v>
      </c>
      <c r="AK447" s="2">
        <v>22010.76</v>
      </c>
      <c r="AL447" s="2">
        <v>4545.09</v>
      </c>
      <c r="AM447" s="5">
        <v>5311.17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35691.06</v>
      </c>
      <c r="AT447" s="12">
        <v>31867.019999999997</v>
      </c>
      <c r="AU447" s="2">
        <v>0</v>
      </c>
      <c r="AV447" s="5">
        <v>2974.26</v>
      </c>
      <c r="BL447" s="1" t="s">
        <v>137</v>
      </c>
    </row>
    <row r="448" spans="1:64" x14ac:dyDescent="0.3">
      <c r="A448" t="s">
        <v>612</v>
      </c>
      <c r="B448" s="1" t="s">
        <v>612</v>
      </c>
      <c r="C448" s="9" t="s">
        <v>613</v>
      </c>
      <c r="D448" s="1" t="s">
        <v>95</v>
      </c>
      <c r="E448" s="1" t="s">
        <v>128</v>
      </c>
      <c r="F448" s="10" t="s">
        <v>129</v>
      </c>
      <c r="G448" s="1">
        <v>4.4999999999999998E-2</v>
      </c>
      <c r="H448" s="1">
        <v>0.05</v>
      </c>
      <c r="I448" s="8">
        <v>44964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518739</v>
      </c>
      <c r="P448" s="6">
        <v>30997.5</v>
      </c>
      <c r="Q448" s="6">
        <v>23157.99</v>
      </c>
      <c r="R448" s="6">
        <v>1383.82</v>
      </c>
      <c r="S448" s="7">
        <v>4908.3599999999997</v>
      </c>
      <c r="T448" s="11">
        <v>32984.19</v>
      </c>
      <c r="U448" s="6">
        <v>29450.170000000002</v>
      </c>
      <c r="V448" s="6">
        <v>0</v>
      </c>
      <c r="W448" s="6">
        <v>2748.68</v>
      </c>
      <c r="AI448" s="2">
        <v>0</v>
      </c>
      <c r="AJ448" s="2">
        <v>0</v>
      </c>
      <c r="AK448" s="2">
        <v>0</v>
      </c>
      <c r="AL448" s="2">
        <v>0</v>
      </c>
      <c r="AM448" s="5">
        <v>0</v>
      </c>
      <c r="AN448" s="12">
        <v>518739</v>
      </c>
      <c r="AO448" s="2">
        <v>30997.5</v>
      </c>
      <c r="AP448" s="2">
        <v>23157.99</v>
      </c>
      <c r="AQ448" s="2">
        <v>1383.82</v>
      </c>
      <c r="AR448" s="5">
        <v>4908.3599999999997</v>
      </c>
      <c r="AS448" s="2">
        <v>32984.19</v>
      </c>
      <c r="AT448" s="12">
        <v>29450.170000000002</v>
      </c>
      <c r="AU448" s="2">
        <v>0</v>
      </c>
      <c r="AV448" s="5">
        <v>2748.68</v>
      </c>
      <c r="BL448" s="1" t="s">
        <v>130</v>
      </c>
    </row>
    <row r="449" spans="1:64" x14ac:dyDescent="0.3">
      <c r="A449" t="s">
        <v>612</v>
      </c>
      <c r="B449" s="1" t="s">
        <v>614</v>
      </c>
      <c r="C449" s="9" t="s">
        <v>615</v>
      </c>
      <c r="D449" s="1" t="s">
        <v>95</v>
      </c>
      <c r="E449" s="1" t="s">
        <v>128</v>
      </c>
      <c r="F449" s="10" t="s">
        <v>129</v>
      </c>
      <c r="G449" s="1">
        <v>0</v>
      </c>
      <c r="H449" s="1">
        <v>0.05</v>
      </c>
      <c r="I449" s="8">
        <v>44964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155369.40000000002</v>
      </c>
      <c r="P449" s="6">
        <v>16178.7</v>
      </c>
      <c r="Q449" s="6">
        <v>6936.13</v>
      </c>
      <c r="R449" s="6">
        <v>722.27</v>
      </c>
      <c r="S449" s="7">
        <v>0</v>
      </c>
      <c r="T449" s="11">
        <v>8577.41</v>
      </c>
      <c r="U449" s="6">
        <v>7658.4</v>
      </c>
      <c r="V449" s="6">
        <v>0</v>
      </c>
      <c r="W449" s="6">
        <v>857.74</v>
      </c>
      <c r="AI449" s="2">
        <v>0</v>
      </c>
      <c r="AJ449" s="2">
        <v>0</v>
      </c>
      <c r="AK449" s="2">
        <v>0</v>
      </c>
      <c r="AL449" s="2">
        <v>0</v>
      </c>
      <c r="AM449" s="5">
        <v>0</v>
      </c>
      <c r="AN449" s="12">
        <v>155369.40000000002</v>
      </c>
      <c r="AO449" s="2">
        <v>16178.7</v>
      </c>
      <c r="AP449" s="2">
        <v>6936.13</v>
      </c>
      <c r="AQ449" s="2">
        <v>722.27</v>
      </c>
      <c r="AR449" s="5">
        <v>0</v>
      </c>
      <c r="AS449" s="2">
        <v>8577.41</v>
      </c>
      <c r="AT449" s="12">
        <v>7658.4</v>
      </c>
      <c r="AU449" s="2">
        <v>0</v>
      </c>
      <c r="AV449" s="5">
        <v>857.74</v>
      </c>
      <c r="BL449" s="1" t="s">
        <v>130</v>
      </c>
    </row>
    <row r="450" spans="1:64" x14ac:dyDescent="0.3">
      <c r="A450" t="s">
        <v>612</v>
      </c>
      <c r="B450" s="1" t="s">
        <v>616</v>
      </c>
      <c r="C450" s="9" t="s">
        <v>617</v>
      </c>
      <c r="D450" s="1" t="s">
        <v>95</v>
      </c>
      <c r="E450" s="1" t="s">
        <v>128</v>
      </c>
      <c r="F450" s="10" t="s">
        <v>129</v>
      </c>
      <c r="G450" s="1">
        <v>4.4999999999999998E-2</v>
      </c>
      <c r="H450" s="1">
        <v>0.05</v>
      </c>
      <c r="I450" s="8">
        <v>44964</v>
      </c>
      <c r="J450" s="6">
        <v>0</v>
      </c>
      <c r="K450" s="6">
        <v>0</v>
      </c>
      <c r="L450" s="6">
        <v>0</v>
      </c>
      <c r="M450" s="6">
        <v>0</v>
      </c>
      <c r="N450" s="7">
        <v>0</v>
      </c>
      <c r="O450" s="6">
        <v>270057.90000000002</v>
      </c>
      <c r="P450" s="6">
        <v>18739.199999999997</v>
      </c>
      <c r="Q450" s="6">
        <v>12056.16</v>
      </c>
      <c r="R450" s="6">
        <v>836.57</v>
      </c>
      <c r="S450" s="7">
        <v>2578.54</v>
      </c>
      <c r="T450" s="11">
        <v>17327.82</v>
      </c>
      <c r="U450" s="6">
        <v>15471.27</v>
      </c>
      <c r="V450" s="6">
        <v>0</v>
      </c>
      <c r="W450" s="6">
        <v>1443.99</v>
      </c>
      <c r="AI450" s="2">
        <v>0</v>
      </c>
      <c r="AJ450" s="2">
        <v>0</v>
      </c>
      <c r="AK450" s="2">
        <v>0</v>
      </c>
      <c r="AL450" s="2">
        <v>0</v>
      </c>
      <c r="AM450" s="5">
        <v>0</v>
      </c>
      <c r="AN450" s="12">
        <v>270057.90000000002</v>
      </c>
      <c r="AO450" s="2">
        <v>18739.199999999997</v>
      </c>
      <c r="AP450" s="2">
        <v>12056.16</v>
      </c>
      <c r="AQ450" s="2">
        <v>836.57</v>
      </c>
      <c r="AR450" s="5">
        <v>2578.54</v>
      </c>
      <c r="AS450" s="2">
        <v>17327.82</v>
      </c>
      <c r="AT450" s="12">
        <v>15471.27</v>
      </c>
      <c r="AU450" s="2">
        <v>0</v>
      </c>
      <c r="AV450" s="5">
        <v>1443.99</v>
      </c>
      <c r="BL450" s="1" t="s">
        <v>130</v>
      </c>
    </row>
    <row r="451" spans="1:64" x14ac:dyDescent="0.3">
      <c r="A451" t="s">
        <v>612</v>
      </c>
      <c r="B451" s="1" t="s">
        <v>618</v>
      </c>
      <c r="C451" s="9" t="s">
        <v>619</v>
      </c>
      <c r="D451" s="1" t="s">
        <v>95</v>
      </c>
      <c r="E451" s="1" t="s">
        <v>128</v>
      </c>
      <c r="F451" s="10" t="s">
        <v>129</v>
      </c>
      <c r="G451" s="1">
        <v>4.4999999999999998E-2</v>
      </c>
      <c r="H451" s="1">
        <v>0.05</v>
      </c>
      <c r="I451" s="8">
        <v>44964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315010.20000000007</v>
      </c>
      <c r="P451" s="6">
        <v>12004.199999999999</v>
      </c>
      <c r="Q451" s="6">
        <v>14062.96</v>
      </c>
      <c r="R451" s="6">
        <v>535.9</v>
      </c>
      <c r="S451" s="7">
        <v>2919.77</v>
      </c>
      <c r="T451" s="11">
        <v>19620.87</v>
      </c>
      <c r="U451" s="6">
        <v>17518.629999999997</v>
      </c>
      <c r="V451" s="6">
        <v>0</v>
      </c>
      <c r="W451" s="6">
        <v>1635.07</v>
      </c>
      <c r="AI451" s="2">
        <v>0</v>
      </c>
      <c r="AJ451" s="2">
        <v>0</v>
      </c>
      <c r="AK451" s="2">
        <v>0</v>
      </c>
      <c r="AL451" s="2">
        <v>0</v>
      </c>
      <c r="AM451" s="5">
        <v>0</v>
      </c>
      <c r="AN451" s="12">
        <v>315010.20000000007</v>
      </c>
      <c r="AO451" s="2">
        <v>12004.199999999999</v>
      </c>
      <c r="AP451" s="2">
        <v>14062.96</v>
      </c>
      <c r="AQ451" s="2">
        <v>535.9</v>
      </c>
      <c r="AR451" s="5">
        <v>2919.77</v>
      </c>
      <c r="AS451" s="2">
        <v>19620.87</v>
      </c>
      <c r="AT451" s="12">
        <v>17518.629999999997</v>
      </c>
      <c r="AU451" s="2">
        <v>0</v>
      </c>
      <c r="AV451" s="5">
        <v>1635.07</v>
      </c>
      <c r="BL451" s="1" t="s">
        <v>130</v>
      </c>
    </row>
    <row r="452" spans="1:64" x14ac:dyDescent="0.3">
      <c r="A452" t="s">
        <v>612</v>
      </c>
      <c r="B452" s="1" t="s">
        <v>620</v>
      </c>
      <c r="C452" s="9" t="s">
        <v>621</v>
      </c>
      <c r="D452" s="1" t="s">
        <v>95</v>
      </c>
      <c r="E452" s="1" t="s">
        <v>128</v>
      </c>
      <c r="F452" s="10" t="s">
        <v>129</v>
      </c>
      <c r="G452" s="1">
        <v>0</v>
      </c>
      <c r="H452" s="1">
        <v>0.05</v>
      </c>
      <c r="I452" s="8">
        <v>45569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217049.69999999998</v>
      </c>
      <c r="P452" s="6">
        <v>10077.6</v>
      </c>
      <c r="Q452" s="6">
        <v>9689.7099999999991</v>
      </c>
      <c r="R452" s="6">
        <v>449.89</v>
      </c>
      <c r="S452" s="7">
        <v>0</v>
      </c>
      <c r="T452" s="11">
        <v>11356.35</v>
      </c>
      <c r="U452" s="6">
        <v>10139.599999999999</v>
      </c>
      <c r="V452" s="6">
        <v>0</v>
      </c>
      <c r="W452" s="6">
        <v>1135.6400000000001</v>
      </c>
      <c r="AI452" s="2">
        <v>0</v>
      </c>
      <c r="AJ452" s="2">
        <v>0</v>
      </c>
      <c r="AK452" s="2">
        <v>0</v>
      </c>
      <c r="AL452" s="2">
        <v>0</v>
      </c>
      <c r="AM452" s="5">
        <v>0</v>
      </c>
      <c r="AN452" s="12">
        <v>217049.69999999998</v>
      </c>
      <c r="AO452" s="2">
        <v>10077.6</v>
      </c>
      <c r="AP452" s="2">
        <v>9689.7099999999991</v>
      </c>
      <c r="AQ452" s="2">
        <v>449.89</v>
      </c>
      <c r="AR452" s="5">
        <v>0</v>
      </c>
      <c r="AS452" s="2">
        <v>11356.35</v>
      </c>
      <c r="AT452" s="12">
        <v>10139.599999999999</v>
      </c>
      <c r="AU452" s="2">
        <v>0</v>
      </c>
      <c r="AV452" s="5">
        <v>1135.6400000000001</v>
      </c>
      <c r="BL452" s="1" t="s">
        <v>130</v>
      </c>
    </row>
    <row r="453" spans="1:64" x14ac:dyDescent="0.3">
      <c r="A453" t="s">
        <v>635</v>
      </c>
      <c r="B453" s="1" t="s">
        <v>635</v>
      </c>
      <c r="C453" s="9" t="s">
        <v>636</v>
      </c>
      <c r="D453" s="1" t="s">
        <v>95</v>
      </c>
      <c r="E453" s="1" t="s">
        <v>135</v>
      </c>
      <c r="F453" s="10" t="s">
        <v>485</v>
      </c>
      <c r="G453" s="1">
        <v>4.4999999999999998E-2</v>
      </c>
      <c r="H453" s="1">
        <v>0.05</v>
      </c>
      <c r="I453" s="8">
        <v>45124</v>
      </c>
      <c r="J453" s="6">
        <v>663191</v>
      </c>
      <c r="K453" s="6">
        <v>93226</v>
      </c>
      <c r="L453" s="6">
        <v>29606.74</v>
      </c>
      <c r="M453" s="6">
        <v>4161.88</v>
      </c>
      <c r="N453" s="7">
        <v>6753.72</v>
      </c>
      <c r="O453" s="6">
        <v>0</v>
      </c>
      <c r="P453" s="6">
        <v>0</v>
      </c>
      <c r="Q453" s="6">
        <v>0</v>
      </c>
      <c r="R453" s="6">
        <v>0</v>
      </c>
      <c r="S453" s="7">
        <v>0</v>
      </c>
      <c r="T453" s="11">
        <v>45385.02</v>
      </c>
      <c r="U453" s="6">
        <v>40522.340000000004</v>
      </c>
      <c r="V453" s="6">
        <v>0</v>
      </c>
      <c r="W453" s="6">
        <v>3782.08</v>
      </c>
      <c r="AI453" s="2">
        <v>663191</v>
      </c>
      <c r="AJ453" s="2">
        <v>93226</v>
      </c>
      <c r="AK453" s="2">
        <v>29606.74</v>
      </c>
      <c r="AL453" s="2">
        <v>4161.88</v>
      </c>
      <c r="AM453" s="5">
        <v>6753.72</v>
      </c>
      <c r="AN453" s="12">
        <v>0</v>
      </c>
      <c r="AO453" s="2">
        <v>0</v>
      </c>
      <c r="AP453" s="2">
        <v>0</v>
      </c>
      <c r="AQ453" s="2">
        <v>0</v>
      </c>
      <c r="AR453" s="5">
        <v>0</v>
      </c>
      <c r="AS453" s="2">
        <v>45385.02</v>
      </c>
      <c r="AT453" s="12">
        <v>40522.340000000004</v>
      </c>
      <c r="AU453" s="2">
        <v>0</v>
      </c>
      <c r="AV453" s="5">
        <v>3782.08</v>
      </c>
      <c r="BL453" s="1" t="s">
        <v>302</v>
      </c>
    </row>
    <row r="454" spans="1:64" x14ac:dyDescent="0.3">
      <c r="A454" t="s">
        <v>650</v>
      </c>
      <c r="B454" s="1" t="s">
        <v>650</v>
      </c>
      <c r="C454" s="9" t="s">
        <v>651</v>
      </c>
      <c r="D454" s="1" t="s">
        <v>95</v>
      </c>
      <c r="E454" s="1" t="s">
        <v>88</v>
      </c>
      <c r="F454" s="10" t="s">
        <v>432</v>
      </c>
      <c r="G454" s="1">
        <v>4.4999999999999998E-2</v>
      </c>
      <c r="H454" s="1">
        <v>0.05</v>
      </c>
      <c r="I454" s="8">
        <v>45287</v>
      </c>
      <c r="J454" s="6">
        <v>305785</v>
      </c>
      <c r="K454" s="6">
        <v>272531</v>
      </c>
      <c r="L454" s="6">
        <v>13651.12</v>
      </c>
      <c r="M454" s="6">
        <v>12166.56</v>
      </c>
      <c r="N454" s="7">
        <v>5163.54</v>
      </c>
      <c r="O454" s="6">
        <v>171095.84999999998</v>
      </c>
      <c r="P454" s="6">
        <v>33565.409999999996</v>
      </c>
      <c r="Q454" s="6">
        <v>7638.21</v>
      </c>
      <c r="R454" s="6">
        <v>1498.46</v>
      </c>
      <c r="S454" s="7">
        <v>1827.33</v>
      </c>
      <c r="T454" s="11">
        <v>46978.65</v>
      </c>
      <c r="U454" s="6">
        <v>41945.22</v>
      </c>
      <c r="V454" s="6">
        <v>0</v>
      </c>
      <c r="W454" s="6">
        <v>3914.89</v>
      </c>
      <c r="AI454" s="2">
        <v>305785</v>
      </c>
      <c r="AJ454" s="2">
        <v>272531</v>
      </c>
      <c r="AK454" s="2">
        <v>13651.12</v>
      </c>
      <c r="AL454" s="2">
        <v>12166.56</v>
      </c>
      <c r="AM454" s="5">
        <v>5163.54</v>
      </c>
      <c r="AN454" s="12">
        <v>171095.84999999998</v>
      </c>
      <c r="AO454" s="2">
        <v>33565.409999999996</v>
      </c>
      <c r="AP454" s="2">
        <v>7638.21</v>
      </c>
      <c r="AQ454" s="2">
        <v>1498.46</v>
      </c>
      <c r="AR454" s="5">
        <v>1827.33</v>
      </c>
      <c r="AS454" s="2">
        <v>46978.65</v>
      </c>
      <c r="AT454" s="12">
        <v>41945.22</v>
      </c>
      <c r="AU454" s="2">
        <v>0</v>
      </c>
      <c r="AV454" s="5">
        <v>3914.89</v>
      </c>
      <c r="BL454" s="1" t="s">
        <v>90</v>
      </c>
    </row>
    <row r="455" spans="1:64" x14ac:dyDescent="0.3">
      <c r="A455" t="s">
        <v>650</v>
      </c>
      <c r="B455" s="1" t="s">
        <v>652</v>
      </c>
      <c r="C455" s="9" t="s">
        <v>653</v>
      </c>
      <c r="D455" s="1" t="s">
        <v>95</v>
      </c>
      <c r="E455" s="1" t="s">
        <v>88</v>
      </c>
      <c r="F455" s="10" t="s">
        <v>432</v>
      </c>
      <c r="G455" s="1">
        <v>4.4999999999999998E-2</v>
      </c>
      <c r="H455" s="1">
        <v>0.05</v>
      </c>
      <c r="I455" s="8">
        <v>45287</v>
      </c>
      <c r="J455" s="6">
        <v>14630</v>
      </c>
      <c r="K455" s="6">
        <v>42163</v>
      </c>
      <c r="L455" s="6">
        <v>653.12</v>
      </c>
      <c r="M455" s="6">
        <v>1882.28</v>
      </c>
      <c r="N455" s="7">
        <v>507.08</v>
      </c>
      <c r="O455" s="6">
        <v>87001.56</v>
      </c>
      <c r="P455" s="6">
        <v>19188.18</v>
      </c>
      <c r="Q455" s="6">
        <v>3884</v>
      </c>
      <c r="R455" s="6">
        <v>856.62</v>
      </c>
      <c r="S455" s="7">
        <v>948.12</v>
      </c>
      <c r="T455" s="11">
        <v>9778.9699999999993</v>
      </c>
      <c r="U455" s="6">
        <v>8731.2199999999993</v>
      </c>
      <c r="V455" s="6">
        <v>0</v>
      </c>
      <c r="W455" s="6">
        <v>814.91</v>
      </c>
      <c r="AI455" s="2">
        <v>14630</v>
      </c>
      <c r="AJ455" s="2">
        <v>42163</v>
      </c>
      <c r="AK455" s="2">
        <v>653.12</v>
      </c>
      <c r="AL455" s="2">
        <v>1882.28</v>
      </c>
      <c r="AM455" s="5">
        <v>507.08</v>
      </c>
      <c r="AN455" s="12">
        <v>87001.56</v>
      </c>
      <c r="AO455" s="2">
        <v>19188.18</v>
      </c>
      <c r="AP455" s="2">
        <v>3884</v>
      </c>
      <c r="AQ455" s="2">
        <v>856.62</v>
      </c>
      <c r="AR455" s="5">
        <v>948.12</v>
      </c>
      <c r="AS455" s="2">
        <v>9778.9699999999993</v>
      </c>
      <c r="AT455" s="12">
        <v>8731.2199999999993</v>
      </c>
      <c r="AU455" s="2">
        <v>0</v>
      </c>
      <c r="AV455" s="5">
        <v>814.91</v>
      </c>
      <c r="BL455" s="1" t="s">
        <v>90</v>
      </c>
    </row>
    <row r="456" spans="1:64" x14ac:dyDescent="0.3">
      <c r="A456" t="s">
        <v>650</v>
      </c>
      <c r="B456" s="1" t="s">
        <v>654</v>
      </c>
      <c r="C456" s="9" t="s">
        <v>655</v>
      </c>
      <c r="D456" s="1" t="s">
        <v>95</v>
      </c>
      <c r="E456" s="1" t="s">
        <v>88</v>
      </c>
      <c r="F456" s="10" t="s">
        <v>432</v>
      </c>
      <c r="G456" s="1">
        <v>0</v>
      </c>
      <c r="H456" s="1">
        <v>0.05</v>
      </c>
      <c r="I456" s="8">
        <v>45287</v>
      </c>
      <c r="J456" s="6">
        <v>155905</v>
      </c>
      <c r="K456" s="6">
        <v>103589</v>
      </c>
      <c r="L456" s="6">
        <v>6960.04</v>
      </c>
      <c r="M456" s="6">
        <v>4624.51</v>
      </c>
      <c r="N456" s="7">
        <v>2316.91</v>
      </c>
      <c r="O456" s="6">
        <v>38791.350000000006</v>
      </c>
      <c r="P456" s="6">
        <v>4170.24</v>
      </c>
      <c r="Q456" s="6">
        <v>1731.76</v>
      </c>
      <c r="R456" s="6">
        <v>186.17</v>
      </c>
      <c r="S456" s="7">
        <v>0</v>
      </c>
      <c r="T456" s="11">
        <v>17717.72</v>
      </c>
      <c r="U456" s="6">
        <v>15819.39</v>
      </c>
      <c r="V456" s="6">
        <v>0</v>
      </c>
      <c r="W456" s="6">
        <v>1512.28</v>
      </c>
      <c r="AI456" s="2">
        <v>155905</v>
      </c>
      <c r="AJ456" s="2">
        <v>103589</v>
      </c>
      <c r="AK456" s="2">
        <v>6960.04</v>
      </c>
      <c r="AL456" s="2">
        <v>4624.51</v>
      </c>
      <c r="AM456" s="5">
        <v>2316.91</v>
      </c>
      <c r="AN456" s="12">
        <v>38791.350000000006</v>
      </c>
      <c r="AO456" s="2">
        <v>4170.24</v>
      </c>
      <c r="AP456" s="2">
        <v>1731.76</v>
      </c>
      <c r="AQ456" s="2">
        <v>186.17</v>
      </c>
      <c r="AR456" s="5">
        <v>0</v>
      </c>
      <c r="AS456" s="2">
        <v>17717.72</v>
      </c>
      <c r="AT456" s="12">
        <v>15819.39</v>
      </c>
      <c r="AU456" s="2">
        <v>0</v>
      </c>
      <c r="AV456" s="5">
        <v>1512.28</v>
      </c>
      <c r="BL456" s="1" t="s">
        <v>90</v>
      </c>
    </row>
    <row r="457" spans="1:64" x14ac:dyDescent="0.3">
      <c r="A457" t="s">
        <v>674</v>
      </c>
      <c r="B457" s="1" t="s">
        <v>674</v>
      </c>
      <c r="C457" s="9" t="s">
        <v>675</v>
      </c>
      <c r="D457" s="1" t="s">
        <v>95</v>
      </c>
      <c r="E457" s="1" t="s">
        <v>88</v>
      </c>
      <c r="F457" s="10" t="s">
        <v>432</v>
      </c>
      <c r="G457" s="1">
        <v>3.5000000000000003E-2</v>
      </c>
      <c r="H457" s="1">
        <v>0.05</v>
      </c>
      <c r="I457" s="8">
        <v>45567</v>
      </c>
      <c r="J457" s="6">
        <v>864689</v>
      </c>
      <c r="K457" s="6">
        <v>144916</v>
      </c>
      <c r="L457" s="6">
        <v>38602.19</v>
      </c>
      <c r="M457" s="6">
        <v>6469.46</v>
      </c>
      <c r="N457" s="7">
        <v>9014.33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60576.3</v>
      </c>
      <c r="U457" s="6">
        <v>54085.98</v>
      </c>
      <c r="V457" s="6">
        <v>0</v>
      </c>
      <c r="W457" s="6">
        <v>5048.03</v>
      </c>
      <c r="AI457" s="2">
        <v>864689</v>
      </c>
      <c r="AJ457" s="2">
        <v>144916</v>
      </c>
      <c r="AK457" s="2">
        <v>38602.19</v>
      </c>
      <c r="AL457" s="2">
        <v>6469.46</v>
      </c>
      <c r="AM457" s="5">
        <v>9014.33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60576.3</v>
      </c>
      <c r="AT457" s="12">
        <v>54085.98</v>
      </c>
      <c r="AU457" s="2">
        <v>0</v>
      </c>
      <c r="AV457" s="5">
        <v>5048.03</v>
      </c>
      <c r="BL457" s="1" t="s">
        <v>90</v>
      </c>
    </row>
    <row r="458" spans="1:64" x14ac:dyDescent="0.3">
      <c r="A458" t="s">
        <v>678</v>
      </c>
      <c r="B458" s="1" t="s">
        <v>678</v>
      </c>
      <c r="C458" s="9" t="s">
        <v>679</v>
      </c>
      <c r="D458" s="1" t="s">
        <v>95</v>
      </c>
      <c r="E458" s="1" t="s">
        <v>128</v>
      </c>
      <c r="F458" s="10" t="s">
        <v>309</v>
      </c>
      <c r="G458" s="1">
        <v>3.5000000000000003E-2</v>
      </c>
      <c r="H458" s="1">
        <v>0.05</v>
      </c>
      <c r="I458" s="8">
        <v>45719</v>
      </c>
      <c r="J458" s="6">
        <v>567317</v>
      </c>
      <c r="K458" s="6">
        <v>26532</v>
      </c>
      <c r="L458" s="6">
        <v>25326.65</v>
      </c>
      <c r="M458" s="6">
        <v>1184.46</v>
      </c>
      <c r="N458" s="7">
        <v>5302.22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35630.93</v>
      </c>
      <c r="U458" s="6">
        <v>31813.33</v>
      </c>
      <c r="V458" s="6">
        <v>0</v>
      </c>
      <c r="W458" s="6">
        <v>2969.24</v>
      </c>
      <c r="AI458" s="2">
        <v>567317</v>
      </c>
      <c r="AJ458" s="2">
        <v>26532</v>
      </c>
      <c r="AK458" s="2">
        <v>25326.65</v>
      </c>
      <c r="AL458" s="2">
        <v>1184.46</v>
      </c>
      <c r="AM458" s="5">
        <v>5302.22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35630.93</v>
      </c>
      <c r="AT458" s="12">
        <v>31813.33</v>
      </c>
      <c r="AU458" s="2">
        <v>0</v>
      </c>
      <c r="AV458" s="5">
        <v>2969.24</v>
      </c>
      <c r="BL458" s="1" t="s">
        <v>130</v>
      </c>
    </row>
    <row r="459" spans="1:64" x14ac:dyDescent="0.3">
      <c r="A459" t="s">
        <v>678</v>
      </c>
      <c r="B459" s="1" t="s">
        <v>680</v>
      </c>
      <c r="C459" s="9" t="s">
        <v>681</v>
      </c>
      <c r="D459" s="1" t="s">
        <v>95</v>
      </c>
      <c r="E459" s="1" t="s">
        <v>128</v>
      </c>
      <c r="F459" s="10" t="s">
        <v>309</v>
      </c>
      <c r="G459" s="1">
        <v>0</v>
      </c>
      <c r="H459" s="1">
        <v>0.05</v>
      </c>
      <c r="I459" s="8">
        <v>45719</v>
      </c>
      <c r="J459" s="6">
        <v>135662</v>
      </c>
      <c r="K459" s="6">
        <v>0</v>
      </c>
      <c r="L459" s="6">
        <v>6056.34</v>
      </c>
      <c r="M459" s="6">
        <v>0</v>
      </c>
      <c r="N459" s="7">
        <v>1211.27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8139.72</v>
      </c>
      <c r="U459" s="6">
        <v>7267.6100000000006</v>
      </c>
      <c r="V459" s="6">
        <v>0</v>
      </c>
      <c r="W459" s="6">
        <v>678.31</v>
      </c>
      <c r="AI459" s="2">
        <v>135662</v>
      </c>
      <c r="AJ459" s="2">
        <v>0</v>
      </c>
      <c r="AK459" s="2">
        <v>6056.34</v>
      </c>
      <c r="AL459" s="2">
        <v>0</v>
      </c>
      <c r="AM459" s="5">
        <v>1211.27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8139.72</v>
      </c>
      <c r="AT459" s="12">
        <v>7267.6100000000006</v>
      </c>
      <c r="AU459" s="2">
        <v>0</v>
      </c>
      <c r="AV459" s="5">
        <v>678.31</v>
      </c>
      <c r="BL459" s="1" t="s">
        <v>130</v>
      </c>
    </row>
    <row r="460" spans="1:64" x14ac:dyDescent="0.3">
      <c r="A460" t="s">
        <v>678</v>
      </c>
      <c r="B460" s="1" t="s">
        <v>682</v>
      </c>
      <c r="C460" s="9" t="s">
        <v>683</v>
      </c>
      <c r="D460" s="1" t="s">
        <v>95</v>
      </c>
      <c r="E460" s="1" t="s">
        <v>128</v>
      </c>
      <c r="F460" s="10" t="s">
        <v>129</v>
      </c>
      <c r="G460" s="1">
        <v>0</v>
      </c>
      <c r="H460" s="1">
        <v>0.05</v>
      </c>
      <c r="I460" s="8">
        <v>45719</v>
      </c>
      <c r="J460" s="6">
        <v>233666</v>
      </c>
      <c r="K460" s="6">
        <v>15224</v>
      </c>
      <c r="L460" s="6">
        <v>10431.52</v>
      </c>
      <c r="M460" s="6">
        <v>679.64</v>
      </c>
      <c r="N460" s="7">
        <v>2222.23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14933.4</v>
      </c>
      <c r="U460" s="6">
        <v>13333.39</v>
      </c>
      <c r="V460" s="6">
        <v>0</v>
      </c>
      <c r="W460" s="6">
        <v>1244.45</v>
      </c>
      <c r="AI460" s="2">
        <v>233666</v>
      </c>
      <c r="AJ460" s="2">
        <v>15224</v>
      </c>
      <c r="AK460" s="2">
        <v>10431.52</v>
      </c>
      <c r="AL460" s="2">
        <v>679.64</v>
      </c>
      <c r="AM460" s="5">
        <v>2222.23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14933.4</v>
      </c>
      <c r="AT460" s="12">
        <v>13333.39</v>
      </c>
      <c r="AU460" s="2">
        <v>0</v>
      </c>
      <c r="AV460" s="5">
        <v>1244.45</v>
      </c>
      <c r="BL460" s="1" t="s">
        <v>130</v>
      </c>
    </row>
    <row r="461" spans="1:64" x14ac:dyDescent="0.3">
      <c r="A461" t="s">
        <v>686</v>
      </c>
      <c r="B461" s="1" t="s">
        <v>686</v>
      </c>
      <c r="C461" s="9" t="s">
        <v>687</v>
      </c>
      <c r="D461" s="1" t="s">
        <v>95</v>
      </c>
      <c r="E461" s="1" t="s">
        <v>135</v>
      </c>
      <c r="F461" s="10" t="s">
        <v>348</v>
      </c>
      <c r="G461" s="1">
        <v>3.5000000000000003E-2</v>
      </c>
      <c r="H461" s="1">
        <v>0.05</v>
      </c>
      <c r="I461" s="8">
        <v>44538</v>
      </c>
      <c r="J461" s="6">
        <v>403509</v>
      </c>
      <c r="K461" s="6">
        <v>97034</v>
      </c>
      <c r="L461" s="6">
        <v>18013.79</v>
      </c>
      <c r="M461" s="6">
        <v>4331.87</v>
      </c>
      <c r="N461" s="7">
        <v>4469.13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30032.560000000001</v>
      </c>
      <c r="U461" s="6">
        <v>26814.79</v>
      </c>
      <c r="V461" s="6">
        <v>0</v>
      </c>
      <c r="W461" s="6">
        <v>2502.7199999999998</v>
      </c>
      <c r="AI461" s="2">
        <v>403509</v>
      </c>
      <c r="AJ461" s="2">
        <v>97034</v>
      </c>
      <c r="AK461" s="2">
        <v>18013.79</v>
      </c>
      <c r="AL461" s="2">
        <v>4331.87</v>
      </c>
      <c r="AM461" s="5">
        <v>4469.13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30032.560000000001</v>
      </c>
      <c r="AT461" s="12">
        <v>26814.79</v>
      </c>
      <c r="AU461" s="2">
        <v>0</v>
      </c>
      <c r="AV461" s="5">
        <v>2502.7199999999998</v>
      </c>
      <c r="BL461" s="1" t="s">
        <v>137</v>
      </c>
    </row>
    <row r="462" spans="1:64" x14ac:dyDescent="0.3">
      <c r="A462" t="s">
        <v>688</v>
      </c>
      <c r="B462" s="1" t="s">
        <v>688</v>
      </c>
      <c r="C462" s="9" t="s">
        <v>689</v>
      </c>
      <c r="D462" s="1" t="s">
        <v>95</v>
      </c>
      <c r="E462" s="1" t="s">
        <v>128</v>
      </c>
      <c r="F462" s="10" t="s">
        <v>325</v>
      </c>
      <c r="G462" s="1">
        <v>3.5000000000000003E-2</v>
      </c>
      <c r="H462" s="1">
        <v>0.05</v>
      </c>
      <c r="I462" s="8">
        <v>45667</v>
      </c>
      <c r="J462" s="6">
        <v>2132201</v>
      </c>
      <c r="K462" s="6">
        <v>97694</v>
      </c>
      <c r="L462" s="6">
        <v>95187.54</v>
      </c>
      <c r="M462" s="6">
        <v>4361.34</v>
      </c>
      <c r="N462" s="7">
        <v>19909.78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133793.70000000001</v>
      </c>
      <c r="U462" s="6">
        <v>119458.65999999999</v>
      </c>
      <c r="V462" s="6">
        <v>0</v>
      </c>
      <c r="W462" s="6">
        <v>11149.48</v>
      </c>
      <c r="AI462" s="2">
        <v>2132201</v>
      </c>
      <c r="AJ462" s="2">
        <v>97694</v>
      </c>
      <c r="AK462" s="2">
        <v>95187.54</v>
      </c>
      <c r="AL462" s="2">
        <v>4361.34</v>
      </c>
      <c r="AM462" s="5">
        <v>19909.78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133793.70000000001</v>
      </c>
      <c r="AT462" s="12">
        <v>119458.65999999999</v>
      </c>
      <c r="AU462" s="2">
        <v>0</v>
      </c>
      <c r="AV462" s="5">
        <v>11149.48</v>
      </c>
      <c r="BL462" s="1" t="s">
        <v>326</v>
      </c>
    </row>
    <row r="463" spans="1:64" x14ac:dyDescent="0.3">
      <c r="A463" t="s">
        <v>704</v>
      </c>
      <c r="B463" s="1" t="s">
        <v>704</v>
      </c>
      <c r="C463" s="9" t="s">
        <v>705</v>
      </c>
      <c r="D463" s="1" t="s">
        <v>95</v>
      </c>
      <c r="E463" s="1" t="s">
        <v>135</v>
      </c>
      <c r="F463" s="10" t="s">
        <v>435</v>
      </c>
      <c r="G463" s="1">
        <v>3.5000000000000003E-2</v>
      </c>
      <c r="H463" s="1">
        <v>0.05</v>
      </c>
      <c r="I463" s="8">
        <v>44482</v>
      </c>
      <c r="J463" s="6">
        <v>200311</v>
      </c>
      <c r="K463" s="6">
        <v>50790</v>
      </c>
      <c r="L463" s="6">
        <v>8942.4599999999991</v>
      </c>
      <c r="M463" s="6">
        <v>2267.41</v>
      </c>
      <c r="N463" s="7">
        <v>2241.9699999999998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15066.06</v>
      </c>
      <c r="U463" s="6">
        <v>13451.839999999998</v>
      </c>
      <c r="V463" s="6">
        <v>0</v>
      </c>
      <c r="W463" s="6">
        <v>1255.51</v>
      </c>
      <c r="AI463" s="2">
        <v>200311</v>
      </c>
      <c r="AJ463" s="2">
        <v>50790</v>
      </c>
      <c r="AK463" s="2">
        <v>8942.4599999999991</v>
      </c>
      <c r="AL463" s="2">
        <v>2267.41</v>
      </c>
      <c r="AM463" s="5">
        <v>2241.9699999999998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15066.06</v>
      </c>
      <c r="AT463" s="12">
        <v>13451.839999999998</v>
      </c>
      <c r="AU463" s="2">
        <v>0</v>
      </c>
      <c r="AV463" s="5">
        <v>1255.51</v>
      </c>
      <c r="BL463" s="1" t="s">
        <v>137</v>
      </c>
    </row>
    <row r="464" spans="1:64" x14ac:dyDescent="0.3">
      <c r="A464" t="s">
        <v>706</v>
      </c>
      <c r="B464" s="1" t="s">
        <v>706</v>
      </c>
      <c r="C464" s="9" t="s">
        <v>707</v>
      </c>
      <c r="D464" s="1" t="s">
        <v>95</v>
      </c>
      <c r="E464" s="1" t="s">
        <v>88</v>
      </c>
      <c r="F464" s="10" t="s">
        <v>218</v>
      </c>
      <c r="G464" s="1">
        <v>3.5000000000000003E-2</v>
      </c>
      <c r="H464" s="1">
        <v>0.05</v>
      </c>
      <c r="I464" s="8">
        <v>44044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291539.39999999997</v>
      </c>
      <c r="P464" s="6">
        <v>71847.599999999991</v>
      </c>
      <c r="Q464" s="6">
        <v>13015.15</v>
      </c>
      <c r="R464" s="6">
        <v>3207.48</v>
      </c>
      <c r="S464" s="7">
        <v>3244.53</v>
      </c>
      <c r="T464" s="11">
        <v>21803.22</v>
      </c>
      <c r="U464" s="6">
        <v>19467.16</v>
      </c>
      <c r="V464" s="6">
        <v>0</v>
      </c>
      <c r="W464" s="6">
        <v>1816.93</v>
      </c>
      <c r="AI464" s="2">
        <v>0</v>
      </c>
      <c r="AJ464" s="2">
        <v>0</v>
      </c>
      <c r="AK464" s="2">
        <v>0</v>
      </c>
      <c r="AL464" s="2">
        <v>0</v>
      </c>
      <c r="AM464" s="5">
        <v>0</v>
      </c>
      <c r="AN464" s="12">
        <v>291539.39999999997</v>
      </c>
      <c r="AO464" s="2">
        <v>71847.599999999991</v>
      </c>
      <c r="AP464" s="2">
        <v>13015.15</v>
      </c>
      <c r="AQ464" s="2">
        <v>3207.48</v>
      </c>
      <c r="AR464" s="5">
        <v>3244.53</v>
      </c>
      <c r="AS464" s="2">
        <v>21803.22</v>
      </c>
      <c r="AT464" s="12">
        <v>19467.16</v>
      </c>
      <c r="AU464" s="2">
        <v>0</v>
      </c>
      <c r="AV464" s="5">
        <v>1816.93</v>
      </c>
      <c r="BL464" s="1" t="s">
        <v>90</v>
      </c>
    </row>
    <row r="465" spans="1:64" x14ac:dyDescent="0.3">
      <c r="A465" t="s">
        <v>706</v>
      </c>
      <c r="B465" s="1" t="s">
        <v>708</v>
      </c>
      <c r="C465" s="9" t="s">
        <v>709</v>
      </c>
      <c r="D465" s="1" t="s">
        <v>95</v>
      </c>
      <c r="E465" s="1" t="s">
        <v>88</v>
      </c>
      <c r="F465" s="10" t="s">
        <v>218</v>
      </c>
      <c r="G465" s="1">
        <v>0.04</v>
      </c>
      <c r="H465" s="1">
        <v>0.05</v>
      </c>
      <c r="I465" s="8">
        <v>44044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178931.40000000002</v>
      </c>
      <c r="P465" s="6">
        <v>37781.100000000006</v>
      </c>
      <c r="Q465" s="6">
        <v>7988.01</v>
      </c>
      <c r="R465" s="6">
        <v>1686.66</v>
      </c>
      <c r="S465" s="7">
        <v>1934.94</v>
      </c>
      <c r="T465" s="11">
        <v>13002.76</v>
      </c>
      <c r="U465" s="6">
        <v>11609.61</v>
      </c>
      <c r="V465" s="6">
        <v>0</v>
      </c>
      <c r="W465" s="6">
        <v>1083.56</v>
      </c>
      <c r="AI465" s="2">
        <v>0</v>
      </c>
      <c r="AJ465" s="2">
        <v>0</v>
      </c>
      <c r="AK465" s="2">
        <v>0</v>
      </c>
      <c r="AL465" s="2">
        <v>0</v>
      </c>
      <c r="AM465" s="5">
        <v>0</v>
      </c>
      <c r="AN465" s="12">
        <v>178931.40000000002</v>
      </c>
      <c r="AO465" s="2">
        <v>37781.100000000006</v>
      </c>
      <c r="AP465" s="2">
        <v>7988.01</v>
      </c>
      <c r="AQ465" s="2">
        <v>1686.66</v>
      </c>
      <c r="AR465" s="5">
        <v>1934.94</v>
      </c>
      <c r="AS465" s="2">
        <v>13002.76</v>
      </c>
      <c r="AT465" s="12">
        <v>11609.61</v>
      </c>
      <c r="AU465" s="2">
        <v>0</v>
      </c>
      <c r="AV465" s="5">
        <v>1083.56</v>
      </c>
      <c r="BL465" s="1" t="s">
        <v>90</v>
      </c>
    </row>
    <row r="466" spans="1:64" x14ac:dyDescent="0.3">
      <c r="A466" t="s">
        <v>710</v>
      </c>
      <c r="B466" s="1" t="s">
        <v>710</v>
      </c>
      <c r="C466" s="9" t="s">
        <v>711</v>
      </c>
      <c r="D466" s="1" t="s">
        <v>95</v>
      </c>
      <c r="E466" s="1" t="s">
        <v>88</v>
      </c>
      <c r="F466" s="10" t="s">
        <v>545</v>
      </c>
      <c r="G466" s="1">
        <v>3.5000000000000003E-2</v>
      </c>
      <c r="H466" s="1">
        <v>0.05</v>
      </c>
      <c r="I466" s="8">
        <v>44130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0</v>
      </c>
      <c r="AJ466" s="2">
        <v>0</v>
      </c>
      <c r="AK466" s="2">
        <v>0</v>
      </c>
      <c r="AL466" s="2">
        <v>0</v>
      </c>
      <c r="AM466" s="5">
        <v>0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0</v>
      </c>
      <c r="AT466" s="12">
        <v>0</v>
      </c>
      <c r="AU466" s="2">
        <v>0</v>
      </c>
      <c r="AV466" s="5">
        <v>0</v>
      </c>
      <c r="BL466" s="1" t="s">
        <v>546</v>
      </c>
    </row>
    <row r="467" spans="1:64" x14ac:dyDescent="0.3">
      <c r="A467" t="s">
        <v>712</v>
      </c>
      <c r="B467" s="1" t="s">
        <v>712</v>
      </c>
      <c r="C467" s="9" t="s">
        <v>713</v>
      </c>
      <c r="D467" s="1" t="s">
        <v>95</v>
      </c>
      <c r="E467" s="1" t="s">
        <v>135</v>
      </c>
      <c r="F467" s="10" t="s">
        <v>193</v>
      </c>
      <c r="G467" s="1">
        <v>3.5000000000000003E-2</v>
      </c>
      <c r="H467" s="1">
        <v>0.05</v>
      </c>
      <c r="I467" s="8">
        <v>44113</v>
      </c>
      <c r="J467" s="6">
        <v>432090</v>
      </c>
      <c r="K467" s="6">
        <v>34790</v>
      </c>
      <c r="L467" s="6">
        <v>19289.73</v>
      </c>
      <c r="M467" s="6">
        <v>1553.12</v>
      </c>
      <c r="N467" s="7">
        <v>4168.57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28012.79</v>
      </c>
      <c r="U467" s="6">
        <v>25011.42</v>
      </c>
      <c r="V467" s="6">
        <v>0</v>
      </c>
      <c r="W467" s="6">
        <v>2334.4</v>
      </c>
      <c r="AI467" s="2">
        <v>432090</v>
      </c>
      <c r="AJ467" s="2">
        <v>34790</v>
      </c>
      <c r="AK467" s="2">
        <v>19289.73</v>
      </c>
      <c r="AL467" s="2">
        <v>1553.12</v>
      </c>
      <c r="AM467" s="5">
        <v>4168.57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28012.79</v>
      </c>
      <c r="AT467" s="12">
        <v>25011.42</v>
      </c>
      <c r="AU467" s="2">
        <v>0</v>
      </c>
      <c r="AV467" s="5">
        <v>2334.4</v>
      </c>
      <c r="BL467" s="1" t="s">
        <v>137</v>
      </c>
    </row>
    <row r="468" spans="1:64" x14ac:dyDescent="0.3">
      <c r="A468" t="s">
        <v>712</v>
      </c>
      <c r="B468" s="1" t="s">
        <v>714</v>
      </c>
      <c r="C468" s="9" t="s">
        <v>715</v>
      </c>
      <c r="D468" s="1" t="s">
        <v>95</v>
      </c>
      <c r="E468" s="1" t="s">
        <v>135</v>
      </c>
      <c r="F468" s="10" t="s">
        <v>193</v>
      </c>
      <c r="G468" s="1">
        <v>4.4999999999999998E-2</v>
      </c>
      <c r="H468" s="1">
        <v>0.05</v>
      </c>
      <c r="I468" s="8">
        <v>44113</v>
      </c>
      <c r="J468" s="6">
        <v>714507</v>
      </c>
      <c r="K468" s="6">
        <v>30990</v>
      </c>
      <c r="L468" s="6">
        <v>31897.63</v>
      </c>
      <c r="M468" s="6">
        <v>1383.48</v>
      </c>
      <c r="N468" s="7">
        <v>6656.22</v>
      </c>
      <c r="O468" s="6">
        <v>0</v>
      </c>
      <c r="P468" s="6">
        <v>0</v>
      </c>
      <c r="Q468" s="6">
        <v>0</v>
      </c>
      <c r="R468" s="6">
        <v>0</v>
      </c>
      <c r="S468" s="7">
        <v>0</v>
      </c>
      <c r="T468" s="11">
        <v>44729.81</v>
      </c>
      <c r="U468" s="6">
        <v>39937.33</v>
      </c>
      <c r="V468" s="6">
        <v>0</v>
      </c>
      <c r="W468" s="6">
        <v>3727.48</v>
      </c>
      <c r="AI468" s="2">
        <v>714507</v>
      </c>
      <c r="AJ468" s="2">
        <v>30990</v>
      </c>
      <c r="AK468" s="2">
        <v>31897.63</v>
      </c>
      <c r="AL468" s="2">
        <v>1383.48</v>
      </c>
      <c r="AM468" s="5">
        <v>6656.22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44729.81</v>
      </c>
      <c r="AT468" s="12">
        <v>39937.33</v>
      </c>
      <c r="AU468" s="2">
        <v>0</v>
      </c>
      <c r="AV468" s="5">
        <v>3727.48</v>
      </c>
      <c r="BL468" s="1" t="s">
        <v>137</v>
      </c>
    </row>
    <row r="469" spans="1:64" x14ac:dyDescent="0.3">
      <c r="A469" t="s">
        <v>716</v>
      </c>
      <c r="B469" s="1" t="s">
        <v>716</v>
      </c>
      <c r="C469" s="9" t="s">
        <v>717</v>
      </c>
      <c r="D469" s="1" t="s">
        <v>95</v>
      </c>
      <c r="E469" s="1" t="s">
        <v>88</v>
      </c>
      <c r="F469" s="10" t="s">
        <v>96</v>
      </c>
      <c r="G469" s="1">
        <v>0.04</v>
      </c>
      <c r="H469" s="1">
        <v>0.05</v>
      </c>
      <c r="I469" s="8">
        <v>44232</v>
      </c>
      <c r="J469" s="6">
        <v>677022.09</v>
      </c>
      <c r="K469" s="6">
        <v>84353</v>
      </c>
      <c r="L469" s="6">
        <v>30224.2</v>
      </c>
      <c r="M469" s="6">
        <v>3765.76</v>
      </c>
      <c r="N469" s="7">
        <v>6797.99</v>
      </c>
      <c r="O469" s="6">
        <v>0</v>
      </c>
      <c r="P469" s="6">
        <v>0</v>
      </c>
      <c r="Q469" s="6">
        <v>0</v>
      </c>
      <c r="R469" s="6">
        <v>0</v>
      </c>
      <c r="S469" s="7">
        <v>0</v>
      </c>
      <c r="T469" s="11">
        <v>45682.5</v>
      </c>
      <c r="U469" s="6">
        <v>40787.949999999997</v>
      </c>
      <c r="V469" s="6">
        <v>0</v>
      </c>
      <c r="W469" s="6">
        <v>3806.88</v>
      </c>
      <c r="AI469" s="2">
        <v>677022.09</v>
      </c>
      <c r="AJ469" s="2">
        <v>84353</v>
      </c>
      <c r="AK469" s="2">
        <v>30224.2</v>
      </c>
      <c r="AL469" s="2">
        <v>3765.76</v>
      </c>
      <c r="AM469" s="5">
        <v>6797.99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45682.5</v>
      </c>
      <c r="AT469" s="12">
        <v>40787.949999999997</v>
      </c>
      <c r="AU469" s="2">
        <v>0</v>
      </c>
      <c r="AV469" s="5">
        <v>3806.88</v>
      </c>
      <c r="BL469" s="1" t="s">
        <v>90</v>
      </c>
    </row>
    <row r="470" spans="1:64" x14ac:dyDescent="0.3">
      <c r="A470" t="s">
        <v>718</v>
      </c>
      <c r="B470" s="1" t="s">
        <v>718</v>
      </c>
      <c r="C470" s="9" t="s">
        <v>719</v>
      </c>
      <c r="D470" s="1" t="s">
        <v>95</v>
      </c>
      <c r="E470" s="1" t="s">
        <v>135</v>
      </c>
      <c r="F470" s="10" t="s">
        <v>435</v>
      </c>
      <c r="G470" s="1">
        <v>3.5000000000000003E-2</v>
      </c>
      <c r="H470" s="1">
        <v>0.05</v>
      </c>
      <c r="I470" s="8">
        <v>44328</v>
      </c>
      <c r="J470" s="6">
        <v>541218</v>
      </c>
      <c r="K470" s="6">
        <v>89865</v>
      </c>
      <c r="L470" s="6">
        <v>24161.52</v>
      </c>
      <c r="M470" s="6">
        <v>4011.83</v>
      </c>
      <c r="N470" s="7">
        <v>5634.67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37864.980000000003</v>
      </c>
      <c r="U470" s="6">
        <v>33808.019999999997</v>
      </c>
      <c r="V470" s="6">
        <v>0</v>
      </c>
      <c r="W470" s="6">
        <v>3155.42</v>
      </c>
      <c r="AI470" s="2">
        <v>541218</v>
      </c>
      <c r="AJ470" s="2">
        <v>89865</v>
      </c>
      <c r="AK470" s="2">
        <v>24161.52</v>
      </c>
      <c r="AL470" s="2">
        <v>4011.83</v>
      </c>
      <c r="AM470" s="5">
        <v>5634.67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37864.980000000003</v>
      </c>
      <c r="AT470" s="12">
        <v>33808.019999999997</v>
      </c>
      <c r="AU470" s="2">
        <v>0</v>
      </c>
      <c r="AV470" s="5">
        <v>3155.42</v>
      </c>
      <c r="BL470" s="1" t="s">
        <v>137</v>
      </c>
    </row>
    <row r="471" spans="1:64" x14ac:dyDescent="0.3">
      <c r="A471" t="s">
        <v>720</v>
      </c>
      <c r="B471" s="1" t="s">
        <v>720</v>
      </c>
      <c r="C471" s="9" t="s">
        <v>721</v>
      </c>
      <c r="D471" s="1" t="s">
        <v>95</v>
      </c>
      <c r="E471" s="1" t="s">
        <v>88</v>
      </c>
      <c r="F471" s="10" t="s">
        <v>534</v>
      </c>
      <c r="G471" s="1">
        <v>0.04</v>
      </c>
      <c r="H471" s="1">
        <v>0.05</v>
      </c>
      <c r="I471" s="8">
        <v>44313</v>
      </c>
      <c r="J471" s="6">
        <v>549505</v>
      </c>
      <c r="K471" s="6">
        <v>66913</v>
      </c>
      <c r="L471" s="6">
        <v>24531.47</v>
      </c>
      <c r="M471" s="6">
        <v>2987.19</v>
      </c>
      <c r="N471" s="7">
        <v>5503.73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36985.08</v>
      </c>
      <c r="U471" s="6">
        <v>33022.39</v>
      </c>
      <c r="V471" s="6">
        <v>0</v>
      </c>
      <c r="W471" s="6">
        <v>3082.09</v>
      </c>
      <c r="AI471" s="2">
        <v>549505</v>
      </c>
      <c r="AJ471" s="2">
        <v>66913</v>
      </c>
      <c r="AK471" s="2">
        <v>24531.47</v>
      </c>
      <c r="AL471" s="2">
        <v>2987.19</v>
      </c>
      <c r="AM471" s="5">
        <v>5503.73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36985.08</v>
      </c>
      <c r="AT471" s="12">
        <v>33022.39</v>
      </c>
      <c r="AU471" s="2">
        <v>0</v>
      </c>
      <c r="AV471" s="5">
        <v>3082.09</v>
      </c>
      <c r="BL471" s="1" t="s">
        <v>90</v>
      </c>
    </row>
    <row r="472" spans="1:64" x14ac:dyDescent="0.3">
      <c r="A472" t="s">
        <v>720</v>
      </c>
      <c r="B472" s="1" t="s">
        <v>722</v>
      </c>
      <c r="C472" s="9" t="s">
        <v>723</v>
      </c>
      <c r="D472" s="1" t="s">
        <v>95</v>
      </c>
      <c r="E472" s="1" t="s">
        <v>88</v>
      </c>
      <c r="F472" s="10" t="s">
        <v>534</v>
      </c>
      <c r="G472" s="1">
        <v>0.04</v>
      </c>
      <c r="H472" s="1">
        <v>0.05</v>
      </c>
      <c r="I472" s="8">
        <v>44313</v>
      </c>
      <c r="J472" s="6">
        <v>552802</v>
      </c>
      <c r="K472" s="6">
        <v>48191</v>
      </c>
      <c r="L472" s="6">
        <v>24678.66</v>
      </c>
      <c r="M472" s="6">
        <v>2151.38</v>
      </c>
      <c r="N472" s="7">
        <v>5366.01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36059.58</v>
      </c>
      <c r="U472" s="6">
        <v>32196.050000000003</v>
      </c>
      <c r="V472" s="6">
        <v>0</v>
      </c>
      <c r="W472" s="6">
        <v>3004.96</v>
      </c>
      <c r="AI472" s="2">
        <v>552802</v>
      </c>
      <c r="AJ472" s="2">
        <v>48191</v>
      </c>
      <c r="AK472" s="2">
        <v>24678.66</v>
      </c>
      <c r="AL472" s="2">
        <v>2151.38</v>
      </c>
      <c r="AM472" s="5">
        <v>5366.01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36059.58</v>
      </c>
      <c r="AT472" s="12">
        <v>32196.050000000003</v>
      </c>
      <c r="AU472" s="2">
        <v>0</v>
      </c>
      <c r="AV472" s="5">
        <v>3004.96</v>
      </c>
      <c r="BL472" s="1" t="s">
        <v>90</v>
      </c>
    </row>
    <row r="473" spans="1:64" x14ac:dyDescent="0.3">
      <c r="A473" t="s">
        <v>720</v>
      </c>
      <c r="B473" s="1" t="s">
        <v>724</v>
      </c>
      <c r="C473" s="9" t="s">
        <v>725</v>
      </c>
      <c r="D473" s="1" t="s">
        <v>95</v>
      </c>
      <c r="E473" s="1" t="s">
        <v>88</v>
      </c>
      <c r="F473" s="10" t="s">
        <v>534</v>
      </c>
      <c r="G473" s="1">
        <v>0</v>
      </c>
      <c r="H473" s="1">
        <v>0.05</v>
      </c>
      <c r="I473" s="8">
        <v>45047</v>
      </c>
      <c r="J473" s="6">
        <v>110223</v>
      </c>
      <c r="K473" s="6">
        <v>10055</v>
      </c>
      <c r="L473" s="6">
        <v>4920.67</v>
      </c>
      <c r="M473" s="6">
        <v>448.88</v>
      </c>
      <c r="N473" s="7">
        <v>1073.9100000000001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7216.68</v>
      </c>
      <c r="U473" s="6">
        <v>6443.46</v>
      </c>
      <c r="V473" s="6">
        <v>0</v>
      </c>
      <c r="W473" s="6">
        <v>601.39</v>
      </c>
      <c r="AI473" s="2">
        <v>110223</v>
      </c>
      <c r="AJ473" s="2">
        <v>10055</v>
      </c>
      <c r="AK473" s="2">
        <v>4920.67</v>
      </c>
      <c r="AL473" s="2">
        <v>448.88</v>
      </c>
      <c r="AM473" s="5">
        <v>1073.9100000000001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7216.68</v>
      </c>
      <c r="AT473" s="12">
        <v>6443.46</v>
      </c>
      <c r="AU473" s="2">
        <v>0</v>
      </c>
      <c r="AV473" s="5">
        <v>601.39</v>
      </c>
      <c r="BL473" s="1" t="s">
        <v>90</v>
      </c>
    </row>
    <row r="474" spans="1:64" x14ac:dyDescent="0.3">
      <c r="A474" t="s">
        <v>720</v>
      </c>
      <c r="B474" s="1" t="s">
        <v>726</v>
      </c>
      <c r="C474" s="9" t="s">
        <v>727</v>
      </c>
      <c r="D474" s="1" t="s">
        <v>95</v>
      </c>
      <c r="E474" s="1" t="s">
        <v>88</v>
      </c>
      <c r="F474" s="10" t="s">
        <v>534</v>
      </c>
      <c r="G474" s="1">
        <v>0</v>
      </c>
      <c r="H474" s="1">
        <v>0.05</v>
      </c>
      <c r="I474" s="8">
        <v>45047</v>
      </c>
      <c r="J474" s="6">
        <v>138825</v>
      </c>
      <c r="K474" s="6">
        <v>24540</v>
      </c>
      <c r="L474" s="6">
        <v>6197.54</v>
      </c>
      <c r="M474" s="6">
        <v>1095.54</v>
      </c>
      <c r="N474" s="7">
        <v>1458.62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9801.9</v>
      </c>
      <c r="U474" s="6">
        <v>8751.7000000000007</v>
      </c>
      <c r="V474" s="6">
        <v>0</v>
      </c>
      <c r="W474" s="6">
        <v>816.82</v>
      </c>
      <c r="AI474" s="2">
        <v>138825</v>
      </c>
      <c r="AJ474" s="2">
        <v>24540</v>
      </c>
      <c r="AK474" s="2">
        <v>6197.54</v>
      </c>
      <c r="AL474" s="2">
        <v>1095.54</v>
      </c>
      <c r="AM474" s="5">
        <v>1458.62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9801.9</v>
      </c>
      <c r="AT474" s="12">
        <v>8751.7000000000007</v>
      </c>
      <c r="AU474" s="2">
        <v>0</v>
      </c>
      <c r="AV474" s="5">
        <v>816.82</v>
      </c>
      <c r="BL474" s="1" t="s">
        <v>90</v>
      </c>
    </row>
    <row r="475" spans="1:64" x14ac:dyDescent="0.3">
      <c r="A475" t="s">
        <v>720</v>
      </c>
      <c r="B475" s="1" t="s">
        <v>728</v>
      </c>
      <c r="C475" s="9" t="s">
        <v>729</v>
      </c>
      <c r="D475" s="1" t="s">
        <v>95</v>
      </c>
      <c r="E475" s="1" t="s">
        <v>88</v>
      </c>
      <c r="F475" s="10" t="s">
        <v>534</v>
      </c>
      <c r="G475" s="1">
        <v>0</v>
      </c>
      <c r="H475" s="1">
        <v>0.05</v>
      </c>
      <c r="I475" s="8">
        <v>45275</v>
      </c>
      <c r="J475" s="6">
        <v>221937</v>
      </c>
      <c r="K475" s="6">
        <v>38248</v>
      </c>
      <c r="L475" s="6">
        <v>9907.9</v>
      </c>
      <c r="M475" s="6">
        <v>1707.5</v>
      </c>
      <c r="N475" s="7">
        <v>2323.08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15611.1</v>
      </c>
      <c r="U475" s="6">
        <v>13938.48</v>
      </c>
      <c r="V475" s="6">
        <v>0</v>
      </c>
      <c r="W475" s="6">
        <v>1300.92</v>
      </c>
      <c r="AI475" s="2">
        <v>221937</v>
      </c>
      <c r="AJ475" s="2">
        <v>38248</v>
      </c>
      <c r="AK475" s="2">
        <v>9907.9</v>
      </c>
      <c r="AL475" s="2">
        <v>1707.5</v>
      </c>
      <c r="AM475" s="5">
        <v>2323.08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15611.1</v>
      </c>
      <c r="AT475" s="12">
        <v>13938.48</v>
      </c>
      <c r="AU475" s="2">
        <v>0</v>
      </c>
      <c r="AV475" s="5">
        <v>1300.92</v>
      </c>
      <c r="BL475" s="1" t="s">
        <v>90</v>
      </c>
    </row>
    <row r="476" spans="1:64" x14ac:dyDescent="0.3">
      <c r="A476" t="s">
        <v>720</v>
      </c>
      <c r="B476" s="1" t="s">
        <v>730</v>
      </c>
      <c r="C476" s="9" t="s">
        <v>731</v>
      </c>
      <c r="D476" s="1" t="s">
        <v>95</v>
      </c>
      <c r="E476" s="1" t="s">
        <v>88</v>
      </c>
      <c r="F476" s="10" t="s">
        <v>534</v>
      </c>
      <c r="G476" s="1">
        <v>0</v>
      </c>
      <c r="H476" s="1">
        <v>0.05</v>
      </c>
      <c r="I476" s="8">
        <v>45383</v>
      </c>
      <c r="J476" s="6">
        <v>283680</v>
      </c>
      <c r="K476" s="6">
        <v>41394</v>
      </c>
      <c r="L476" s="6">
        <v>12664.29</v>
      </c>
      <c r="M476" s="6">
        <v>1847.95</v>
      </c>
      <c r="N476" s="7">
        <v>2902.45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19504.45</v>
      </c>
      <c r="U476" s="6">
        <v>17414.690000000002</v>
      </c>
      <c r="V476" s="6">
        <v>0</v>
      </c>
      <c r="W476" s="6">
        <v>1625.37</v>
      </c>
      <c r="AI476" s="2">
        <v>283680</v>
      </c>
      <c r="AJ476" s="2">
        <v>41394</v>
      </c>
      <c r="AK476" s="2">
        <v>12664.29</v>
      </c>
      <c r="AL476" s="2">
        <v>1847.95</v>
      </c>
      <c r="AM476" s="5">
        <v>2902.45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19504.45</v>
      </c>
      <c r="AT476" s="12">
        <v>17414.690000000002</v>
      </c>
      <c r="AU476" s="2">
        <v>0</v>
      </c>
      <c r="AV476" s="5">
        <v>1625.37</v>
      </c>
      <c r="BL476" s="1" t="s">
        <v>90</v>
      </c>
    </row>
    <row r="477" spans="1:64" x14ac:dyDescent="0.3">
      <c r="A477" t="s">
        <v>720</v>
      </c>
      <c r="B477" s="1" t="s">
        <v>732</v>
      </c>
      <c r="C477" s="9" t="s">
        <v>733</v>
      </c>
      <c r="D477" s="1" t="s">
        <v>95</v>
      </c>
      <c r="E477" s="1" t="s">
        <v>88</v>
      </c>
      <c r="F477" s="10" t="s">
        <v>534</v>
      </c>
      <c r="G477" s="1">
        <v>0</v>
      </c>
      <c r="H477" s="1">
        <v>0.05</v>
      </c>
      <c r="I477" s="8">
        <v>45656</v>
      </c>
      <c r="J477" s="6">
        <v>171067</v>
      </c>
      <c r="K477" s="6">
        <v>29507</v>
      </c>
      <c r="L477" s="6">
        <v>7636.92</v>
      </c>
      <c r="M477" s="6">
        <v>1317.28</v>
      </c>
      <c r="N477" s="7">
        <v>1790.84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12034.44</v>
      </c>
      <c r="U477" s="6">
        <v>10745.04</v>
      </c>
      <c r="V477" s="6">
        <v>0</v>
      </c>
      <c r="W477" s="6">
        <v>1002.87</v>
      </c>
      <c r="AI477" s="2">
        <v>171067</v>
      </c>
      <c r="AJ477" s="2">
        <v>29507</v>
      </c>
      <c r="AK477" s="2">
        <v>7636.92</v>
      </c>
      <c r="AL477" s="2">
        <v>1317.28</v>
      </c>
      <c r="AM477" s="5">
        <v>1790.84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12034.44</v>
      </c>
      <c r="AT477" s="12">
        <v>10745.04</v>
      </c>
      <c r="AU477" s="2">
        <v>0</v>
      </c>
      <c r="AV477" s="5">
        <v>1002.87</v>
      </c>
      <c r="BL477" s="1" t="s">
        <v>90</v>
      </c>
    </row>
    <row r="478" spans="1:64" x14ac:dyDescent="0.3">
      <c r="A478" t="s">
        <v>720</v>
      </c>
      <c r="B478" s="1" t="s">
        <v>734</v>
      </c>
      <c r="C478" s="9" t="s">
        <v>735</v>
      </c>
      <c r="D478" s="1" t="s">
        <v>95</v>
      </c>
      <c r="E478" s="1" t="s">
        <v>88</v>
      </c>
      <c r="F478" s="10" t="s">
        <v>534</v>
      </c>
      <c r="G478" s="1">
        <v>0</v>
      </c>
      <c r="H478" s="1">
        <v>0.05</v>
      </c>
      <c r="I478" s="8">
        <v>45710</v>
      </c>
      <c r="J478" s="6">
        <v>290062</v>
      </c>
      <c r="K478" s="6">
        <v>37254</v>
      </c>
      <c r="L478" s="6">
        <v>12949.2</v>
      </c>
      <c r="M478" s="6">
        <v>1663.12</v>
      </c>
      <c r="N478" s="7">
        <v>2922.46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19638.95</v>
      </c>
      <c r="U478" s="6">
        <v>17534.78</v>
      </c>
      <c r="V478" s="6">
        <v>0</v>
      </c>
      <c r="W478" s="6">
        <v>1636.58</v>
      </c>
      <c r="AI478" s="2">
        <v>290062</v>
      </c>
      <c r="AJ478" s="2">
        <v>37254</v>
      </c>
      <c r="AK478" s="2">
        <v>12949.2</v>
      </c>
      <c r="AL478" s="2">
        <v>1663.12</v>
      </c>
      <c r="AM478" s="5">
        <v>2922.46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19638.95</v>
      </c>
      <c r="AT478" s="12">
        <v>17534.78</v>
      </c>
      <c r="AU478" s="2">
        <v>0</v>
      </c>
      <c r="AV478" s="5">
        <v>1636.58</v>
      </c>
      <c r="BL478" s="1" t="s">
        <v>90</v>
      </c>
    </row>
    <row r="479" spans="1:64" x14ac:dyDescent="0.3">
      <c r="A479" t="s">
        <v>720</v>
      </c>
      <c r="B479" s="1" t="s">
        <v>736</v>
      </c>
      <c r="C479" s="9" t="s">
        <v>737</v>
      </c>
      <c r="D479" s="1" t="s">
        <v>95</v>
      </c>
      <c r="E479" s="1" t="s">
        <v>88</v>
      </c>
      <c r="F479" s="10" t="s">
        <v>534</v>
      </c>
      <c r="G479" s="1">
        <v>0</v>
      </c>
      <c r="H479" s="1">
        <v>0.05</v>
      </c>
      <c r="I479" s="8">
        <v>0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0</v>
      </c>
      <c r="AJ479" s="2">
        <v>0</v>
      </c>
      <c r="AK479" s="2">
        <v>0</v>
      </c>
      <c r="AL479" s="2">
        <v>0</v>
      </c>
      <c r="AM479" s="5">
        <v>0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0</v>
      </c>
      <c r="AT479" s="12">
        <v>0</v>
      </c>
      <c r="AU479" s="2">
        <v>0</v>
      </c>
      <c r="AV479" s="5">
        <v>0</v>
      </c>
      <c r="BL479" s="1" t="s">
        <v>90</v>
      </c>
    </row>
    <row r="480" spans="1:64" x14ac:dyDescent="0.3">
      <c r="A480" t="s">
        <v>720</v>
      </c>
      <c r="B480" s="1" t="s">
        <v>738</v>
      </c>
      <c r="C480" s="9" t="s">
        <v>739</v>
      </c>
      <c r="D480" s="1" t="s">
        <v>95</v>
      </c>
      <c r="E480" s="1" t="s">
        <v>88</v>
      </c>
      <c r="F480" s="10" t="s">
        <v>534</v>
      </c>
      <c r="G480" s="1">
        <v>0</v>
      </c>
      <c r="H480" s="1">
        <v>0.05</v>
      </c>
      <c r="I480" s="8">
        <v>45743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380725.2</v>
      </c>
      <c r="P480" s="6">
        <v>0</v>
      </c>
      <c r="Q480" s="6">
        <v>16996.66</v>
      </c>
      <c r="R480" s="6">
        <v>0</v>
      </c>
      <c r="S480" s="7">
        <v>0</v>
      </c>
      <c r="T480" s="11">
        <v>19036.259999999998</v>
      </c>
      <c r="U480" s="6">
        <v>16996.66</v>
      </c>
      <c r="V480" s="6">
        <v>0</v>
      </c>
      <c r="W480" s="6">
        <v>1903.63</v>
      </c>
      <c r="AI480" s="2">
        <v>0</v>
      </c>
      <c r="AJ480" s="2">
        <v>0</v>
      </c>
      <c r="AK480" s="2">
        <v>0</v>
      </c>
      <c r="AL480" s="2">
        <v>0</v>
      </c>
      <c r="AM480" s="5">
        <v>0</v>
      </c>
      <c r="AN480" s="12">
        <v>380725.2</v>
      </c>
      <c r="AO480" s="2">
        <v>0</v>
      </c>
      <c r="AP480" s="2">
        <v>16996.66</v>
      </c>
      <c r="AQ480" s="2">
        <v>0</v>
      </c>
      <c r="AR480" s="5">
        <v>0</v>
      </c>
      <c r="AS480" s="2">
        <v>19036.259999999998</v>
      </c>
      <c r="AT480" s="12">
        <v>16996.66</v>
      </c>
      <c r="AU480" s="2">
        <v>0</v>
      </c>
      <c r="AV480" s="5">
        <v>1903.63</v>
      </c>
      <c r="BL480" s="1" t="s">
        <v>90</v>
      </c>
    </row>
    <row r="481" spans="1:64" x14ac:dyDescent="0.3">
      <c r="A481" t="s">
        <v>757</v>
      </c>
      <c r="B481" s="1" t="s">
        <v>757</v>
      </c>
      <c r="C481" s="9" t="s">
        <v>758</v>
      </c>
      <c r="D481" s="1" t="s">
        <v>95</v>
      </c>
      <c r="E481" s="1" t="s">
        <v>135</v>
      </c>
      <c r="F481" s="10" t="s">
        <v>136</v>
      </c>
      <c r="G481" s="1">
        <v>3.5000000000000003E-2</v>
      </c>
      <c r="H481" s="1">
        <v>0.05</v>
      </c>
      <c r="I481" s="8">
        <v>45608</v>
      </c>
      <c r="J481" s="6">
        <v>601821.15</v>
      </c>
      <c r="K481" s="6">
        <v>86116</v>
      </c>
      <c r="L481" s="6">
        <v>26867.02</v>
      </c>
      <c r="M481" s="6">
        <v>3844.46</v>
      </c>
      <c r="N481" s="7">
        <v>6142.29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41276.22</v>
      </c>
      <c r="U481" s="6">
        <v>36853.769999999997</v>
      </c>
      <c r="V481" s="6">
        <v>0</v>
      </c>
      <c r="W481" s="6">
        <v>3439.69</v>
      </c>
      <c r="AI481" s="2">
        <v>601821.15</v>
      </c>
      <c r="AJ481" s="2">
        <v>86116</v>
      </c>
      <c r="AK481" s="2">
        <v>26867.02</v>
      </c>
      <c r="AL481" s="2">
        <v>3844.46</v>
      </c>
      <c r="AM481" s="5">
        <v>6142.29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41276.22</v>
      </c>
      <c r="AT481" s="12">
        <v>36853.769999999997</v>
      </c>
      <c r="AU481" s="2">
        <v>0</v>
      </c>
      <c r="AV481" s="5">
        <v>3439.69</v>
      </c>
      <c r="BL481" s="1" t="s">
        <v>137</v>
      </c>
    </row>
    <row r="482" spans="1:64" x14ac:dyDescent="0.3">
      <c r="A482" t="s">
        <v>757</v>
      </c>
      <c r="B482" s="1" t="s">
        <v>759</v>
      </c>
      <c r="C482" s="9" t="s">
        <v>760</v>
      </c>
      <c r="D482" s="1" t="s">
        <v>95</v>
      </c>
      <c r="E482" s="1" t="s">
        <v>135</v>
      </c>
      <c r="F482" s="10" t="s">
        <v>136</v>
      </c>
      <c r="G482" s="1">
        <v>3.5000000000000003E-2</v>
      </c>
      <c r="H482" s="1">
        <v>0.05</v>
      </c>
      <c r="I482" s="8">
        <v>45608</v>
      </c>
      <c r="J482" s="6">
        <v>528294</v>
      </c>
      <c r="K482" s="6">
        <v>90760</v>
      </c>
      <c r="L482" s="6">
        <v>23584.55</v>
      </c>
      <c r="M482" s="6">
        <v>4051.79</v>
      </c>
      <c r="N482" s="7">
        <v>5527.27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37143.24</v>
      </c>
      <c r="U482" s="6">
        <v>33163.61</v>
      </c>
      <c r="V482" s="6">
        <v>0</v>
      </c>
      <c r="W482" s="6">
        <v>3095.27</v>
      </c>
      <c r="AI482" s="2">
        <v>528294</v>
      </c>
      <c r="AJ482" s="2">
        <v>90760</v>
      </c>
      <c r="AK482" s="2">
        <v>23584.55</v>
      </c>
      <c r="AL482" s="2">
        <v>4051.79</v>
      </c>
      <c r="AM482" s="5">
        <v>5527.27</v>
      </c>
      <c r="AN482" s="12">
        <v>0</v>
      </c>
      <c r="AO482" s="2">
        <v>0</v>
      </c>
      <c r="AP482" s="2">
        <v>0</v>
      </c>
      <c r="AQ482" s="2">
        <v>0</v>
      </c>
      <c r="AR482" s="5">
        <v>0</v>
      </c>
      <c r="AS482" s="2">
        <v>37143.24</v>
      </c>
      <c r="AT482" s="12">
        <v>33163.61</v>
      </c>
      <c r="AU482" s="2">
        <v>0</v>
      </c>
      <c r="AV482" s="5">
        <v>3095.27</v>
      </c>
      <c r="BL482" s="1" t="s">
        <v>137</v>
      </c>
    </row>
    <row r="483" spans="1:64" x14ac:dyDescent="0.3">
      <c r="A483" t="s">
        <v>757</v>
      </c>
      <c r="B483" s="1" t="s">
        <v>761</v>
      </c>
      <c r="C483" s="9" t="s">
        <v>762</v>
      </c>
      <c r="D483" s="1" t="s">
        <v>95</v>
      </c>
      <c r="E483" s="1" t="s">
        <v>135</v>
      </c>
      <c r="F483" s="10" t="s">
        <v>136</v>
      </c>
      <c r="G483" s="1">
        <v>0</v>
      </c>
      <c r="H483" s="1">
        <v>0.05</v>
      </c>
      <c r="I483" s="8">
        <v>45608</v>
      </c>
      <c r="J483" s="6">
        <v>622320</v>
      </c>
      <c r="K483" s="6">
        <v>36478</v>
      </c>
      <c r="L483" s="6">
        <v>27782.14</v>
      </c>
      <c r="M483" s="6">
        <v>1628.48</v>
      </c>
      <c r="N483" s="7">
        <v>5882.12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39527.870000000003</v>
      </c>
      <c r="U483" s="6">
        <v>35292.74</v>
      </c>
      <c r="V483" s="6">
        <v>0</v>
      </c>
      <c r="W483" s="6">
        <v>3293.99</v>
      </c>
      <c r="AI483" s="2">
        <v>622320</v>
      </c>
      <c r="AJ483" s="2">
        <v>36478</v>
      </c>
      <c r="AK483" s="2">
        <v>27782.14</v>
      </c>
      <c r="AL483" s="2">
        <v>1628.48</v>
      </c>
      <c r="AM483" s="5">
        <v>5882.12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39527.870000000003</v>
      </c>
      <c r="AT483" s="12">
        <v>35292.74</v>
      </c>
      <c r="AU483" s="2">
        <v>0</v>
      </c>
      <c r="AV483" s="5">
        <v>3293.99</v>
      </c>
      <c r="BL483" s="1" t="s">
        <v>137</v>
      </c>
    </row>
    <row r="484" spans="1:64" x14ac:dyDescent="0.3">
      <c r="A484" t="s">
        <v>767</v>
      </c>
      <c r="B484" s="1" t="s">
        <v>767</v>
      </c>
      <c r="C484" s="9" t="s">
        <v>768</v>
      </c>
      <c r="D484" s="1" t="s">
        <v>95</v>
      </c>
      <c r="E484" s="1" t="s">
        <v>135</v>
      </c>
      <c r="F484" s="10" t="s">
        <v>435</v>
      </c>
      <c r="G484" s="1">
        <v>3.5000000000000003E-2</v>
      </c>
      <c r="H484" s="1">
        <v>0.05</v>
      </c>
      <c r="I484" s="8">
        <v>44644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889851</v>
      </c>
      <c r="P484" s="6">
        <v>202441.19999999998</v>
      </c>
      <c r="Q484" s="6">
        <v>39725.49</v>
      </c>
      <c r="R484" s="6">
        <v>9037.5499999999993</v>
      </c>
      <c r="S484" s="7">
        <v>9752.61</v>
      </c>
      <c r="T484" s="11">
        <v>65537.53</v>
      </c>
      <c r="U484" s="6">
        <v>58515.649999999994</v>
      </c>
      <c r="V484" s="6">
        <v>0</v>
      </c>
      <c r="W484" s="6">
        <v>5461.46</v>
      </c>
      <c r="AI484" s="2">
        <v>0</v>
      </c>
      <c r="AJ484" s="2">
        <v>0</v>
      </c>
      <c r="AK484" s="2">
        <v>0</v>
      </c>
      <c r="AL484" s="2">
        <v>0</v>
      </c>
      <c r="AM484" s="5">
        <v>0</v>
      </c>
      <c r="AN484" s="12">
        <v>889851</v>
      </c>
      <c r="AO484" s="2">
        <v>202441.19999999998</v>
      </c>
      <c r="AP484" s="2">
        <v>39725.49</v>
      </c>
      <c r="AQ484" s="2">
        <v>9037.5499999999993</v>
      </c>
      <c r="AR484" s="5">
        <v>9752.61</v>
      </c>
      <c r="AS484" s="2">
        <v>65537.53</v>
      </c>
      <c r="AT484" s="12">
        <v>58515.649999999994</v>
      </c>
      <c r="AU484" s="2">
        <v>0</v>
      </c>
      <c r="AV484" s="5">
        <v>5461.46</v>
      </c>
      <c r="BL484" s="1" t="s">
        <v>137</v>
      </c>
    </row>
    <row r="485" spans="1:64" x14ac:dyDescent="0.3">
      <c r="A485" t="s">
        <v>767</v>
      </c>
      <c r="B485" s="1" t="s">
        <v>769</v>
      </c>
      <c r="C485" s="9" t="s">
        <v>770</v>
      </c>
      <c r="D485" s="1" t="s">
        <v>95</v>
      </c>
      <c r="E485" s="1" t="s">
        <v>135</v>
      </c>
      <c r="F485" s="10" t="s">
        <v>435</v>
      </c>
      <c r="G485" s="1">
        <v>0</v>
      </c>
      <c r="H485" s="1">
        <v>0.05</v>
      </c>
      <c r="I485" s="8">
        <v>44644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275387.7</v>
      </c>
      <c r="P485" s="6">
        <v>28203.600000000002</v>
      </c>
      <c r="Q485" s="6">
        <v>12294.1</v>
      </c>
      <c r="R485" s="6">
        <v>1259.0899999999999</v>
      </c>
      <c r="S485" s="7">
        <v>0</v>
      </c>
      <c r="T485" s="11">
        <v>15179.57</v>
      </c>
      <c r="U485" s="6">
        <v>13553.19</v>
      </c>
      <c r="V485" s="6">
        <v>0</v>
      </c>
      <c r="W485" s="6">
        <v>1517.96</v>
      </c>
      <c r="AI485" s="2">
        <v>0</v>
      </c>
      <c r="AJ485" s="2">
        <v>0</v>
      </c>
      <c r="AK485" s="2">
        <v>0</v>
      </c>
      <c r="AL485" s="2">
        <v>0</v>
      </c>
      <c r="AM485" s="5">
        <v>0</v>
      </c>
      <c r="AN485" s="12">
        <v>275387.7</v>
      </c>
      <c r="AO485" s="2">
        <v>28203.600000000002</v>
      </c>
      <c r="AP485" s="2">
        <v>12294.1</v>
      </c>
      <c r="AQ485" s="2">
        <v>1259.0899999999999</v>
      </c>
      <c r="AR485" s="5">
        <v>0</v>
      </c>
      <c r="AS485" s="2">
        <v>15179.57</v>
      </c>
      <c r="AT485" s="12">
        <v>13553.19</v>
      </c>
      <c r="AU485" s="2">
        <v>0</v>
      </c>
      <c r="AV485" s="5">
        <v>1517.96</v>
      </c>
      <c r="BL485" s="1" t="s">
        <v>436</v>
      </c>
    </row>
    <row r="486" spans="1:64" x14ac:dyDescent="0.3">
      <c r="A486" t="s">
        <v>767</v>
      </c>
      <c r="B486" s="1" t="s">
        <v>771</v>
      </c>
      <c r="C486" s="9" t="s">
        <v>772</v>
      </c>
      <c r="D486" s="1" t="s">
        <v>95</v>
      </c>
      <c r="E486" s="1" t="s">
        <v>135</v>
      </c>
      <c r="F486" s="10" t="s">
        <v>435</v>
      </c>
      <c r="G486" s="1">
        <v>0.04</v>
      </c>
      <c r="H486" s="1">
        <v>0.05</v>
      </c>
      <c r="I486" s="8">
        <v>44544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0</v>
      </c>
      <c r="AJ486" s="2">
        <v>0</v>
      </c>
      <c r="AK486" s="2">
        <v>0</v>
      </c>
      <c r="AL486" s="2">
        <v>0</v>
      </c>
      <c r="AM486" s="5">
        <v>0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0</v>
      </c>
      <c r="AT486" s="12">
        <v>0</v>
      </c>
      <c r="AU486" s="2">
        <v>0</v>
      </c>
      <c r="AV486" s="5">
        <v>0</v>
      </c>
      <c r="BL486" s="1" t="s">
        <v>436</v>
      </c>
    </row>
    <row r="487" spans="1:64" x14ac:dyDescent="0.3">
      <c r="A487" t="s">
        <v>785</v>
      </c>
      <c r="B487" s="1" t="s">
        <v>785</v>
      </c>
      <c r="C487" s="9" t="s">
        <v>786</v>
      </c>
      <c r="D487" s="1" t="s">
        <v>95</v>
      </c>
      <c r="E487" s="1" t="s">
        <v>128</v>
      </c>
      <c r="F487" s="10" t="s">
        <v>325</v>
      </c>
      <c r="G487" s="1">
        <v>0.04</v>
      </c>
      <c r="H487" s="1">
        <v>0.05</v>
      </c>
      <c r="I487" s="8">
        <v>44734</v>
      </c>
      <c r="J487" s="6">
        <v>865044</v>
      </c>
      <c r="K487" s="6">
        <v>76670</v>
      </c>
      <c r="L487" s="6">
        <v>38618.04</v>
      </c>
      <c r="M487" s="6">
        <v>3422.77</v>
      </c>
      <c r="N487" s="7">
        <v>8408.16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56502.85</v>
      </c>
      <c r="U487" s="6">
        <v>50448.97</v>
      </c>
      <c r="V487" s="6">
        <v>0</v>
      </c>
      <c r="W487" s="6">
        <v>4708.57</v>
      </c>
      <c r="AI487" s="2">
        <v>865044</v>
      </c>
      <c r="AJ487" s="2">
        <v>76670</v>
      </c>
      <c r="AK487" s="2">
        <v>38618.04</v>
      </c>
      <c r="AL487" s="2">
        <v>3422.77</v>
      </c>
      <c r="AM487" s="5">
        <v>8408.16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56502.85</v>
      </c>
      <c r="AT487" s="12">
        <v>50448.97</v>
      </c>
      <c r="AU487" s="2">
        <v>0</v>
      </c>
      <c r="AV487" s="5">
        <v>4708.57</v>
      </c>
      <c r="BL487" s="1" t="s">
        <v>326</v>
      </c>
    </row>
    <row r="488" spans="1:64" x14ac:dyDescent="0.3">
      <c r="A488" t="s">
        <v>791</v>
      </c>
      <c r="B488" s="1" t="s">
        <v>791</v>
      </c>
      <c r="C488" s="9" t="s">
        <v>792</v>
      </c>
      <c r="D488" s="1" t="s">
        <v>95</v>
      </c>
      <c r="E488" s="1" t="s">
        <v>135</v>
      </c>
      <c r="F488" s="10" t="s">
        <v>435</v>
      </c>
      <c r="G488" s="1">
        <v>0.04</v>
      </c>
      <c r="H488" s="1">
        <v>0.05</v>
      </c>
      <c r="I488" s="8">
        <v>44913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499635.30000000005</v>
      </c>
      <c r="P488" s="6">
        <v>95392.5</v>
      </c>
      <c r="Q488" s="6">
        <v>22305.15</v>
      </c>
      <c r="R488" s="6">
        <v>4258.59</v>
      </c>
      <c r="S488" s="7">
        <v>5312.75</v>
      </c>
      <c r="T488" s="11">
        <v>35701.67</v>
      </c>
      <c r="U488" s="6">
        <v>31876.49</v>
      </c>
      <c r="V488" s="6">
        <v>0</v>
      </c>
      <c r="W488" s="6">
        <v>2975.14</v>
      </c>
      <c r="AI488" s="2">
        <v>0</v>
      </c>
      <c r="AJ488" s="2">
        <v>0</v>
      </c>
      <c r="AK488" s="2">
        <v>0</v>
      </c>
      <c r="AL488" s="2">
        <v>0</v>
      </c>
      <c r="AM488" s="5">
        <v>0</v>
      </c>
      <c r="AN488" s="12">
        <v>499635.30000000005</v>
      </c>
      <c r="AO488" s="2">
        <v>95392.5</v>
      </c>
      <c r="AP488" s="2">
        <v>22305.15</v>
      </c>
      <c r="AQ488" s="2">
        <v>4258.59</v>
      </c>
      <c r="AR488" s="5">
        <v>5312.75</v>
      </c>
      <c r="AS488" s="2">
        <v>35701.67</v>
      </c>
      <c r="AT488" s="12">
        <v>31876.49</v>
      </c>
      <c r="AU488" s="2">
        <v>0</v>
      </c>
      <c r="AV488" s="5">
        <v>2975.14</v>
      </c>
      <c r="BL488" s="1" t="s">
        <v>436</v>
      </c>
    </row>
    <row r="489" spans="1:64" x14ac:dyDescent="0.3">
      <c r="A489" t="s">
        <v>791</v>
      </c>
      <c r="B489" s="1" t="s">
        <v>793</v>
      </c>
      <c r="C489" s="9" t="s">
        <v>794</v>
      </c>
      <c r="D489" s="1" t="s">
        <v>95</v>
      </c>
      <c r="E489" s="1" t="s">
        <v>135</v>
      </c>
      <c r="F489" s="10" t="s">
        <v>435</v>
      </c>
      <c r="G489" s="1">
        <v>0</v>
      </c>
      <c r="H489" s="1">
        <v>0.05</v>
      </c>
      <c r="I489" s="8">
        <v>44913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405885.30000000005</v>
      </c>
      <c r="P489" s="6">
        <v>34049.4</v>
      </c>
      <c r="Q489" s="6">
        <v>18119.88</v>
      </c>
      <c r="R489" s="6">
        <v>1520.06</v>
      </c>
      <c r="S489" s="7">
        <v>0</v>
      </c>
      <c r="T489" s="11">
        <v>21996.73</v>
      </c>
      <c r="U489" s="6">
        <v>19639.940000000002</v>
      </c>
      <c r="V489" s="6">
        <v>0</v>
      </c>
      <c r="W489" s="6">
        <v>2199.67</v>
      </c>
      <c r="AI489" s="2">
        <v>0</v>
      </c>
      <c r="AJ489" s="2">
        <v>0</v>
      </c>
      <c r="AK489" s="2">
        <v>0</v>
      </c>
      <c r="AL489" s="2">
        <v>0</v>
      </c>
      <c r="AM489" s="5">
        <v>0</v>
      </c>
      <c r="AN489" s="12">
        <v>405885.30000000005</v>
      </c>
      <c r="AO489" s="2">
        <v>34049.4</v>
      </c>
      <c r="AP489" s="2">
        <v>18119.88</v>
      </c>
      <c r="AQ489" s="2">
        <v>1520.06</v>
      </c>
      <c r="AR489" s="5">
        <v>0</v>
      </c>
      <c r="AS489" s="2">
        <v>21996.73</v>
      </c>
      <c r="AT489" s="12">
        <v>19639.940000000002</v>
      </c>
      <c r="AU489" s="2">
        <v>0</v>
      </c>
      <c r="AV489" s="5">
        <v>2199.67</v>
      </c>
      <c r="BL489" s="1" t="s">
        <v>436</v>
      </c>
    </row>
    <row r="490" spans="1:64" x14ac:dyDescent="0.3">
      <c r="A490" t="s">
        <v>806</v>
      </c>
      <c r="B490" s="1" t="s">
        <v>806</v>
      </c>
      <c r="C490" s="9" t="s">
        <v>807</v>
      </c>
      <c r="D490" s="1" t="s">
        <v>95</v>
      </c>
      <c r="E490" s="1" t="s">
        <v>88</v>
      </c>
      <c r="F490" s="10" t="s">
        <v>432</v>
      </c>
      <c r="G490" s="1">
        <v>0.04</v>
      </c>
      <c r="H490" s="1">
        <v>0.05</v>
      </c>
      <c r="I490" s="8">
        <v>44876</v>
      </c>
      <c r="J490" s="6">
        <v>406545</v>
      </c>
      <c r="K490" s="6">
        <v>51248</v>
      </c>
      <c r="L490" s="6">
        <v>18149.330000000002</v>
      </c>
      <c r="M490" s="6">
        <v>2287.86</v>
      </c>
      <c r="N490" s="7">
        <v>4087.44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27467.59</v>
      </c>
      <c r="U490" s="6">
        <v>24524.63</v>
      </c>
      <c r="V490" s="6">
        <v>0</v>
      </c>
      <c r="W490" s="6">
        <v>2288.96</v>
      </c>
      <c r="AI490" s="2">
        <v>406545</v>
      </c>
      <c r="AJ490" s="2">
        <v>51248</v>
      </c>
      <c r="AK490" s="2">
        <v>18149.330000000002</v>
      </c>
      <c r="AL490" s="2">
        <v>2287.86</v>
      </c>
      <c r="AM490" s="5">
        <v>4087.44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27467.59</v>
      </c>
      <c r="AT490" s="12">
        <v>24524.63</v>
      </c>
      <c r="AU490" s="2">
        <v>0</v>
      </c>
      <c r="AV490" s="5">
        <v>2288.96</v>
      </c>
      <c r="BL490" s="1" t="s">
        <v>90</v>
      </c>
    </row>
    <row r="491" spans="1:64" x14ac:dyDescent="0.3">
      <c r="A491" t="s">
        <v>808</v>
      </c>
      <c r="B491" s="1" t="s">
        <v>808</v>
      </c>
      <c r="C491" s="9" t="s">
        <v>809</v>
      </c>
      <c r="D491" s="1" t="s">
        <v>95</v>
      </c>
      <c r="E491" s="1" t="s">
        <v>128</v>
      </c>
      <c r="F491" s="10" t="s">
        <v>309</v>
      </c>
      <c r="G491" s="1">
        <v>0</v>
      </c>
      <c r="H491" s="1">
        <v>0.05</v>
      </c>
      <c r="I491" s="8">
        <v>44802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290030.39999999997</v>
      </c>
      <c r="P491" s="6">
        <v>20179.8</v>
      </c>
      <c r="Q491" s="6">
        <v>12947.79</v>
      </c>
      <c r="R491" s="6">
        <v>900.88</v>
      </c>
      <c r="S491" s="7">
        <v>0</v>
      </c>
      <c r="T491" s="11">
        <v>15510.51</v>
      </c>
      <c r="U491" s="6">
        <v>13848.67</v>
      </c>
      <c r="V491" s="6">
        <v>0</v>
      </c>
      <c r="W491" s="6">
        <v>1551.05</v>
      </c>
      <c r="AI491" s="2">
        <v>0</v>
      </c>
      <c r="AJ491" s="2">
        <v>0</v>
      </c>
      <c r="AK491" s="2">
        <v>0</v>
      </c>
      <c r="AL491" s="2">
        <v>0</v>
      </c>
      <c r="AM491" s="5">
        <v>0</v>
      </c>
      <c r="AN491" s="12">
        <v>290030.39999999997</v>
      </c>
      <c r="AO491" s="2">
        <v>20179.8</v>
      </c>
      <c r="AP491" s="2">
        <v>12947.79</v>
      </c>
      <c r="AQ491" s="2">
        <v>900.88</v>
      </c>
      <c r="AR491" s="5">
        <v>0</v>
      </c>
      <c r="AS491" s="2">
        <v>15510.51</v>
      </c>
      <c r="AT491" s="12">
        <v>13848.67</v>
      </c>
      <c r="AU491" s="2">
        <v>0</v>
      </c>
      <c r="AV491" s="5">
        <v>1551.05</v>
      </c>
      <c r="BL491" s="1" t="s">
        <v>130</v>
      </c>
    </row>
    <row r="492" spans="1:64" x14ac:dyDescent="0.3">
      <c r="A492" t="s">
        <v>812</v>
      </c>
      <c r="B492" s="1" t="s">
        <v>812</v>
      </c>
      <c r="C492" s="9" t="s">
        <v>813</v>
      </c>
      <c r="D492" s="1" t="s">
        <v>95</v>
      </c>
      <c r="E492" s="1" t="s">
        <v>135</v>
      </c>
      <c r="F492" s="10" t="s">
        <v>193</v>
      </c>
      <c r="G492" s="1">
        <v>0.04</v>
      </c>
      <c r="H492" s="1">
        <v>0.05</v>
      </c>
      <c r="I492" s="8">
        <v>44991</v>
      </c>
      <c r="J492" s="6">
        <v>905439</v>
      </c>
      <c r="K492" s="6">
        <v>217841</v>
      </c>
      <c r="L492" s="6">
        <v>40421.379999999997</v>
      </c>
      <c r="M492" s="6">
        <v>9725.0400000000009</v>
      </c>
      <c r="N492" s="7">
        <v>10029.290000000001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67396.800000000003</v>
      </c>
      <c r="U492" s="6">
        <v>60175.71</v>
      </c>
      <c r="V492" s="6">
        <v>0</v>
      </c>
      <c r="W492" s="6">
        <v>5616.4</v>
      </c>
      <c r="AI492" s="2">
        <v>905439</v>
      </c>
      <c r="AJ492" s="2">
        <v>217841</v>
      </c>
      <c r="AK492" s="2">
        <v>40421.379999999997</v>
      </c>
      <c r="AL492" s="2">
        <v>9725.0400000000009</v>
      </c>
      <c r="AM492" s="5">
        <v>10029.290000000001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67396.800000000003</v>
      </c>
      <c r="AT492" s="12">
        <v>60175.71</v>
      </c>
      <c r="AU492" s="2">
        <v>0</v>
      </c>
      <c r="AV492" s="5">
        <v>5616.4</v>
      </c>
      <c r="BL492" s="1" t="s">
        <v>137</v>
      </c>
    </row>
    <row r="493" spans="1:64" x14ac:dyDescent="0.3">
      <c r="A493" t="s">
        <v>833</v>
      </c>
      <c r="B493" s="1" t="s">
        <v>833</v>
      </c>
      <c r="C493" s="9" t="s">
        <v>834</v>
      </c>
      <c r="D493" s="1" t="s">
        <v>95</v>
      </c>
      <c r="E493" s="1" t="s">
        <v>128</v>
      </c>
      <c r="F493" s="10" t="s">
        <v>835</v>
      </c>
      <c r="G493" s="1">
        <v>3.5000000000000003E-2</v>
      </c>
      <c r="H493" s="1">
        <v>0.05</v>
      </c>
      <c r="I493" s="8">
        <v>44035</v>
      </c>
      <c r="J493" s="6">
        <v>562544</v>
      </c>
      <c r="K493" s="6">
        <v>96844</v>
      </c>
      <c r="L493" s="6">
        <v>25113.57</v>
      </c>
      <c r="M493" s="6">
        <v>4323.3900000000003</v>
      </c>
      <c r="N493" s="7">
        <v>5887.39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39563.269999999997</v>
      </c>
      <c r="U493" s="6">
        <v>35324.35</v>
      </c>
      <c r="V493" s="6">
        <v>0</v>
      </c>
      <c r="W493" s="6">
        <v>3296.94</v>
      </c>
      <c r="AI493" s="2">
        <v>562544</v>
      </c>
      <c r="AJ493" s="2">
        <v>96844</v>
      </c>
      <c r="AK493" s="2">
        <v>25113.57</v>
      </c>
      <c r="AL493" s="2">
        <v>4323.3900000000003</v>
      </c>
      <c r="AM493" s="5">
        <v>5887.39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39563.269999999997</v>
      </c>
      <c r="AT493" s="12">
        <v>35324.35</v>
      </c>
      <c r="AU493" s="2">
        <v>0</v>
      </c>
      <c r="AV493" s="5">
        <v>3296.94</v>
      </c>
      <c r="BL493" s="1" t="s">
        <v>326</v>
      </c>
    </row>
    <row r="494" spans="1:64" x14ac:dyDescent="0.3">
      <c r="A494" t="s">
        <v>844</v>
      </c>
      <c r="B494" s="1" t="s">
        <v>844</v>
      </c>
      <c r="C494" s="9" t="s">
        <v>845</v>
      </c>
      <c r="D494" s="1" t="s">
        <v>95</v>
      </c>
      <c r="E494" s="1" t="s">
        <v>135</v>
      </c>
      <c r="F494" s="10" t="s">
        <v>193</v>
      </c>
      <c r="G494" s="1">
        <v>3.5000000000000003E-2</v>
      </c>
      <c r="H494" s="1">
        <v>0.05</v>
      </c>
      <c r="I494" s="8">
        <v>44270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0</v>
      </c>
      <c r="AJ494" s="2">
        <v>0</v>
      </c>
      <c r="AK494" s="2">
        <v>0</v>
      </c>
      <c r="AL494" s="2">
        <v>0</v>
      </c>
      <c r="AM494" s="5">
        <v>0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0</v>
      </c>
      <c r="AT494" s="12">
        <v>0</v>
      </c>
      <c r="AU494" s="2">
        <v>0</v>
      </c>
      <c r="AV494" s="5">
        <v>0</v>
      </c>
      <c r="BL494" s="1" t="s">
        <v>137</v>
      </c>
    </row>
    <row r="495" spans="1:64" x14ac:dyDescent="0.3">
      <c r="A495" t="s">
        <v>888</v>
      </c>
      <c r="B495" s="1" t="s">
        <v>888</v>
      </c>
      <c r="C495" s="9" t="s">
        <v>889</v>
      </c>
      <c r="D495" s="1" t="s">
        <v>95</v>
      </c>
      <c r="E495" s="1" t="s">
        <v>135</v>
      </c>
      <c r="F495" s="10" t="s">
        <v>435</v>
      </c>
      <c r="G495" s="1">
        <v>4.4999999999999998E-2</v>
      </c>
      <c r="H495" s="1">
        <v>0.05</v>
      </c>
      <c r="I495" s="8">
        <v>45278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6">
        <v>828519</v>
      </c>
      <c r="P495" s="6">
        <v>147237</v>
      </c>
      <c r="Q495" s="6">
        <v>36987.46</v>
      </c>
      <c r="R495" s="6">
        <v>6573.08</v>
      </c>
      <c r="S495" s="7">
        <v>8712.11</v>
      </c>
      <c r="T495" s="11">
        <v>58545.37</v>
      </c>
      <c r="U495" s="6">
        <v>52272.65</v>
      </c>
      <c r="V495" s="6">
        <v>0</v>
      </c>
      <c r="W495" s="6">
        <v>4878.78</v>
      </c>
      <c r="AI495" s="2">
        <v>0</v>
      </c>
      <c r="AJ495" s="2">
        <v>0</v>
      </c>
      <c r="AK495" s="2">
        <v>0</v>
      </c>
      <c r="AL495" s="2">
        <v>0</v>
      </c>
      <c r="AM495" s="5">
        <v>0</v>
      </c>
      <c r="AN495" s="12">
        <v>828519</v>
      </c>
      <c r="AO495" s="2">
        <v>147237</v>
      </c>
      <c r="AP495" s="2">
        <v>36987.46</v>
      </c>
      <c r="AQ495" s="2">
        <v>6573.08</v>
      </c>
      <c r="AR495" s="5">
        <v>8712.11</v>
      </c>
      <c r="AS495" s="2">
        <v>58545.37</v>
      </c>
      <c r="AT495" s="12">
        <v>52272.65</v>
      </c>
      <c r="AU495" s="2">
        <v>0</v>
      </c>
      <c r="AV495" s="5">
        <v>4878.78</v>
      </c>
      <c r="BL495" s="1" t="s">
        <v>436</v>
      </c>
    </row>
    <row r="496" spans="1:64" x14ac:dyDescent="0.3">
      <c r="A496" t="s">
        <v>890</v>
      </c>
      <c r="B496" s="1" t="s">
        <v>890</v>
      </c>
      <c r="C496" s="9" t="s">
        <v>891</v>
      </c>
      <c r="D496" s="1" t="s">
        <v>95</v>
      </c>
      <c r="E496" s="1" t="s">
        <v>135</v>
      </c>
      <c r="F496" s="10" t="s">
        <v>193</v>
      </c>
      <c r="G496" s="1">
        <v>0</v>
      </c>
      <c r="H496" s="1">
        <v>0.05</v>
      </c>
      <c r="I496" s="8">
        <v>45514</v>
      </c>
      <c r="J496" s="6">
        <v>271918</v>
      </c>
      <c r="K496" s="6">
        <v>53547</v>
      </c>
      <c r="L496" s="6">
        <v>12139.2</v>
      </c>
      <c r="M496" s="6">
        <v>2390.4899999999998</v>
      </c>
      <c r="N496" s="7">
        <v>2905.94</v>
      </c>
      <c r="O496" s="6">
        <v>39877.620000000003</v>
      </c>
      <c r="P496" s="6">
        <v>5097.3</v>
      </c>
      <c r="Q496" s="6">
        <v>1780.25</v>
      </c>
      <c r="R496" s="6">
        <v>227.55</v>
      </c>
      <c r="S496" s="7">
        <v>0</v>
      </c>
      <c r="T496" s="11">
        <v>21776.639999999999</v>
      </c>
      <c r="U496" s="6">
        <v>19443.43</v>
      </c>
      <c r="V496" s="6">
        <v>0</v>
      </c>
      <c r="W496" s="6">
        <v>1852.2</v>
      </c>
      <c r="AI496" s="2">
        <v>271918</v>
      </c>
      <c r="AJ496" s="2">
        <v>53547</v>
      </c>
      <c r="AK496" s="2">
        <v>12139.2</v>
      </c>
      <c r="AL496" s="2">
        <v>2390.4899999999998</v>
      </c>
      <c r="AM496" s="5">
        <v>2905.94</v>
      </c>
      <c r="AN496" s="12">
        <v>39877.620000000003</v>
      </c>
      <c r="AO496" s="2">
        <v>5097.3</v>
      </c>
      <c r="AP496" s="2">
        <v>1780.25</v>
      </c>
      <c r="AQ496" s="2">
        <v>227.55</v>
      </c>
      <c r="AR496" s="5">
        <v>0</v>
      </c>
      <c r="AS496" s="2">
        <v>21776.639999999999</v>
      </c>
      <c r="AT496" s="12">
        <v>19443.43</v>
      </c>
      <c r="AU496" s="2">
        <v>0</v>
      </c>
      <c r="AV496" s="5">
        <v>1852.2</v>
      </c>
      <c r="BL496" s="1" t="s">
        <v>137</v>
      </c>
    </row>
    <row r="497" spans="1:64" x14ac:dyDescent="0.3">
      <c r="A497" t="s">
        <v>892</v>
      </c>
      <c r="B497" s="1" t="s">
        <v>892</v>
      </c>
      <c r="C497" s="9" t="s">
        <v>893</v>
      </c>
      <c r="D497" s="1" t="s">
        <v>95</v>
      </c>
      <c r="E497" s="1" t="s">
        <v>88</v>
      </c>
      <c r="F497" s="10" t="s">
        <v>534</v>
      </c>
      <c r="G497" s="1">
        <v>0</v>
      </c>
      <c r="H497" s="1">
        <v>0.05</v>
      </c>
      <c r="I497" s="8">
        <v>45485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287679</v>
      </c>
      <c r="P497" s="6">
        <v>49605</v>
      </c>
      <c r="Q497" s="6">
        <v>12842.81</v>
      </c>
      <c r="R497" s="6">
        <v>2214.5100000000002</v>
      </c>
      <c r="S497" s="7">
        <v>0</v>
      </c>
      <c r="T497" s="11">
        <v>16864.2</v>
      </c>
      <c r="U497" s="6">
        <v>15057.32</v>
      </c>
      <c r="V497" s="6">
        <v>0</v>
      </c>
      <c r="W497" s="6">
        <v>1686.42</v>
      </c>
      <c r="AI497" s="2">
        <v>0</v>
      </c>
      <c r="AJ497" s="2">
        <v>0</v>
      </c>
      <c r="AK497" s="2">
        <v>0</v>
      </c>
      <c r="AL497" s="2">
        <v>0</v>
      </c>
      <c r="AM497" s="5">
        <v>0</v>
      </c>
      <c r="AN497" s="12">
        <v>287679</v>
      </c>
      <c r="AO497" s="2">
        <v>49605</v>
      </c>
      <c r="AP497" s="2">
        <v>12842.81</v>
      </c>
      <c r="AQ497" s="2">
        <v>2214.5100000000002</v>
      </c>
      <c r="AR497" s="5">
        <v>0</v>
      </c>
      <c r="AS497" s="2">
        <v>16864.2</v>
      </c>
      <c r="AT497" s="12">
        <v>15057.32</v>
      </c>
      <c r="AU497" s="2">
        <v>0</v>
      </c>
      <c r="AV497" s="5">
        <v>1686.42</v>
      </c>
      <c r="BL497" s="1" t="s">
        <v>90</v>
      </c>
    </row>
    <row r="498" spans="1:64" x14ac:dyDescent="0.3">
      <c r="A498" t="s">
        <v>892</v>
      </c>
      <c r="B498" s="1" t="s">
        <v>894</v>
      </c>
      <c r="C498" s="9" t="s">
        <v>895</v>
      </c>
      <c r="D498" s="1" t="s">
        <v>95</v>
      </c>
      <c r="E498" s="1" t="s">
        <v>88</v>
      </c>
      <c r="F498" s="10" t="s">
        <v>534</v>
      </c>
      <c r="G498" s="1">
        <v>0</v>
      </c>
      <c r="H498" s="1">
        <v>0.05</v>
      </c>
      <c r="I498" s="8">
        <v>45485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607062.30000000005</v>
      </c>
      <c r="P498" s="6">
        <v>86606.7</v>
      </c>
      <c r="Q498" s="6">
        <v>27101</v>
      </c>
      <c r="R498" s="6">
        <v>3866.37</v>
      </c>
      <c r="S498" s="7">
        <v>0</v>
      </c>
      <c r="T498" s="11">
        <v>34683.449999999997</v>
      </c>
      <c r="U498" s="6">
        <v>30967.37</v>
      </c>
      <c r="V498" s="6">
        <v>0</v>
      </c>
      <c r="W498" s="6">
        <v>3468.34</v>
      </c>
      <c r="AI498" s="2">
        <v>0</v>
      </c>
      <c r="AJ498" s="2">
        <v>0</v>
      </c>
      <c r="AK498" s="2">
        <v>0</v>
      </c>
      <c r="AL498" s="2">
        <v>0</v>
      </c>
      <c r="AM498" s="5">
        <v>0</v>
      </c>
      <c r="AN498" s="12">
        <v>607062.30000000005</v>
      </c>
      <c r="AO498" s="2">
        <v>86606.7</v>
      </c>
      <c r="AP498" s="2">
        <v>27101</v>
      </c>
      <c r="AQ498" s="2">
        <v>3866.37</v>
      </c>
      <c r="AR498" s="5">
        <v>0</v>
      </c>
      <c r="AS498" s="2">
        <v>34683.449999999997</v>
      </c>
      <c r="AT498" s="12">
        <v>30967.37</v>
      </c>
      <c r="AU498" s="2">
        <v>0</v>
      </c>
      <c r="AV498" s="5">
        <v>3468.34</v>
      </c>
      <c r="BL498" s="1" t="s">
        <v>90</v>
      </c>
    </row>
    <row r="499" spans="1:64" x14ac:dyDescent="0.3">
      <c r="A499" t="s">
        <v>892</v>
      </c>
      <c r="B499" s="1" t="s">
        <v>896</v>
      </c>
      <c r="C499" s="9" t="s">
        <v>897</v>
      </c>
      <c r="D499" s="1" t="s">
        <v>95</v>
      </c>
      <c r="E499" s="1" t="s">
        <v>88</v>
      </c>
      <c r="F499" s="10" t="s">
        <v>534</v>
      </c>
      <c r="G499" s="1">
        <v>0</v>
      </c>
      <c r="H499" s="1">
        <v>0.05</v>
      </c>
      <c r="I499" s="8">
        <v>45485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342270.60000000003</v>
      </c>
      <c r="P499" s="6">
        <v>32364.6</v>
      </c>
      <c r="Q499" s="6">
        <v>15279.94</v>
      </c>
      <c r="R499" s="6">
        <v>1444.85</v>
      </c>
      <c r="S499" s="7">
        <v>0</v>
      </c>
      <c r="T499" s="11">
        <v>18731.759999999998</v>
      </c>
      <c r="U499" s="6">
        <v>16724.79</v>
      </c>
      <c r="V499" s="6">
        <v>0</v>
      </c>
      <c r="W499" s="6">
        <v>1873.18</v>
      </c>
      <c r="AI499" s="2">
        <v>0</v>
      </c>
      <c r="AJ499" s="2">
        <v>0</v>
      </c>
      <c r="AK499" s="2">
        <v>0</v>
      </c>
      <c r="AL499" s="2">
        <v>0</v>
      </c>
      <c r="AM499" s="5">
        <v>0</v>
      </c>
      <c r="AN499" s="12">
        <v>342270.60000000003</v>
      </c>
      <c r="AO499" s="2">
        <v>32364.6</v>
      </c>
      <c r="AP499" s="2">
        <v>15279.94</v>
      </c>
      <c r="AQ499" s="2">
        <v>1444.85</v>
      </c>
      <c r="AR499" s="5">
        <v>0</v>
      </c>
      <c r="AS499" s="2">
        <v>18731.759999999998</v>
      </c>
      <c r="AT499" s="12">
        <v>16724.79</v>
      </c>
      <c r="AU499" s="2">
        <v>0</v>
      </c>
      <c r="AV499" s="5">
        <v>1873.18</v>
      </c>
      <c r="BL499" s="1" t="s">
        <v>90</v>
      </c>
    </row>
    <row r="500" spans="1:64" x14ac:dyDescent="0.3">
      <c r="A500" t="s">
        <v>912</v>
      </c>
      <c r="B500" s="1" t="s">
        <v>912</v>
      </c>
      <c r="C500" s="9" t="s">
        <v>913</v>
      </c>
      <c r="D500" s="1" t="s">
        <v>95</v>
      </c>
      <c r="E500" s="1" t="s">
        <v>128</v>
      </c>
      <c r="F500" s="10" t="s">
        <v>309</v>
      </c>
      <c r="G500" s="1">
        <v>4.4999999999999998E-2</v>
      </c>
      <c r="H500" s="1">
        <v>0.05</v>
      </c>
      <c r="I500" s="8">
        <v>45067</v>
      </c>
      <c r="J500" s="6">
        <v>396979</v>
      </c>
      <c r="K500" s="6">
        <v>25000</v>
      </c>
      <c r="L500" s="6">
        <v>17722.28</v>
      </c>
      <c r="M500" s="6">
        <v>1116.07</v>
      </c>
      <c r="N500" s="7">
        <v>3767.67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25318.74</v>
      </c>
      <c r="U500" s="6">
        <v>22606.019999999997</v>
      </c>
      <c r="V500" s="6">
        <v>0</v>
      </c>
      <c r="W500" s="6">
        <v>2109.9</v>
      </c>
      <c r="AI500" s="2">
        <v>396979</v>
      </c>
      <c r="AJ500" s="2">
        <v>25000</v>
      </c>
      <c r="AK500" s="2">
        <v>17722.28</v>
      </c>
      <c r="AL500" s="2">
        <v>1116.07</v>
      </c>
      <c r="AM500" s="5">
        <v>3767.67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25318.74</v>
      </c>
      <c r="AT500" s="12">
        <v>22606.019999999997</v>
      </c>
      <c r="AU500" s="2">
        <v>0</v>
      </c>
      <c r="AV500" s="5">
        <v>2109.9</v>
      </c>
      <c r="BL500" s="1" t="s">
        <v>130</v>
      </c>
    </row>
    <row r="501" spans="1:64" x14ac:dyDescent="0.3">
      <c r="A501" t="s">
        <v>912</v>
      </c>
      <c r="B501" s="1" t="s">
        <v>914</v>
      </c>
      <c r="C501" s="9" t="s">
        <v>915</v>
      </c>
      <c r="D501" s="1" t="s">
        <v>95</v>
      </c>
      <c r="E501" s="1" t="s">
        <v>128</v>
      </c>
      <c r="F501" s="10" t="s">
        <v>309</v>
      </c>
      <c r="G501" s="1">
        <v>0.05</v>
      </c>
      <c r="H501" s="1">
        <v>0.05</v>
      </c>
      <c r="I501" s="8">
        <v>45067</v>
      </c>
      <c r="J501" s="6">
        <v>385225</v>
      </c>
      <c r="K501" s="6">
        <v>0</v>
      </c>
      <c r="L501" s="6">
        <v>17197.54</v>
      </c>
      <c r="M501" s="6">
        <v>0</v>
      </c>
      <c r="N501" s="7">
        <v>3439.51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23113.5</v>
      </c>
      <c r="U501" s="6">
        <v>20637.050000000003</v>
      </c>
      <c r="V501" s="6">
        <v>0</v>
      </c>
      <c r="W501" s="6">
        <v>1926.12</v>
      </c>
      <c r="AI501" s="2">
        <v>385225</v>
      </c>
      <c r="AJ501" s="2">
        <v>0</v>
      </c>
      <c r="AK501" s="2">
        <v>17197.54</v>
      </c>
      <c r="AL501" s="2">
        <v>0</v>
      </c>
      <c r="AM501" s="5">
        <v>3439.51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23113.5</v>
      </c>
      <c r="AT501" s="12">
        <v>20637.050000000003</v>
      </c>
      <c r="AU501" s="2">
        <v>0</v>
      </c>
      <c r="AV501" s="5">
        <v>1926.12</v>
      </c>
      <c r="BL501" s="1" t="s">
        <v>130</v>
      </c>
    </row>
    <row r="502" spans="1:64" x14ac:dyDescent="0.3">
      <c r="A502" t="s">
        <v>912</v>
      </c>
      <c r="B502" s="1" t="s">
        <v>916</v>
      </c>
      <c r="C502" s="9" t="s">
        <v>917</v>
      </c>
      <c r="D502" s="1" t="s">
        <v>95</v>
      </c>
      <c r="E502" s="1" t="s">
        <v>128</v>
      </c>
      <c r="F502" s="10" t="s">
        <v>309</v>
      </c>
      <c r="G502" s="1">
        <v>0.05</v>
      </c>
      <c r="H502" s="1">
        <v>0.05</v>
      </c>
      <c r="I502" s="8">
        <v>45067</v>
      </c>
      <c r="J502" s="6">
        <v>302872</v>
      </c>
      <c r="K502" s="6">
        <v>125</v>
      </c>
      <c r="L502" s="6">
        <v>13521.07</v>
      </c>
      <c r="M502" s="6">
        <v>5.58</v>
      </c>
      <c r="N502" s="7">
        <v>2705.33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18179.82</v>
      </c>
      <c r="U502" s="6">
        <v>16231.98</v>
      </c>
      <c r="V502" s="6">
        <v>0</v>
      </c>
      <c r="W502" s="6">
        <v>1514.98</v>
      </c>
      <c r="AI502" s="2">
        <v>302872</v>
      </c>
      <c r="AJ502" s="2">
        <v>125</v>
      </c>
      <c r="AK502" s="2">
        <v>13521.07</v>
      </c>
      <c r="AL502" s="2">
        <v>5.58</v>
      </c>
      <c r="AM502" s="5">
        <v>2705.33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18179.82</v>
      </c>
      <c r="AT502" s="12">
        <v>16231.98</v>
      </c>
      <c r="AU502" s="2">
        <v>0</v>
      </c>
      <c r="AV502" s="5">
        <v>1514.98</v>
      </c>
      <c r="BL502" s="1" t="s">
        <v>130</v>
      </c>
    </row>
    <row r="503" spans="1:64" x14ac:dyDescent="0.3">
      <c r="A503" t="s">
        <v>912</v>
      </c>
      <c r="B503" s="1" t="s">
        <v>918</v>
      </c>
      <c r="C503" s="9" t="s">
        <v>919</v>
      </c>
      <c r="D503" s="1" t="s">
        <v>95</v>
      </c>
      <c r="E503" s="1" t="s">
        <v>128</v>
      </c>
      <c r="F503" s="10" t="s">
        <v>309</v>
      </c>
      <c r="G503" s="1">
        <v>0.05</v>
      </c>
      <c r="H503" s="1">
        <v>0.05</v>
      </c>
      <c r="I503" s="8">
        <v>45067</v>
      </c>
      <c r="J503" s="6">
        <v>193978</v>
      </c>
      <c r="K503" s="6">
        <v>17225</v>
      </c>
      <c r="L503" s="6">
        <v>8659.73</v>
      </c>
      <c r="M503" s="6">
        <v>768.97</v>
      </c>
      <c r="N503" s="7">
        <v>1885.74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12672.17</v>
      </c>
      <c r="U503" s="6">
        <v>11314.439999999999</v>
      </c>
      <c r="V503" s="6">
        <v>0</v>
      </c>
      <c r="W503" s="6">
        <v>1056.02</v>
      </c>
      <c r="AI503" s="2">
        <v>193978</v>
      </c>
      <c r="AJ503" s="2">
        <v>17225</v>
      </c>
      <c r="AK503" s="2">
        <v>8659.73</v>
      </c>
      <c r="AL503" s="2">
        <v>768.97</v>
      </c>
      <c r="AM503" s="5">
        <v>1885.74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12672.17</v>
      </c>
      <c r="AT503" s="12">
        <v>11314.439999999999</v>
      </c>
      <c r="AU503" s="2">
        <v>0</v>
      </c>
      <c r="AV503" s="5">
        <v>1056.02</v>
      </c>
      <c r="BL503" s="1" t="s">
        <v>130</v>
      </c>
    </row>
    <row r="504" spans="1:64" x14ac:dyDescent="0.3">
      <c r="A504" t="s">
        <v>912</v>
      </c>
      <c r="B504" s="1" t="s">
        <v>920</v>
      </c>
      <c r="C504" s="9" t="s">
        <v>921</v>
      </c>
      <c r="D504" s="1" t="s">
        <v>95</v>
      </c>
      <c r="E504" s="1" t="s">
        <v>128</v>
      </c>
      <c r="F504" s="10" t="s">
        <v>309</v>
      </c>
      <c r="G504" s="1">
        <v>0.05</v>
      </c>
      <c r="H504" s="1">
        <v>0.05</v>
      </c>
      <c r="I504" s="8">
        <v>45067</v>
      </c>
      <c r="J504" s="6">
        <v>622322</v>
      </c>
      <c r="K504" s="6">
        <v>0</v>
      </c>
      <c r="L504" s="6">
        <v>27782.23</v>
      </c>
      <c r="M504" s="6">
        <v>0</v>
      </c>
      <c r="N504" s="7">
        <v>5556.45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37339.32</v>
      </c>
      <c r="U504" s="6">
        <v>33338.68</v>
      </c>
      <c r="V504" s="6">
        <v>0</v>
      </c>
      <c r="W504" s="6">
        <v>3111.61</v>
      </c>
      <c r="AI504" s="2">
        <v>622322</v>
      </c>
      <c r="AJ504" s="2">
        <v>0</v>
      </c>
      <c r="AK504" s="2">
        <v>27782.23</v>
      </c>
      <c r="AL504" s="2">
        <v>0</v>
      </c>
      <c r="AM504" s="5">
        <v>5556.45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37339.32</v>
      </c>
      <c r="AT504" s="12">
        <v>33338.68</v>
      </c>
      <c r="AU504" s="2">
        <v>0</v>
      </c>
      <c r="AV504" s="5">
        <v>3111.61</v>
      </c>
      <c r="BL504" s="1" t="s">
        <v>130</v>
      </c>
    </row>
    <row r="505" spans="1:64" x14ac:dyDescent="0.3">
      <c r="A505" t="s">
        <v>912</v>
      </c>
      <c r="B505" s="1" t="s">
        <v>922</v>
      </c>
      <c r="C505" s="9" t="s">
        <v>923</v>
      </c>
      <c r="D505" s="1" t="s">
        <v>95</v>
      </c>
      <c r="E505" s="1" t="s">
        <v>128</v>
      </c>
      <c r="F505" s="10" t="s">
        <v>309</v>
      </c>
      <c r="G505" s="1">
        <v>0.05</v>
      </c>
      <c r="H505" s="1">
        <v>0.05</v>
      </c>
      <c r="I505" s="8">
        <v>45067</v>
      </c>
      <c r="J505" s="6">
        <v>164205</v>
      </c>
      <c r="K505" s="6">
        <v>0</v>
      </c>
      <c r="L505" s="6">
        <v>7330.58</v>
      </c>
      <c r="M505" s="6">
        <v>0</v>
      </c>
      <c r="N505" s="7">
        <v>1466.12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9852.2999999999993</v>
      </c>
      <c r="U505" s="6">
        <v>8796.7000000000007</v>
      </c>
      <c r="V505" s="6">
        <v>0</v>
      </c>
      <c r="W505" s="6">
        <v>821.02</v>
      </c>
      <c r="AI505" s="2">
        <v>164205</v>
      </c>
      <c r="AJ505" s="2">
        <v>0</v>
      </c>
      <c r="AK505" s="2">
        <v>7330.58</v>
      </c>
      <c r="AL505" s="2">
        <v>0</v>
      </c>
      <c r="AM505" s="5">
        <v>1466.12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9852.2999999999993</v>
      </c>
      <c r="AT505" s="12">
        <v>8796.7000000000007</v>
      </c>
      <c r="AU505" s="2">
        <v>0</v>
      </c>
      <c r="AV505" s="5">
        <v>821.02</v>
      </c>
      <c r="BL505" s="1" t="s">
        <v>130</v>
      </c>
    </row>
    <row r="506" spans="1:64" x14ac:dyDescent="0.3">
      <c r="A506" t="s">
        <v>912</v>
      </c>
      <c r="B506" s="1" t="s">
        <v>924</v>
      </c>
      <c r="C506" s="9" t="s">
        <v>925</v>
      </c>
      <c r="D506" s="1" t="s">
        <v>95</v>
      </c>
      <c r="E506" s="1" t="s">
        <v>128</v>
      </c>
      <c r="F506" s="10" t="s">
        <v>309</v>
      </c>
      <c r="G506" s="1">
        <v>0.05</v>
      </c>
      <c r="H506" s="1">
        <v>0.05</v>
      </c>
      <c r="I506" s="8">
        <v>45067</v>
      </c>
      <c r="J506" s="6">
        <v>320357</v>
      </c>
      <c r="K506" s="6">
        <v>0</v>
      </c>
      <c r="L506" s="6">
        <v>14301.65</v>
      </c>
      <c r="M506" s="6">
        <v>0</v>
      </c>
      <c r="N506" s="7">
        <v>2860.33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19221.419999999998</v>
      </c>
      <c r="U506" s="6">
        <v>17161.98</v>
      </c>
      <c r="V506" s="6">
        <v>0</v>
      </c>
      <c r="W506" s="6">
        <v>1601.78</v>
      </c>
      <c r="AI506" s="2">
        <v>320357</v>
      </c>
      <c r="AJ506" s="2">
        <v>0</v>
      </c>
      <c r="AK506" s="2">
        <v>14301.65</v>
      </c>
      <c r="AL506" s="2">
        <v>0</v>
      </c>
      <c r="AM506" s="5">
        <v>2860.33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19221.419999999998</v>
      </c>
      <c r="AT506" s="12">
        <v>17161.98</v>
      </c>
      <c r="AU506" s="2">
        <v>0</v>
      </c>
      <c r="AV506" s="5">
        <v>1601.78</v>
      </c>
      <c r="BL506" s="1" t="s">
        <v>130</v>
      </c>
    </row>
    <row r="507" spans="1:64" x14ac:dyDescent="0.3">
      <c r="A507" t="s">
        <v>912</v>
      </c>
      <c r="B507" s="1" t="s">
        <v>926</v>
      </c>
      <c r="C507" s="9" t="s">
        <v>927</v>
      </c>
      <c r="D507" s="1" t="s">
        <v>95</v>
      </c>
      <c r="E507" s="1" t="s">
        <v>128</v>
      </c>
      <c r="F507" s="10" t="s">
        <v>309</v>
      </c>
      <c r="G507" s="1">
        <v>0</v>
      </c>
      <c r="H507" s="1">
        <v>0.05</v>
      </c>
      <c r="I507" s="8">
        <v>45144</v>
      </c>
      <c r="J507" s="6">
        <v>369115</v>
      </c>
      <c r="K507" s="6">
        <v>0</v>
      </c>
      <c r="L507" s="6">
        <v>16478.349999999999</v>
      </c>
      <c r="M507" s="6">
        <v>0</v>
      </c>
      <c r="N507" s="7">
        <v>3295.67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22146.9</v>
      </c>
      <c r="U507" s="6">
        <v>19774.019999999997</v>
      </c>
      <c r="V507" s="6">
        <v>0</v>
      </c>
      <c r="W507" s="6">
        <v>1845.58</v>
      </c>
      <c r="AI507" s="2">
        <v>369115</v>
      </c>
      <c r="AJ507" s="2">
        <v>0</v>
      </c>
      <c r="AK507" s="2">
        <v>16478.349999999999</v>
      </c>
      <c r="AL507" s="2">
        <v>0</v>
      </c>
      <c r="AM507" s="5">
        <v>3295.67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22146.9</v>
      </c>
      <c r="AT507" s="12">
        <v>19774.019999999997</v>
      </c>
      <c r="AU507" s="2">
        <v>0</v>
      </c>
      <c r="AV507" s="5">
        <v>1845.58</v>
      </c>
      <c r="BL507" s="1" t="s">
        <v>130</v>
      </c>
    </row>
    <row r="508" spans="1:64" x14ac:dyDescent="0.3">
      <c r="A508" t="s">
        <v>912</v>
      </c>
      <c r="B508" s="1" t="s">
        <v>928</v>
      </c>
      <c r="C508" s="9" t="s">
        <v>929</v>
      </c>
      <c r="D508" s="1" t="s">
        <v>95</v>
      </c>
      <c r="E508" s="1" t="s">
        <v>128</v>
      </c>
      <c r="F508" s="10" t="s">
        <v>309</v>
      </c>
      <c r="G508" s="1">
        <v>0</v>
      </c>
      <c r="H508" s="1">
        <v>0.05</v>
      </c>
      <c r="I508" s="8">
        <v>44915</v>
      </c>
      <c r="J508" s="6">
        <v>231460</v>
      </c>
      <c r="K508" s="6">
        <v>9035</v>
      </c>
      <c r="L508" s="6">
        <v>10333.040000000001</v>
      </c>
      <c r="M508" s="6">
        <v>403.35</v>
      </c>
      <c r="N508" s="7">
        <v>2147.2800000000002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14429.71</v>
      </c>
      <c r="U508" s="6">
        <v>12883.670000000002</v>
      </c>
      <c r="V508" s="6">
        <v>0</v>
      </c>
      <c r="W508" s="6">
        <v>1202.48</v>
      </c>
      <c r="AI508" s="2">
        <v>231460</v>
      </c>
      <c r="AJ508" s="2">
        <v>9035</v>
      </c>
      <c r="AK508" s="2">
        <v>10333.040000000001</v>
      </c>
      <c r="AL508" s="2">
        <v>403.35</v>
      </c>
      <c r="AM508" s="5">
        <v>2147.2800000000002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14429.71</v>
      </c>
      <c r="AT508" s="12">
        <v>12883.670000000002</v>
      </c>
      <c r="AU508" s="2">
        <v>0</v>
      </c>
      <c r="AV508" s="5">
        <v>1202.48</v>
      </c>
      <c r="BL508" s="1" t="s">
        <v>130</v>
      </c>
    </row>
    <row r="509" spans="1:64" x14ac:dyDescent="0.3">
      <c r="A509" t="s">
        <v>912</v>
      </c>
      <c r="B509" s="1" t="s">
        <v>930</v>
      </c>
      <c r="C509" s="9" t="s">
        <v>931</v>
      </c>
      <c r="D509" s="1" t="s">
        <v>95</v>
      </c>
      <c r="E509" s="1" t="s">
        <v>128</v>
      </c>
      <c r="F509" s="10" t="s">
        <v>309</v>
      </c>
      <c r="G509" s="1">
        <v>0</v>
      </c>
      <c r="H509" s="1">
        <v>0.05</v>
      </c>
      <c r="I509" s="8">
        <v>45365</v>
      </c>
      <c r="J509" s="6">
        <v>102436</v>
      </c>
      <c r="K509" s="6">
        <v>0</v>
      </c>
      <c r="L509" s="6">
        <v>4573.04</v>
      </c>
      <c r="M509" s="6">
        <v>0</v>
      </c>
      <c r="N509" s="7">
        <v>914.61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6146.17</v>
      </c>
      <c r="U509" s="6">
        <v>5487.65</v>
      </c>
      <c r="V509" s="6">
        <v>0</v>
      </c>
      <c r="W509" s="6">
        <v>512.17999999999995</v>
      </c>
      <c r="AI509" s="2">
        <v>102436</v>
      </c>
      <c r="AJ509" s="2">
        <v>0</v>
      </c>
      <c r="AK509" s="2">
        <v>4573.04</v>
      </c>
      <c r="AL509" s="2">
        <v>0</v>
      </c>
      <c r="AM509" s="5">
        <v>914.61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6146.17</v>
      </c>
      <c r="AT509" s="12">
        <v>5487.65</v>
      </c>
      <c r="AU509" s="2">
        <v>0</v>
      </c>
      <c r="AV509" s="5">
        <v>512.17999999999995</v>
      </c>
      <c r="BL509" s="1" t="s">
        <v>130</v>
      </c>
    </row>
    <row r="510" spans="1:64" x14ac:dyDescent="0.3">
      <c r="A510" t="s">
        <v>912</v>
      </c>
      <c r="B510" s="1" t="s">
        <v>932</v>
      </c>
      <c r="C510" s="9" t="s">
        <v>933</v>
      </c>
      <c r="D510" s="1" t="s">
        <v>95</v>
      </c>
      <c r="E510" s="1" t="s">
        <v>128</v>
      </c>
      <c r="F510" s="10" t="s">
        <v>309</v>
      </c>
      <c r="G510" s="1">
        <v>0</v>
      </c>
      <c r="H510" s="1">
        <v>0.05</v>
      </c>
      <c r="I510" s="8">
        <v>0</v>
      </c>
      <c r="J510" s="6">
        <v>59661</v>
      </c>
      <c r="K510" s="6">
        <v>0</v>
      </c>
      <c r="L510" s="6">
        <v>2663.44</v>
      </c>
      <c r="M510" s="6">
        <v>0</v>
      </c>
      <c r="N510" s="7">
        <v>532.69000000000005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3579.67</v>
      </c>
      <c r="U510" s="6">
        <v>3196.13</v>
      </c>
      <c r="V510" s="6">
        <v>0</v>
      </c>
      <c r="W510" s="6">
        <v>298.3</v>
      </c>
      <c r="AI510" s="2">
        <v>59661</v>
      </c>
      <c r="AJ510" s="2">
        <v>0</v>
      </c>
      <c r="AK510" s="2">
        <v>2663.44</v>
      </c>
      <c r="AL510" s="2">
        <v>0</v>
      </c>
      <c r="AM510" s="5">
        <v>532.69000000000005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3579.67</v>
      </c>
      <c r="AT510" s="12">
        <v>3196.13</v>
      </c>
      <c r="AU510" s="2">
        <v>0</v>
      </c>
      <c r="AV510" s="5">
        <v>298.3</v>
      </c>
      <c r="BL510" s="1" t="s">
        <v>130</v>
      </c>
    </row>
    <row r="511" spans="1:64" x14ac:dyDescent="0.3">
      <c r="A511" t="s">
        <v>912</v>
      </c>
      <c r="B511" s="1" t="s">
        <v>934</v>
      </c>
      <c r="C511" s="9" t="s">
        <v>935</v>
      </c>
      <c r="D511" s="1" t="s">
        <v>95</v>
      </c>
      <c r="E511" s="1" t="s">
        <v>128</v>
      </c>
      <c r="F511" s="10" t="s">
        <v>309</v>
      </c>
      <c r="G511" s="1">
        <v>0</v>
      </c>
      <c r="H511" s="1">
        <v>0.05</v>
      </c>
      <c r="I511" s="8">
        <v>0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0</v>
      </c>
      <c r="U511" s="6">
        <v>0</v>
      </c>
      <c r="V511" s="6">
        <v>0</v>
      </c>
      <c r="W511" s="6">
        <v>0</v>
      </c>
      <c r="AI511" s="2">
        <v>0</v>
      </c>
      <c r="AJ511" s="2">
        <v>0</v>
      </c>
      <c r="AK511" s="2">
        <v>0</v>
      </c>
      <c r="AL511" s="2">
        <v>0</v>
      </c>
      <c r="AM511" s="5">
        <v>0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0</v>
      </c>
      <c r="AT511" s="12">
        <v>0</v>
      </c>
      <c r="AU511" s="2">
        <v>0</v>
      </c>
      <c r="AV511" s="5">
        <v>0</v>
      </c>
      <c r="BL511" s="1" t="s">
        <v>130</v>
      </c>
    </row>
    <row r="512" spans="1:64" x14ac:dyDescent="0.3">
      <c r="A512" t="s">
        <v>950</v>
      </c>
      <c r="B512" s="1" t="s">
        <v>950</v>
      </c>
      <c r="C512" s="9" t="s">
        <v>951</v>
      </c>
      <c r="D512" s="1" t="s">
        <v>95</v>
      </c>
      <c r="E512" s="1" t="s">
        <v>135</v>
      </c>
      <c r="F512" s="10" t="s">
        <v>435</v>
      </c>
      <c r="G512" s="1">
        <v>0</v>
      </c>
      <c r="H512" s="1">
        <v>0.05</v>
      </c>
      <c r="I512" s="8">
        <v>44333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1275921.2999999998</v>
      </c>
      <c r="P512" s="6">
        <v>115897.80000000002</v>
      </c>
      <c r="Q512" s="6">
        <v>56960.77</v>
      </c>
      <c r="R512" s="6">
        <v>5174.01</v>
      </c>
      <c r="S512" s="7">
        <v>0</v>
      </c>
      <c r="T512" s="11">
        <v>69590.95</v>
      </c>
      <c r="U512" s="6">
        <v>62134.78</v>
      </c>
      <c r="V512" s="6">
        <v>0</v>
      </c>
      <c r="W512" s="6">
        <v>6959.1</v>
      </c>
      <c r="AI512" s="2">
        <v>0</v>
      </c>
      <c r="AJ512" s="2">
        <v>0</v>
      </c>
      <c r="AK512" s="2">
        <v>0</v>
      </c>
      <c r="AL512" s="2">
        <v>0</v>
      </c>
      <c r="AM512" s="5">
        <v>0</v>
      </c>
      <c r="AN512" s="12">
        <v>1275921.2999999998</v>
      </c>
      <c r="AO512" s="2">
        <v>115897.80000000002</v>
      </c>
      <c r="AP512" s="2">
        <v>56960.77</v>
      </c>
      <c r="AQ512" s="2">
        <v>5174.01</v>
      </c>
      <c r="AR512" s="5">
        <v>0</v>
      </c>
      <c r="AS512" s="2">
        <v>69590.95</v>
      </c>
      <c r="AT512" s="12">
        <v>62134.78</v>
      </c>
      <c r="AU512" s="2">
        <v>0</v>
      </c>
      <c r="AV512" s="5">
        <v>6959.1</v>
      </c>
      <c r="BL512" s="1" t="s">
        <v>436</v>
      </c>
    </row>
    <row r="513" spans="1:64" x14ac:dyDescent="0.3">
      <c r="A513" t="s">
        <v>960</v>
      </c>
      <c r="B513" s="1" t="s">
        <v>960</v>
      </c>
      <c r="C513" s="9" t="s">
        <v>961</v>
      </c>
      <c r="D513" s="1" t="s">
        <v>95</v>
      </c>
      <c r="E513" s="1" t="s">
        <v>135</v>
      </c>
      <c r="F513" s="10" t="s">
        <v>485</v>
      </c>
      <c r="G513" s="1">
        <v>0</v>
      </c>
      <c r="H513" s="1">
        <v>0.05</v>
      </c>
      <c r="I513" s="8">
        <v>44166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675149.39999999991</v>
      </c>
      <c r="P513" s="6">
        <v>15519.300000000001</v>
      </c>
      <c r="Q513" s="6">
        <v>30140.6</v>
      </c>
      <c r="R513" s="6">
        <v>692.83</v>
      </c>
      <c r="S513" s="7">
        <v>0</v>
      </c>
      <c r="T513" s="11">
        <v>34533.440000000002</v>
      </c>
      <c r="U513" s="6">
        <v>30833.43</v>
      </c>
      <c r="V513" s="6">
        <v>0</v>
      </c>
      <c r="W513" s="6">
        <v>3453.34</v>
      </c>
      <c r="AI513" s="2">
        <v>0</v>
      </c>
      <c r="AJ513" s="2">
        <v>0</v>
      </c>
      <c r="AK513" s="2">
        <v>0</v>
      </c>
      <c r="AL513" s="2">
        <v>0</v>
      </c>
      <c r="AM513" s="5">
        <v>0</v>
      </c>
      <c r="AN513" s="12">
        <v>675149.39999999991</v>
      </c>
      <c r="AO513" s="2">
        <v>15519.300000000001</v>
      </c>
      <c r="AP513" s="2">
        <v>30140.6</v>
      </c>
      <c r="AQ513" s="2">
        <v>692.83</v>
      </c>
      <c r="AR513" s="5">
        <v>0</v>
      </c>
      <c r="AS513" s="2">
        <v>34533.440000000002</v>
      </c>
      <c r="AT513" s="12">
        <v>30833.43</v>
      </c>
      <c r="AU513" s="2">
        <v>0</v>
      </c>
      <c r="AV513" s="5">
        <v>3453.34</v>
      </c>
      <c r="BL513" s="1" t="s">
        <v>302</v>
      </c>
    </row>
    <row r="514" spans="1:64" x14ac:dyDescent="0.3">
      <c r="A514" t="s">
        <v>964</v>
      </c>
      <c r="B514" s="1" t="s">
        <v>964</v>
      </c>
      <c r="C514" s="9" t="s">
        <v>965</v>
      </c>
      <c r="D514" s="1" t="s">
        <v>95</v>
      </c>
      <c r="E514" s="1" t="s">
        <v>88</v>
      </c>
      <c r="F514" s="10" t="s">
        <v>117</v>
      </c>
      <c r="G514" s="1">
        <v>0</v>
      </c>
      <c r="H514" s="1">
        <v>0</v>
      </c>
      <c r="I514" s="8">
        <v>45516</v>
      </c>
      <c r="J514" s="6">
        <v>698364.8</v>
      </c>
      <c r="K514" s="6">
        <v>143702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0</v>
      </c>
      <c r="U514" s="6">
        <v>0</v>
      </c>
      <c r="V514" s="6">
        <v>0</v>
      </c>
      <c r="W514" s="6">
        <v>4210.33</v>
      </c>
      <c r="AI514" s="2">
        <v>698364.8</v>
      </c>
      <c r="AJ514" s="2">
        <v>143702</v>
      </c>
      <c r="AK514" s="2">
        <v>0</v>
      </c>
      <c r="AL514" s="2">
        <v>0</v>
      </c>
      <c r="AM514" s="5">
        <v>0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0</v>
      </c>
      <c r="AT514" s="12">
        <v>0</v>
      </c>
      <c r="AU514" s="2">
        <v>0</v>
      </c>
      <c r="AV514" s="5">
        <v>4210.33</v>
      </c>
      <c r="BL514" s="1" t="s">
        <v>90</v>
      </c>
    </row>
    <row r="515" spans="1:64" x14ac:dyDescent="0.3">
      <c r="A515" t="s">
        <v>970</v>
      </c>
      <c r="B515" s="1" t="s">
        <v>970</v>
      </c>
      <c r="C515" s="9" t="s">
        <v>971</v>
      </c>
      <c r="D515" s="1" t="s">
        <v>95</v>
      </c>
      <c r="E515" s="1" t="s">
        <v>135</v>
      </c>
      <c r="F515" s="10" t="s">
        <v>435</v>
      </c>
      <c r="G515" s="1">
        <v>0</v>
      </c>
      <c r="H515" s="1">
        <v>0.05</v>
      </c>
      <c r="I515" s="8">
        <v>44051</v>
      </c>
      <c r="J515" s="6">
        <v>287307</v>
      </c>
      <c r="K515" s="6">
        <v>44360</v>
      </c>
      <c r="L515" s="6">
        <v>12826.21</v>
      </c>
      <c r="M515" s="6">
        <v>1980.36</v>
      </c>
      <c r="N515" s="7">
        <v>2961.31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19900.03</v>
      </c>
      <c r="U515" s="6">
        <v>17767.88</v>
      </c>
      <c r="V515" s="6">
        <v>0</v>
      </c>
      <c r="W515" s="6">
        <v>1658.34</v>
      </c>
      <c r="AI515" s="2">
        <v>287307</v>
      </c>
      <c r="AJ515" s="2">
        <v>44360</v>
      </c>
      <c r="AK515" s="2">
        <v>12826.21</v>
      </c>
      <c r="AL515" s="2">
        <v>1980.36</v>
      </c>
      <c r="AM515" s="5">
        <v>2961.31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19900.03</v>
      </c>
      <c r="AT515" s="12">
        <v>17767.88</v>
      </c>
      <c r="AU515" s="2">
        <v>0</v>
      </c>
      <c r="AV515" s="5">
        <v>1658.34</v>
      </c>
      <c r="BL515" s="1" t="s">
        <v>137</v>
      </c>
    </row>
    <row r="516" spans="1:64" x14ac:dyDescent="0.3">
      <c r="A516" t="s">
        <v>974</v>
      </c>
      <c r="B516" s="1" t="s">
        <v>974</v>
      </c>
      <c r="C516" s="9" t="s">
        <v>975</v>
      </c>
      <c r="D516" s="1" t="s">
        <v>95</v>
      </c>
      <c r="E516" s="1" t="s">
        <v>135</v>
      </c>
      <c r="F516" s="10" t="s">
        <v>193</v>
      </c>
      <c r="G516" s="1">
        <v>0</v>
      </c>
      <c r="H516" s="1">
        <v>0.05</v>
      </c>
      <c r="I516" s="8">
        <v>44330</v>
      </c>
      <c r="J516" s="6">
        <v>382004.25</v>
      </c>
      <c r="K516" s="6">
        <v>138722</v>
      </c>
      <c r="L516" s="6">
        <v>17053.759999999998</v>
      </c>
      <c r="M516" s="6">
        <v>6192.95</v>
      </c>
      <c r="N516" s="7">
        <v>4649.34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  <c r="T516" s="11">
        <v>31243.58</v>
      </c>
      <c r="U516" s="6">
        <v>27896.05</v>
      </c>
      <c r="V516" s="6">
        <v>0</v>
      </c>
      <c r="W516" s="6">
        <v>2603.63</v>
      </c>
      <c r="AI516" s="2">
        <v>382004.25</v>
      </c>
      <c r="AJ516" s="2">
        <v>138722</v>
      </c>
      <c r="AK516" s="2">
        <v>17053.759999999998</v>
      </c>
      <c r="AL516" s="2">
        <v>6192.95</v>
      </c>
      <c r="AM516" s="5">
        <v>4649.34</v>
      </c>
      <c r="AN516" s="12">
        <v>0</v>
      </c>
      <c r="AO516" s="2">
        <v>0</v>
      </c>
      <c r="AP516" s="2">
        <v>0</v>
      </c>
      <c r="AQ516" s="2">
        <v>0</v>
      </c>
      <c r="AR516" s="5">
        <v>0</v>
      </c>
      <c r="AS516" s="2">
        <v>31243.58</v>
      </c>
      <c r="AT516" s="12">
        <v>27896.05</v>
      </c>
      <c r="AU516" s="2">
        <v>0</v>
      </c>
      <c r="AV516" s="5">
        <v>2603.63</v>
      </c>
      <c r="BL516" s="1" t="s">
        <v>137</v>
      </c>
    </row>
    <row r="517" spans="1:64" x14ac:dyDescent="0.3">
      <c r="A517" t="s">
        <v>976</v>
      </c>
      <c r="B517" s="1" t="s">
        <v>976</v>
      </c>
      <c r="C517" s="9" t="s">
        <v>977</v>
      </c>
      <c r="D517" s="1" t="s">
        <v>95</v>
      </c>
      <c r="E517" s="1" t="s">
        <v>135</v>
      </c>
      <c r="F517" s="10" t="s">
        <v>193</v>
      </c>
      <c r="G517" s="1">
        <v>0</v>
      </c>
      <c r="H517" s="1">
        <v>0.05</v>
      </c>
      <c r="I517" s="8">
        <v>44441</v>
      </c>
      <c r="J517" s="6">
        <v>905522</v>
      </c>
      <c r="K517" s="6">
        <v>149212</v>
      </c>
      <c r="L517" s="6">
        <v>40425.089999999997</v>
      </c>
      <c r="M517" s="6">
        <v>6661.25</v>
      </c>
      <c r="N517" s="7">
        <v>9417.27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63284.04</v>
      </c>
      <c r="U517" s="6">
        <v>56503.61</v>
      </c>
      <c r="V517" s="6">
        <v>0</v>
      </c>
      <c r="W517" s="6">
        <v>5273.67</v>
      </c>
      <c r="AI517" s="2">
        <v>905522</v>
      </c>
      <c r="AJ517" s="2">
        <v>149212</v>
      </c>
      <c r="AK517" s="2">
        <v>40425.089999999997</v>
      </c>
      <c r="AL517" s="2">
        <v>6661.25</v>
      </c>
      <c r="AM517" s="5">
        <v>9417.27</v>
      </c>
      <c r="AN517" s="12">
        <v>0</v>
      </c>
      <c r="AO517" s="2">
        <v>0</v>
      </c>
      <c r="AP517" s="2">
        <v>0</v>
      </c>
      <c r="AQ517" s="2">
        <v>0</v>
      </c>
      <c r="AR517" s="5">
        <v>0</v>
      </c>
      <c r="AS517" s="2">
        <v>63284.04</v>
      </c>
      <c r="AT517" s="12">
        <v>56503.61</v>
      </c>
      <c r="AU517" s="2">
        <v>0</v>
      </c>
      <c r="AV517" s="5">
        <v>5273.67</v>
      </c>
      <c r="BL517" s="1" t="s">
        <v>436</v>
      </c>
    </row>
    <row r="518" spans="1:64" x14ac:dyDescent="0.3">
      <c r="A518" t="s">
        <v>978</v>
      </c>
      <c r="B518" s="1" t="s">
        <v>978</v>
      </c>
      <c r="C518" s="9" t="s">
        <v>979</v>
      </c>
      <c r="D518" s="1" t="s">
        <v>95</v>
      </c>
      <c r="E518" s="1" t="s">
        <v>135</v>
      </c>
      <c r="F518" s="10" t="s">
        <v>193</v>
      </c>
      <c r="G518" s="1">
        <v>0</v>
      </c>
      <c r="H518" s="1">
        <v>0.05</v>
      </c>
      <c r="I518" s="8">
        <v>44239</v>
      </c>
      <c r="J518" s="6">
        <v>532861</v>
      </c>
      <c r="K518" s="6">
        <v>46901</v>
      </c>
      <c r="L518" s="6">
        <v>23788.44</v>
      </c>
      <c r="M518" s="6">
        <v>2093.79</v>
      </c>
      <c r="N518" s="7">
        <v>5176.45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34785.72</v>
      </c>
      <c r="U518" s="6">
        <v>31058.68</v>
      </c>
      <c r="V518" s="6">
        <v>0</v>
      </c>
      <c r="W518" s="6">
        <v>2898.81</v>
      </c>
      <c r="AI518" s="2">
        <v>532861</v>
      </c>
      <c r="AJ518" s="2">
        <v>46901</v>
      </c>
      <c r="AK518" s="2">
        <v>23788.44</v>
      </c>
      <c r="AL518" s="2">
        <v>2093.79</v>
      </c>
      <c r="AM518" s="5">
        <v>5176.45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34785.72</v>
      </c>
      <c r="AT518" s="12">
        <v>31058.68</v>
      </c>
      <c r="AU518" s="2">
        <v>0</v>
      </c>
      <c r="AV518" s="5">
        <v>2898.81</v>
      </c>
      <c r="BL518" s="1" t="s">
        <v>137</v>
      </c>
    </row>
    <row r="519" spans="1:64" x14ac:dyDescent="0.3">
      <c r="A519" t="s">
        <v>980</v>
      </c>
      <c r="B519" s="1" t="s">
        <v>980</v>
      </c>
      <c r="C519" s="9" t="s">
        <v>981</v>
      </c>
      <c r="D519" s="1" t="s">
        <v>95</v>
      </c>
      <c r="E519" s="1" t="s">
        <v>135</v>
      </c>
      <c r="F519" s="10" t="s">
        <v>435</v>
      </c>
      <c r="G519" s="1">
        <v>0</v>
      </c>
      <c r="H519" s="1">
        <v>0.05</v>
      </c>
      <c r="I519" s="8">
        <v>44092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372466.2</v>
      </c>
      <c r="P519" s="6">
        <v>38146.799999999996</v>
      </c>
      <c r="Q519" s="6">
        <v>16627.96</v>
      </c>
      <c r="R519" s="6">
        <v>1702.98</v>
      </c>
      <c r="S519" s="7">
        <v>0</v>
      </c>
      <c r="T519" s="11">
        <v>20530.650000000001</v>
      </c>
      <c r="U519" s="6">
        <v>18330.939999999999</v>
      </c>
      <c r="V519" s="6">
        <v>0</v>
      </c>
      <c r="W519" s="6">
        <v>2053.06</v>
      </c>
      <c r="AI519" s="2">
        <v>0</v>
      </c>
      <c r="AJ519" s="2">
        <v>0</v>
      </c>
      <c r="AK519" s="2">
        <v>0</v>
      </c>
      <c r="AL519" s="2">
        <v>0</v>
      </c>
      <c r="AM519" s="5">
        <v>0</v>
      </c>
      <c r="AN519" s="12">
        <v>372466.2</v>
      </c>
      <c r="AO519" s="2">
        <v>38146.799999999996</v>
      </c>
      <c r="AP519" s="2">
        <v>16627.96</v>
      </c>
      <c r="AQ519" s="2">
        <v>1702.98</v>
      </c>
      <c r="AR519" s="5">
        <v>0</v>
      </c>
      <c r="AS519" s="2">
        <v>20530.650000000001</v>
      </c>
      <c r="AT519" s="12">
        <v>18330.939999999999</v>
      </c>
      <c r="AU519" s="2">
        <v>0</v>
      </c>
      <c r="AV519" s="5">
        <v>2053.06</v>
      </c>
      <c r="BL519" s="1" t="s">
        <v>137</v>
      </c>
    </row>
    <row r="520" spans="1:64" x14ac:dyDescent="0.3">
      <c r="A520" t="s">
        <v>982</v>
      </c>
      <c r="B520" s="1" t="s">
        <v>982</v>
      </c>
      <c r="C520" s="9" t="s">
        <v>983</v>
      </c>
      <c r="D520" s="1" t="s">
        <v>95</v>
      </c>
      <c r="E520" s="1" t="s">
        <v>135</v>
      </c>
      <c r="F520" s="10" t="s">
        <v>435</v>
      </c>
      <c r="G520" s="1">
        <v>0</v>
      </c>
      <c r="H520" s="1">
        <v>0.05</v>
      </c>
      <c r="I520" s="8">
        <v>44170</v>
      </c>
      <c r="J520" s="6">
        <v>502865</v>
      </c>
      <c r="K520" s="6">
        <v>130085</v>
      </c>
      <c r="L520" s="6">
        <v>22449.33</v>
      </c>
      <c r="M520" s="6">
        <v>5807.37</v>
      </c>
      <c r="N520" s="7">
        <v>5651.34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37977</v>
      </c>
      <c r="U520" s="6">
        <v>33908.04</v>
      </c>
      <c r="V520" s="6">
        <v>0</v>
      </c>
      <c r="W520" s="6">
        <v>3164.75</v>
      </c>
      <c r="AI520" s="2">
        <v>502865</v>
      </c>
      <c r="AJ520" s="2">
        <v>130085</v>
      </c>
      <c r="AK520" s="2">
        <v>22449.33</v>
      </c>
      <c r="AL520" s="2">
        <v>5807.37</v>
      </c>
      <c r="AM520" s="5">
        <v>5651.34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37977</v>
      </c>
      <c r="AT520" s="12">
        <v>33908.04</v>
      </c>
      <c r="AU520" s="2">
        <v>0</v>
      </c>
      <c r="AV520" s="5">
        <v>3164.75</v>
      </c>
      <c r="BL520" s="1" t="s">
        <v>302</v>
      </c>
    </row>
    <row r="521" spans="1:64" x14ac:dyDescent="0.3">
      <c r="A521" t="s">
        <v>986</v>
      </c>
      <c r="B521" s="1" t="s">
        <v>986</v>
      </c>
      <c r="C521" s="9" t="s">
        <v>987</v>
      </c>
      <c r="D521" s="1" t="s">
        <v>95</v>
      </c>
      <c r="E521" s="1" t="s">
        <v>128</v>
      </c>
      <c r="F521" s="10" t="s">
        <v>988</v>
      </c>
      <c r="G521" s="1">
        <v>0</v>
      </c>
      <c r="H521" s="1">
        <v>0.05</v>
      </c>
      <c r="I521" s="8">
        <v>44204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303675.60000000003</v>
      </c>
      <c r="P521" s="6">
        <v>34714.5</v>
      </c>
      <c r="Q521" s="6">
        <v>13556.95</v>
      </c>
      <c r="R521" s="6">
        <v>1549.75</v>
      </c>
      <c r="S521" s="7">
        <v>0</v>
      </c>
      <c r="T521" s="11">
        <v>16919.5</v>
      </c>
      <c r="U521" s="6">
        <v>15106.7</v>
      </c>
      <c r="V521" s="6">
        <v>0</v>
      </c>
      <c r="W521" s="6">
        <v>1691.95</v>
      </c>
      <c r="AI521" s="2">
        <v>0</v>
      </c>
      <c r="AJ521" s="2">
        <v>0</v>
      </c>
      <c r="AK521" s="2">
        <v>0</v>
      </c>
      <c r="AL521" s="2">
        <v>0</v>
      </c>
      <c r="AM521" s="5">
        <v>0</v>
      </c>
      <c r="AN521" s="12">
        <v>303675.60000000003</v>
      </c>
      <c r="AO521" s="2">
        <v>34714.5</v>
      </c>
      <c r="AP521" s="2">
        <v>13556.95</v>
      </c>
      <c r="AQ521" s="2">
        <v>1549.75</v>
      </c>
      <c r="AR521" s="5">
        <v>0</v>
      </c>
      <c r="AS521" s="2">
        <v>16919.5</v>
      </c>
      <c r="AT521" s="12">
        <v>15106.7</v>
      </c>
      <c r="AU521" s="2">
        <v>0</v>
      </c>
      <c r="AV521" s="5">
        <v>1691.95</v>
      </c>
      <c r="BL521" s="1" t="s">
        <v>130</v>
      </c>
    </row>
    <row r="522" spans="1:64" x14ac:dyDescent="0.3">
      <c r="A522" t="s">
        <v>989</v>
      </c>
      <c r="B522" s="1" t="s">
        <v>989</v>
      </c>
      <c r="C522" s="9" t="s">
        <v>990</v>
      </c>
      <c r="D522" s="1" t="s">
        <v>95</v>
      </c>
      <c r="E522" s="1" t="s">
        <v>128</v>
      </c>
      <c r="F522" s="10" t="s">
        <v>129</v>
      </c>
      <c r="G522" s="1">
        <v>0</v>
      </c>
      <c r="H522" s="1">
        <v>0.05</v>
      </c>
      <c r="I522" s="8">
        <v>44482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705836.99999999988</v>
      </c>
      <c r="P522" s="6">
        <v>61547.399999999994</v>
      </c>
      <c r="Q522" s="6">
        <v>31510.58</v>
      </c>
      <c r="R522" s="6">
        <v>2747.65</v>
      </c>
      <c r="S522" s="7">
        <v>0</v>
      </c>
      <c r="T522" s="11">
        <v>38369.22</v>
      </c>
      <c r="U522" s="6">
        <v>34258.230000000003</v>
      </c>
      <c r="V522" s="6">
        <v>0</v>
      </c>
      <c r="W522" s="6">
        <v>3836.92</v>
      </c>
      <c r="AI522" s="2">
        <v>0</v>
      </c>
      <c r="AJ522" s="2">
        <v>0</v>
      </c>
      <c r="AK522" s="2">
        <v>0</v>
      </c>
      <c r="AL522" s="2">
        <v>0</v>
      </c>
      <c r="AM522" s="5">
        <v>0</v>
      </c>
      <c r="AN522" s="12">
        <v>705836.99999999988</v>
      </c>
      <c r="AO522" s="2">
        <v>61547.399999999994</v>
      </c>
      <c r="AP522" s="2">
        <v>31510.58</v>
      </c>
      <c r="AQ522" s="2">
        <v>2747.65</v>
      </c>
      <c r="AR522" s="5">
        <v>0</v>
      </c>
      <c r="AS522" s="2">
        <v>38369.22</v>
      </c>
      <c r="AT522" s="12">
        <v>34258.230000000003</v>
      </c>
      <c r="AU522" s="2">
        <v>0</v>
      </c>
      <c r="AV522" s="5">
        <v>3836.92</v>
      </c>
      <c r="BL522" s="1" t="s">
        <v>130</v>
      </c>
    </row>
    <row r="523" spans="1:64" x14ac:dyDescent="0.3">
      <c r="A523" t="s">
        <v>991</v>
      </c>
      <c r="B523" s="1" t="s">
        <v>991</v>
      </c>
      <c r="C523" s="9" t="s">
        <v>992</v>
      </c>
      <c r="D523" s="1" t="s">
        <v>95</v>
      </c>
      <c r="E523" s="1" t="s">
        <v>128</v>
      </c>
      <c r="F523" s="10" t="s">
        <v>355</v>
      </c>
      <c r="G523" s="1">
        <v>0</v>
      </c>
      <c r="H523" s="1">
        <v>0.05</v>
      </c>
      <c r="I523" s="8">
        <v>44326</v>
      </c>
      <c r="J523" s="6">
        <v>415793</v>
      </c>
      <c r="K523" s="6">
        <v>34040</v>
      </c>
      <c r="L523" s="6">
        <v>18562.189999999999</v>
      </c>
      <c r="M523" s="6">
        <v>1519.64</v>
      </c>
      <c r="N523" s="7">
        <v>4016.37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26989.98</v>
      </c>
      <c r="U523" s="6">
        <v>24098.199999999997</v>
      </c>
      <c r="V523" s="6">
        <v>0</v>
      </c>
      <c r="W523" s="6">
        <v>2249.16</v>
      </c>
      <c r="AI523" s="2">
        <v>415793</v>
      </c>
      <c r="AJ523" s="2">
        <v>34040</v>
      </c>
      <c r="AK523" s="2">
        <v>18562.189999999999</v>
      </c>
      <c r="AL523" s="2">
        <v>1519.64</v>
      </c>
      <c r="AM523" s="5">
        <v>4016.37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26989.98</v>
      </c>
      <c r="AT523" s="12">
        <v>24098.199999999997</v>
      </c>
      <c r="AU523" s="2">
        <v>0</v>
      </c>
      <c r="AV523" s="5">
        <v>2249.16</v>
      </c>
      <c r="BL523" s="1" t="s">
        <v>130</v>
      </c>
    </row>
    <row r="524" spans="1:64" x14ac:dyDescent="0.3">
      <c r="A524" t="s">
        <v>991</v>
      </c>
      <c r="B524" s="1" t="s">
        <v>993</v>
      </c>
      <c r="C524" s="9" t="s">
        <v>994</v>
      </c>
      <c r="D524" s="1" t="s">
        <v>95</v>
      </c>
      <c r="E524" s="1" t="s">
        <v>128</v>
      </c>
      <c r="F524" s="10" t="s">
        <v>355</v>
      </c>
      <c r="G524" s="1">
        <v>0</v>
      </c>
      <c r="H524" s="1">
        <v>0.05</v>
      </c>
      <c r="I524" s="8">
        <v>44680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0</v>
      </c>
      <c r="U524" s="6">
        <v>0</v>
      </c>
      <c r="V524" s="6">
        <v>0</v>
      </c>
      <c r="W524" s="6">
        <v>0</v>
      </c>
      <c r="AI524" s="2">
        <v>0</v>
      </c>
      <c r="AJ524" s="2">
        <v>0</v>
      </c>
      <c r="AK524" s="2">
        <v>0</v>
      </c>
      <c r="AL524" s="2">
        <v>0</v>
      </c>
      <c r="AM524" s="5">
        <v>0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0</v>
      </c>
      <c r="AT524" s="12">
        <v>0</v>
      </c>
      <c r="AU524" s="2">
        <v>0</v>
      </c>
      <c r="AV524" s="5">
        <v>0</v>
      </c>
      <c r="BL524" s="1" t="s">
        <v>130</v>
      </c>
    </row>
    <row r="525" spans="1:64" x14ac:dyDescent="0.3">
      <c r="A525" t="s">
        <v>991</v>
      </c>
      <c r="B525" s="1" t="s">
        <v>995</v>
      </c>
      <c r="C525" s="9" t="s">
        <v>996</v>
      </c>
      <c r="D525" s="1" t="s">
        <v>95</v>
      </c>
      <c r="E525" s="1" t="s">
        <v>128</v>
      </c>
      <c r="F525" s="10" t="s">
        <v>355</v>
      </c>
      <c r="G525" s="1">
        <v>0</v>
      </c>
      <c r="H525" s="1">
        <v>0.05</v>
      </c>
      <c r="I525" s="8">
        <v>45227</v>
      </c>
      <c r="J525" s="6">
        <v>117174</v>
      </c>
      <c r="K525" s="6">
        <v>26268</v>
      </c>
      <c r="L525" s="6">
        <v>5230.9799999999996</v>
      </c>
      <c r="M525" s="6">
        <v>1172.68</v>
      </c>
      <c r="N525" s="7">
        <v>1280.73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8606.52</v>
      </c>
      <c r="U525" s="6">
        <v>7684.3899999999994</v>
      </c>
      <c r="V525" s="6">
        <v>0</v>
      </c>
      <c r="W525" s="6">
        <v>717.21</v>
      </c>
      <c r="AI525" s="2">
        <v>117174</v>
      </c>
      <c r="AJ525" s="2">
        <v>26268</v>
      </c>
      <c r="AK525" s="2">
        <v>5230.9799999999996</v>
      </c>
      <c r="AL525" s="2">
        <v>1172.68</v>
      </c>
      <c r="AM525" s="5">
        <v>1280.73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8606.52</v>
      </c>
      <c r="AT525" s="12">
        <v>7684.3899999999994</v>
      </c>
      <c r="AU525" s="2">
        <v>0</v>
      </c>
      <c r="AV525" s="5">
        <v>717.21</v>
      </c>
      <c r="BL525" s="1" t="s">
        <v>130</v>
      </c>
    </row>
    <row r="526" spans="1:64" x14ac:dyDescent="0.3">
      <c r="A526" t="s">
        <v>991</v>
      </c>
      <c r="B526" s="1" t="s">
        <v>997</v>
      </c>
      <c r="C526" s="9" t="s">
        <v>998</v>
      </c>
      <c r="D526" s="1" t="s">
        <v>95</v>
      </c>
      <c r="E526" s="1" t="s">
        <v>128</v>
      </c>
      <c r="F526" s="10" t="s">
        <v>355</v>
      </c>
      <c r="G526" s="1">
        <v>0</v>
      </c>
      <c r="H526" s="1">
        <v>0.05</v>
      </c>
      <c r="I526" s="8">
        <v>45315</v>
      </c>
      <c r="J526" s="6">
        <v>104734</v>
      </c>
      <c r="K526" s="6">
        <v>6650</v>
      </c>
      <c r="L526" s="6">
        <v>4675.62</v>
      </c>
      <c r="M526" s="6">
        <v>296.88</v>
      </c>
      <c r="N526" s="7">
        <v>994.5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6683.04</v>
      </c>
      <c r="U526" s="6">
        <v>5967</v>
      </c>
      <c r="V526" s="6">
        <v>0</v>
      </c>
      <c r="W526" s="6">
        <v>556.91999999999996</v>
      </c>
      <c r="AI526" s="2">
        <v>104734</v>
      </c>
      <c r="AJ526" s="2">
        <v>6650</v>
      </c>
      <c r="AK526" s="2">
        <v>4675.62</v>
      </c>
      <c r="AL526" s="2">
        <v>296.88</v>
      </c>
      <c r="AM526" s="5">
        <v>994.5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6683.04</v>
      </c>
      <c r="AT526" s="12">
        <v>5967</v>
      </c>
      <c r="AU526" s="2">
        <v>0</v>
      </c>
      <c r="AV526" s="5">
        <v>556.91999999999996</v>
      </c>
      <c r="BL526" s="1" t="s">
        <v>130</v>
      </c>
    </row>
    <row r="527" spans="1:64" x14ac:dyDescent="0.3">
      <c r="A527" t="s">
        <v>1005</v>
      </c>
      <c r="B527" s="1" t="s">
        <v>1005</v>
      </c>
      <c r="C527" s="9" t="s">
        <v>1006</v>
      </c>
      <c r="D527" s="1" t="s">
        <v>95</v>
      </c>
      <c r="E527" s="1" t="s">
        <v>135</v>
      </c>
      <c r="F527" s="10" t="s">
        <v>435</v>
      </c>
      <c r="G527" s="1">
        <v>0</v>
      </c>
      <c r="H527" s="1">
        <v>0.05</v>
      </c>
      <c r="I527" s="8">
        <v>44354</v>
      </c>
      <c r="J527" s="6">
        <v>327238</v>
      </c>
      <c r="K527" s="6">
        <v>86955</v>
      </c>
      <c r="L527" s="6">
        <v>14608.84</v>
      </c>
      <c r="M527" s="6">
        <v>3881.92</v>
      </c>
      <c r="N527" s="7">
        <v>3698.15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  <c r="T527" s="11">
        <v>24851.58</v>
      </c>
      <c r="U527" s="6">
        <v>22188.910000000003</v>
      </c>
      <c r="V527" s="6">
        <v>0</v>
      </c>
      <c r="W527" s="6">
        <v>2070.96</v>
      </c>
      <c r="AI527" s="2">
        <v>327238</v>
      </c>
      <c r="AJ527" s="2">
        <v>86955</v>
      </c>
      <c r="AK527" s="2">
        <v>14608.84</v>
      </c>
      <c r="AL527" s="2">
        <v>3881.92</v>
      </c>
      <c r="AM527" s="5">
        <v>3698.15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24851.58</v>
      </c>
      <c r="AT527" s="12">
        <v>22188.910000000003</v>
      </c>
      <c r="AU527" s="2">
        <v>0</v>
      </c>
      <c r="AV527" s="5">
        <v>2070.96</v>
      </c>
      <c r="BL527" s="1" t="s">
        <v>137</v>
      </c>
    </row>
    <row r="528" spans="1:64" x14ac:dyDescent="0.3">
      <c r="A528" t="s">
        <v>1007</v>
      </c>
      <c r="B528" s="1" t="s">
        <v>1007</v>
      </c>
      <c r="C528" s="9" t="s">
        <v>1008</v>
      </c>
      <c r="D528" s="1" t="s">
        <v>95</v>
      </c>
      <c r="E528" s="1" t="s">
        <v>135</v>
      </c>
      <c r="F528" s="10" t="s">
        <v>435</v>
      </c>
      <c r="G528" s="1">
        <v>0</v>
      </c>
      <c r="H528" s="1">
        <v>0.05</v>
      </c>
      <c r="I528" s="8">
        <v>44361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453136.8</v>
      </c>
      <c r="P528" s="6">
        <v>33670.800000000003</v>
      </c>
      <c r="Q528" s="6">
        <v>20229.32</v>
      </c>
      <c r="R528" s="6">
        <v>1503.16</v>
      </c>
      <c r="S528" s="7">
        <v>0</v>
      </c>
      <c r="T528" s="11">
        <v>24340.38</v>
      </c>
      <c r="U528" s="6">
        <v>21732.48</v>
      </c>
      <c r="V528" s="6">
        <v>0</v>
      </c>
      <c r="W528" s="6">
        <v>2434.04</v>
      </c>
      <c r="AI528" s="2">
        <v>0</v>
      </c>
      <c r="AJ528" s="2">
        <v>0</v>
      </c>
      <c r="AK528" s="2">
        <v>0</v>
      </c>
      <c r="AL528" s="2">
        <v>0</v>
      </c>
      <c r="AM528" s="5">
        <v>0</v>
      </c>
      <c r="AN528" s="12">
        <v>453136.8</v>
      </c>
      <c r="AO528" s="2">
        <v>33670.800000000003</v>
      </c>
      <c r="AP528" s="2">
        <v>20229.32</v>
      </c>
      <c r="AQ528" s="2">
        <v>1503.16</v>
      </c>
      <c r="AR528" s="5">
        <v>0</v>
      </c>
      <c r="AS528" s="2">
        <v>24340.38</v>
      </c>
      <c r="AT528" s="12">
        <v>21732.48</v>
      </c>
      <c r="AU528" s="2">
        <v>0</v>
      </c>
      <c r="AV528" s="5">
        <v>2434.04</v>
      </c>
      <c r="BL528" s="1" t="s">
        <v>137</v>
      </c>
    </row>
    <row r="529" spans="1:64" x14ac:dyDescent="0.3">
      <c r="A529" t="s">
        <v>1015</v>
      </c>
      <c r="B529" s="1" t="s">
        <v>1015</v>
      </c>
      <c r="C529" s="9" t="s">
        <v>1016</v>
      </c>
      <c r="D529" s="1" t="s">
        <v>95</v>
      </c>
      <c r="E529" s="1" t="s">
        <v>128</v>
      </c>
      <c r="F529" s="10" t="s">
        <v>147</v>
      </c>
      <c r="G529" s="1">
        <v>4.4999999999999998E-2</v>
      </c>
      <c r="H529" s="1">
        <v>0.05</v>
      </c>
      <c r="I529" s="8">
        <v>45559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412740</v>
      </c>
      <c r="P529" s="6">
        <v>72449.7</v>
      </c>
      <c r="Q529" s="6">
        <v>18425.89</v>
      </c>
      <c r="R529" s="6">
        <v>3234.36</v>
      </c>
      <c r="S529" s="7">
        <v>4332.05</v>
      </c>
      <c r="T529" s="11">
        <v>29111.38</v>
      </c>
      <c r="U529" s="6">
        <v>25992.3</v>
      </c>
      <c r="V529" s="6">
        <v>0</v>
      </c>
      <c r="W529" s="6">
        <v>2425.9499999999998</v>
      </c>
      <c r="AI529" s="2">
        <v>0</v>
      </c>
      <c r="AJ529" s="2">
        <v>0</v>
      </c>
      <c r="AK529" s="2">
        <v>0</v>
      </c>
      <c r="AL529" s="2">
        <v>0</v>
      </c>
      <c r="AM529" s="5">
        <v>0</v>
      </c>
      <c r="AN529" s="12">
        <v>412740</v>
      </c>
      <c r="AO529" s="2">
        <v>72449.7</v>
      </c>
      <c r="AP529" s="2">
        <v>18425.89</v>
      </c>
      <c r="AQ529" s="2">
        <v>3234.36</v>
      </c>
      <c r="AR529" s="5">
        <v>4332.05</v>
      </c>
      <c r="AS529" s="2">
        <v>29111.38</v>
      </c>
      <c r="AT529" s="12">
        <v>25992.3</v>
      </c>
      <c r="AU529" s="2">
        <v>0</v>
      </c>
      <c r="AV529" s="5">
        <v>2425.9499999999998</v>
      </c>
      <c r="BL529" s="1" t="s">
        <v>130</v>
      </c>
    </row>
    <row r="530" spans="1:64" x14ac:dyDescent="0.3">
      <c r="A530" t="s">
        <v>1015</v>
      </c>
      <c r="B530" s="1" t="s">
        <v>1017</v>
      </c>
      <c r="C530" s="9" t="s">
        <v>1018</v>
      </c>
      <c r="D530" s="1" t="s">
        <v>95</v>
      </c>
      <c r="E530" s="1" t="s">
        <v>128</v>
      </c>
      <c r="F530" s="10" t="s">
        <v>355</v>
      </c>
      <c r="G530" s="1">
        <v>0</v>
      </c>
      <c r="H530" s="1">
        <v>0.05</v>
      </c>
      <c r="I530" s="8">
        <v>45559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142325.40000000002</v>
      </c>
      <c r="P530" s="6">
        <v>0</v>
      </c>
      <c r="Q530" s="6">
        <v>6353.81</v>
      </c>
      <c r="R530" s="6">
        <v>0</v>
      </c>
      <c r="S530" s="7">
        <v>0</v>
      </c>
      <c r="T530" s="11">
        <v>7116.27</v>
      </c>
      <c r="U530" s="6">
        <v>6353.81</v>
      </c>
      <c r="V530" s="6">
        <v>0</v>
      </c>
      <c r="W530" s="6">
        <v>711.63</v>
      </c>
      <c r="AI530" s="2">
        <v>0</v>
      </c>
      <c r="AJ530" s="2">
        <v>0</v>
      </c>
      <c r="AK530" s="2">
        <v>0</v>
      </c>
      <c r="AL530" s="2">
        <v>0</v>
      </c>
      <c r="AM530" s="5">
        <v>0</v>
      </c>
      <c r="AN530" s="12">
        <v>142325.40000000002</v>
      </c>
      <c r="AO530" s="2">
        <v>0</v>
      </c>
      <c r="AP530" s="2">
        <v>6353.81</v>
      </c>
      <c r="AQ530" s="2">
        <v>0</v>
      </c>
      <c r="AR530" s="5">
        <v>0</v>
      </c>
      <c r="AS530" s="2">
        <v>7116.27</v>
      </c>
      <c r="AT530" s="12">
        <v>6353.81</v>
      </c>
      <c r="AU530" s="2">
        <v>0</v>
      </c>
      <c r="AV530" s="5">
        <v>711.63</v>
      </c>
      <c r="BL530" s="1" t="s">
        <v>130</v>
      </c>
    </row>
    <row r="531" spans="1:64" x14ac:dyDescent="0.3">
      <c r="A531" t="s">
        <v>1033</v>
      </c>
      <c r="B531" s="1" t="s">
        <v>1033</v>
      </c>
      <c r="C531" s="9" t="s">
        <v>1034</v>
      </c>
      <c r="D531" s="1" t="s">
        <v>95</v>
      </c>
      <c r="E531" s="1" t="s">
        <v>135</v>
      </c>
      <c r="F531" s="10" t="s">
        <v>435</v>
      </c>
      <c r="G531" s="1">
        <v>0</v>
      </c>
      <c r="H531" s="1">
        <v>0.05</v>
      </c>
      <c r="I531" s="8">
        <v>44497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487331.1</v>
      </c>
      <c r="P531" s="6">
        <v>37772.69999999999</v>
      </c>
      <c r="Q531" s="6">
        <v>21755.86</v>
      </c>
      <c r="R531" s="6">
        <v>1686.28</v>
      </c>
      <c r="S531" s="7">
        <v>0</v>
      </c>
      <c r="T531" s="11">
        <v>26255.200000000001</v>
      </c>
      <c r="U531" s="6">
        <v>23442.14</v>
      </c>
      <c r="V531" s="6">
        <v>0</v>
      </c>
      <c r="W531" s="6">
        <v>2625.52</v>
      </c>
      <c r="AI531" s="2">
        <v>0</v>
      </c>
      <c r="AJ531" s="2">
        <v>0</v>
      </c>
      <c r="AK531" s="2">
        <v>0</v>
      </c>
      <c r="AL531" s="2">
        <v>0</v>
      </c>
      <c r="AM531" s="5">
        <v>0</v>
      </c>
      <c r="AN531" s="12">
        <v>487331.1</v>
      </c>
      <c r="AO531" s="2">
        <v>37772.69999999999</v>
      </c>
      <c r="AP531" s="2">
        <v>21755.86</v>
      </c>
      <c r="AQ531" s="2">
        <v>1686.28</v>
      </c>
      <c r="AR531" s="5">
        <v>0</v>
      </c>
      <c r="AS531" s="2">
        <v>26255.200000000001</v>
      </c>
      <c r="AT531" s="12">
        <v>23442.14</v>
      </c>
      <c r="AU531" s="2">
        <v>0</v>
      </c>
      <c r="AV531" s="5">
        <v>2625.52</v>
      </c>
      <c r="BL531" s="1" t="s">
        <v>137</v>
      </c>
    </row>
    <row r="532" spans="1:64" x14ac:dyDescent="0.3">
      <c r="A532" t="s">
        <v>1035</v>
      </c>
      <c r="B532" s="1" t="s">
        <v>1035</v>
      </c>
      <c r="C532" s="9" t="s">
        <v>1036</v>
      </c>
      <c r="D532" s="1" t="s">
        <v>95</v>
      </c>
      <c r="E532" s="1" t="s">
        <v>135</v>
      </c>
      <c r="F532" s="10" t="s">
        <v>435</v>
      </c>
      <c r="G532" s="1">
        <v>0</v>
      </c>
      <c r="H532" s="1">
        <v>0.05</v>
      </c>
      <c r="I532" s="8">
        <v>44540</v>
      </c>
      <c r="J532" s="6">
        <v>334788</v>
      </c>
      <c r="K532" s="6">
        <v>50210</v>
      </c>
      <c r="L532" s="6">
        <v>14945.89</v>
      </c>
      <c r="M532" s="6">
        <v>2241.52</v>
      </c>
      <c r="N532" s="7">
        <v>3437.48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23099.88</v>
      </c>
      <c r="U532" s="6">
        <v>20624.89</v>
      </c>
      <c r="V532" s="6">
        <v>0</v>
      </c>
      <c r="W532" s="6">
        <v>1924.99</v>
      </c>
      <c r="AI532" s="2">
        <v>334788</v>
      </c>
      <c r="AJ532" s="2">
        <v>50210</v>
      </c>
      <c r="AK532" s="2">
        <v>14945.89</v>
      </c>
      <c r="AL532" s="2">
        <v>2241.52</v>
      </c>
      <c r="AM532" s="5">
        <v>3437.48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23099.88</v>
      </c>
      <c r="AT532" s="12">
        <v>20624.89</v>
      </c>
      <c r="AU532" s="2">
        <v>0</v>
      </c>
      <c r="AV532" s="5">
        <v>1924.99</v>
      </c>
      <c r="BL532" s="1" t="s">
        <v>137</v>
      </c>
    </row>
    <row r="533" spans="1:64" x14ac:dyDescent="0.3">
      <c r="A533" t="s">
        <v>1037</v>
      </c>
      <c r="B533" s="1" t="s">
        <v>1037</v>
      </c>
      <c r="C533" s="9" t="s">
        <v>1038</v>
      </c>
      <c r="D533" s="1" t="s">
        <v>95</v>
      </c>
      <c r="E533" s="1" t="s">
        <v>135</v>
      </c>
      <c r="F533" s="10" t="s">
        <v>435</v>
      </c>
      <c r="G533" s="1">
        <v>0</v>
      </c>
      <c r="H533" s="1">
        <v>0.05</v>
      </c>
      <c r="I533" s="8">
        <v>44642</v>
      </c>
      <c r="J533" s="6">
        <v>406486</v>
      </c>
      <c r="K533" s="6">
        <v>73030</v>
      </c>
      <c r="L533" s="6">
        <v>18146.7</v>
      </c>
      <c r="M533" s="6">
        <v>3260.27</v>
      </c>
      <c r="N533" s="7">
        <v>4281.3900000000003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  <c r="T533" s="11">
        <v>28770.959999999999</v>
      </c>
      <c r="U533" s="6">
        <v>25688.36</v>
      </c>
      <c r="V533" s="6">
        <v>0</v>
      </c>
      <c r="W533" s="6">
        <v>2397.58</v>
      </c>
      <c r="AI533" s="2">
        <v>406486</v>
      </c>
      <c r="AJ533" s="2">
        <v>73030</v>
      </c>
      <c r="AK533" s="2">
        <v>18146.7</v>
      </c>
      <c r="AL533" s="2">
        <v>3260.27</v>
      </c>
      <c r="AM533" s="5">
        <v>4281.3900000000003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28770.959999999999</v>
      </c>
      <c r="AT533" s="12">
        <v>25688.36</v>
      </c>
      <c r="AU533" s="2">
        <v>0</v>
      </c>
      <c r="AV533" s="5">
        <v>2397.58</v>
      </c>
      <c r="BL533" s="1" t="s">
        <v>137</v>
      </c>
    </row>
    <row r="534" spans="1:64" x14ac:dyDescent="0.3">
      <c r="A534" t="s">
        <v>1039</v>
      </c>
      <c r="B534" s="1" t="s">
        <v>1039</v>
      </c>
      <c r="C534" s="9" t="s">
        <v>1040</v>
      </c>
      <c r="D534" s="1" t="s">
        <v>95</v>
      </c>
      <c r="E534" s="1" t="s">
        <v>135</v>
      </c>
      <c r="F534" s="10" t="s">
        <v>193</v>
      </c>
      <c r="G534" s="1">
        <v>0</v>
      </c>
      <c r="H534" s="1">
        <v>0.05</v>
      </c>
      <c r="I534" s="8">
        <v>44572</v>
      </c>
      <c r="J534" s="6">
        <v>333406.5</v>
      </c>
      <c r="K534" s="6">
        <v>102455</v>
      </c>
      <c r="L534" s="6">
        <v>14884.21</v>
      </c>
      <c r="M534" s="6">
        <v>4573.88</v>
      </c>
      <c r="N534" s="7">
        <v>3891.62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26151.68</v>
      </c>
      <c r="U534" s="6">
        <v>23349.71</v>
      </c>
      <c r="V534" s="6">
        <v>0</v>
      </c>
      <c r="W534" s="6">
        <v>2179.31</v>
      </c>
      <c r="AI534" s="2">
        <v>333406.5</v>
      </c>
      <c r="AJ534" s="2">
        <v>102455</v>
      </c>
      <c r="AK534" s="2">
        <v>14884.21</v>
      </c>
      <c r="AL534" s="2">
        <v>4573.88</v>
      </c>
      <c r="AM534" s="5">
        <v>3891.62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26151.68</v>
      </c>
      <c r="AT534" s="12">
        <v>23349.71</v>
      </c>
      <c r="AU534" s="2">
        <v>0</v>
      </c>
      <c r="AV534" s="5">
        <v>2179.31</v>
      </c>
      <c r="BL534" s="1" t="s">
        <v>137</v>
      </c>
    </row>
    <row r="535" spans="1:64" x14ac:dyDescent="0.3">
      <c r="A535" t="s">
        <v>1041</v>
      </c>
      <c r="B535" s="1" t="s">
        <v>1041</v>
      </c>
      <c r="C535" s="9" t="s">
        <v>1042</v>
      </c>
      <c r="D535" s="1" t="s">
        <v>95</v>
      </c>
      <c r="E535" s="1" t="s">
        <v>135</v>
      </c>
      <c r="F535" s="10" t="s">
        <v>193</v>
      </c>
      <c r="G535" s="1">
        <v>0</v>
      </c>
      <c r="H535" s="1">
        <v>0.05</v>
      </c>
      <c r="I535" s="8">
        <v>44548</v>
      </c>
      <c r="J535" s="6">
        <v>310090</v>
      </c>
      <c r="K535" s="6">
        <v>85523</v>
      </c>
      <c r="L535" s="6">
        <v>13843.3</v>
      </c>
      <c r="M535" s="6">
        <v>3817.99</v>
      </c>
      <c r="N535" s="7">
        <v>3532.26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23736.78</v>
      </c>
      <c r="U535" s="6">
        <v>21193.550000000003</v>
      </c>
      <c r="V535" s="6">
        <v>0</v>
      </c>
      <c r="W535" s="6">
        <v>1978.06</v>
      </c>
      <c r="AI535" s="2">
        <v>310090</v>
      </c>
      <c r="AJ535" s="2">
        <v>85523</v>
      </c>
      <c r="AK535" s="2">
        <v>13843.3</v>
      </c>
      <c r="AL535" s="2">
        <v>3817.99</v>
      </c>
      <c r="AM535" s="5">
        <v>3532.26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23736.78</v>
      </c>
      <c r="AT535" s="12">
        <v>21193.550000000003</v>
      </c>
      <c r="AU535" s="2">
        <v>0</v>
      </c>
      <c r="AV535" s="5">
        <v>1978.06</v>
      </c>
      <c r="BL535" s="1" t="s">
        <v>137</v>
      </c>
    </row>
    <row r="536" spans="1:64" x14ac:dyDescent="0.3">
      <c r="A536" t="s">
        <v>1043</v>
      </c>
      <c r="B536" s="1" t="s">
        <v>1043</v>
      </c>
      <c r="C536" s="9" t="s">
        <v>1044</v>
      </c>
      <c r="D536" s="1" t="s">
        <v>95</v>
      </c>
      <c r="E536" s="1" t="s">
        <v>128</v>
      </c>
      <c r="F536" s="10" t="s">
        <v>309</v>
      </c>
      <c r="G536" s="1">
        <v>0</v>
      </c>
      <c r="H536" s="1">
        <v>0.05</v>
      </c>
      <c r="I536" s="8">
        <v>44851</v>
      </c>
      <c r="J536" s="6">
        <v>647768</v>
      </c>
      <c r="K536" s="6">
        <v>0</v>
      </c>
      <c r="L536" s="6">
        <v>28918.21</v>
      </c>
      <c r="M536" s="6">
        <v>0</v>
      </c>
      <c r="N536" s="7">
        <v>5783.64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38866.07</v>
      </c>
      <c r="U536" s="6">
        <v>34701.85</v>
      </c>
      <c r="V536" s="6">
        <v>0</v>
      </c>
      <c r="W536" s="6">
        <v>3238.84</v>
      </c>
      <c r="AI536" s="2">
        <v>647768</v>
      </c>
      <c r="AJ536" s="2">
        <v>0</v>
      </c>
      <c r="AK536" s="2">
        <v>28918.21</v>
      </c>
      <c r="AL536" s="2">
        <v>0</v>
      </c>
      <c r="AM536" s="5">
        <v>5783.64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38866.07</v>
      </c>
      <c r="AT536" s="12">
        <v>34701.85</v>
      </c>
      <c r="AU536" s="2">
        <v>0</v>
      </c>
      <c r="AV536" s="5">
        <v>3238.84</v>
      </c>
      <c r="BL536" s="1" t="s">
        <v>130</v>
      </c>
    </row>
    <row r="537" spans="1:64" x14ac:dyDescent="0.3">
      <c r="A537" t="s">
        <v>1045</v>
      </c>
      <c r="B537" s="1" t="s">
        <v>1045</v>
      </c>
      <c r="C537" s="9" t="s">
        <v>1046</v>
      </c>
      <c r="D537" s="1" t="s">
        <v>95</v>
      </c>
      <c r="E537" s="1" t="s">
        <v>128</v>
      </c>
      <c r="F537" s="10" t="s">
        <v>129</v>
      </c>
      <c r="G537" s="1">
        <v>0</v>
      </c>
      <c r="H537" s="1">
        <v>0.05</v>
      </c>
      <c r="I537" s="8">
        <v>44550</v>
      </c>
      <c r="J537" s="6">
        <v>602217</v>
      </c>
      <c r="K537" s="6">
        <v>27831</v>
      </c>
      <c r="L537" s="6">
        <v>26884.69</v>
      </c>
      <c r="M537" s="6">
        <v>1242.46</v>
      </c>
      <c r="N537" s="7">
        <v>5625.43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37802.89</v>
      </c>
      <c r="U537" s="6">
        <v>33752.58</v>
      </c>
      <c r="V537" s="6">
        <v>0</v>
      </c>
      <c r="W537" s="6">
        <v>3150.24</v>
      </c>
      <c r="AI537" s="2">
        <v>602217</v>
      </c>
      <c r="AJ537" s="2">
        <v>27831</v>
      </c>
      <c r="AK537" s="2">
        <v>26884.69</v>
      </c>
      <c r="AL537" s="2">
        <v>1242.46</v>
      </c>
      <c r="AM537" s="5">
        <v>5625.43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37802.89</v>
      </c>
      <c r="AT537" s="12">
        <v>33752.58</v>
      </c>
      <c r="AU537" s="2">
        <v>0</v>
      </c>
      <c r="AV537" s="5">
        <v>3150.24</v>
      </c>
      <c r="BL537" s="1" t="s">
        <v>130</v>
      </c>
    </row>
    <row r="538" spans="1:64" x14ac:dyDescent="0.3">
      <c r="A538" t="s">
        <v>1045</v>
      </c>
      <c r="B538" s="1" t="s">
        <v>1047</v>
      </c>
      <c r="C538" s="9" t="s">
        <v>1048</v>
      </c>
      <c r="D538" s="1" t="s">
        <v>95</v>
      </c>
      <c r="E538" s="1" t="s">
        <v>128</v>
      </c>
      <c r="F538" s="10" t="s">
        <v>129</v>
      </c>
      <c r="G538" s="1">
        <v>0</v>
      </c>
      <c r="H538" s="1">
        <v>0.05</v>
      </c>
      <c r="I538" s="8">
        <v>45775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0</v>
      </c>
      <c r="U538" s="6">
        <v>0</v>
      </c>
      <c r="V538" s="6">
        <v>0</v>
      </c>
      <c r="W538" s="6">
        <v>0</v>
      </c>
      <c r="AI538" s="2">
        <v>0</v>
      </c>
      <c r="AJ538" s="2">
        <v>0</v>
      </c>
      <c r="AK538" s="2">
        <v>0</v>
      </c>
      <c r="AL538" s="2">
        <v>0</v>
      </c>
      <c r="AM538" s="5">
        <v>0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0</v>
      </c>
      <c r="AT538" s="12">
        <v>0</v>
      </c>
      <c r="AU538" s="2">
        <v>0</v>
      </c>
      <c r="AV538" s="5">
        <v>0</v>
      </c>
      <c r="BL538" s="1" t="s">
        <v>130</v>
      </c>
    </row>
    <row r="539" spans="1:64" x14ac:dyDescent="0.3">
      <c r="A539" t="s">
        <v>1055</v>
      </c>
      <c r="B539" s="1" t="s">
        <v>1055</v>
      </c>
      <c r="C539" s="9" t="s">
        <v>1056</v>
      </c>
      <c r="D539" s="1" t="s">
        <v>95</v>
      </c>
      <c r="E539" s="1" t="s">
        <v>88</v>
      </c>
      <c r="F539" s="10" t="s">
        <v>441</v>
      </c>
      <c r="G539" s="1">
        <v>0</v>
      </c>
      <c r="H539" s="1">
        <v>0.05</v>
      </c>
      <c r="I539" s="8">
        <v>44655</v>
      </c>
      <c r="J539" s="6">
        <v>213000</v>
      </c>
      <c r="K539" s="6">
        <v>46428</v>
      </c>
      <c r="L539" s="6">
        <v>9508.93</v>
      </c>
      <c r="M539" s="6">
        <v>2072.6799999999998</v>
      </c>
      <c r="N539" s="7">
        <v>2316.3200000000002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15565.68</v>
      </c>
      <c r="U539" s="6">
        <v>13897.93</v>
      </c>
      <c r="V539" s="6">
        <v>0</v>
      </c>
      <c r="W539" s="6">
        <v>1297.1400000000001</v>
      </c>
      <c r="AI539" s="2">
        <v>213000</v>
      </c>
      <c r="AJ539" s="2">
        <v>46428</v>
      </c>
      <c r="AK539" s="2">
        <v>9508.93</v>
      </c>
      <c r="AL539" s="2">
        <v>2072.6799999999998</v>
      </c>
      <c r="AM539" s="5">
        <v>2316.3200000000002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15565.68</v>
      </c>
      <c r="AT539" s="12">
        <v>13897.93</v>
      </c>
      <c r="AU539" s="2">
        <v>0</v>
      </c>
      <c r="AV539" s="5">
        <v>1297.1400000000001</v>
      </c>
      <c r="BL539" s="1" t="s">
        <v>90</v>
      </c>
    </row>
    <row r="540" spans="1:64" x14ac:dyDescent="0.3">
      <c r="A540" t="s">
        <v>1059</v>
      </c>
      <c r="B540" s="1" t="s">
        <v>1059</v>
      </c>
      <c r="C540" s="9" t="s">
        <v>1060</v>
      </c>
      <c r="D540" s="1" t="s">
        <v>95</v>
      </c>
      <c r="E540" s="1" t="s">
        <v>88</v>
      </c>
      <c r="F540" s="10" t="s">
        <v>441</v>
      </c>
      <c r="G540" s="1">
        <v>0</v>
      </c>
      <c r="H540" s="1">
        <v>0.05</v>
      </c>
      <c r="I540" s="8">
        <v>44735</v>
      </c>
      <c r="J540" s="6">
        <v>143422</v>
      </c>
      <c r="K540" s="6">
        <v>49290</v>
      </c>
      <c r="L540" s="6">
        <v>6402.77</v>
      </c>
      <c r="M540" s="6">
        <v>2200.4499999999998</v>
      </c>
      <c r="N540" s="7">
        <v>1720.64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11562.72</v>
      </c>
      <c r="U540" s="6">
        <v>10323.86</v>
      </c>
      <c r="V540" s="6">
        <v>0</v>
      </c>
      <c r="W540" s="6">
        <v>963.56</v>
      </c>
      <c r="AI540" s="2">
        <v>143422</v>
      </c>
      <c r="AJ540" s="2">
        <v>49290</v>
      </c>
      <c r="AK540" s="2">
        <v>6402.77</v>
      </c>
      <c r="AL540" s="2">
        <v>2200.4499999999998</v>
      </c>
      <c r="AM540" s="5">
        <v>1720.64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11562.72</v>
      </c>
      <c r="AT540" s="12">
        <v>10323.86</v>
      </c>
      <c r="AU540" s="2">
        <v>0</v>
      </c>
      <c r="AV540" s="5">
        <v>963.56</v>
      </c>
      <c r="BL540" s="1" t="s">
        <v>90</v>
      </c>
    </row>
    <row r="541" spans="1:64" x14ac:dyDescent="0.3">
      <c r="A541" t="s">
        <v>1063</v>
      </c>
      <c r="B541" s="1" t="s">
        <v>1063</v>
      </c>
      <c r="C541" s="9" t="s">
        <v>1064</v>
      </c>
      <c r="D541" s="1" t="s">
        <v>95</v>
      </c>
      <c r="E541" s="1" t="s">
        <v>135</v>
      </c>
      <c r="F541" s="10" t="s">
        <v>193</v>
      </c>
      <c r="G541" s="1">
        <v>0</v>
      </c>
      <c r="H541" s="1">
        <v>0.05</v>
      </c>
      <c r="I541" s="8">
        <v>44669</v>
      </c>
      <c r="J541" s="6">
        <v>642103</v>
      </c>
      <c r="K541" s="6">
        <v>65008</v>
      </c>
      <c r="L541" s="6">
        <v>28665.31</v>
      </c>
      <c r="M541" s="6">
        <v>2902.14</v>
      </c>
      <c r="N541" s="7">
        <v>6313.49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42426.65</v>
      </c>
      <c r="U541" s="6">
        <v>37880.94</v>
      </c>
      <c r="V541" s="6">
        <v>0</v>
      </c>
      <c r="W541" s="6">
        <v>3535.56</v>
      </c>
      <c r="AI541" s="2">
        <v>642103</v>
      </c>
      <c r="AJ541" s="2">
        <v>65008</v>
      </c>
      <c r="AK541" s="2">
        <v>28665.31</v>
      </c>
      <c r="AL541" s="2">
        <v>2902.14</v>
      </c>
      <c r="AM541" s="5">
        <v>6313.49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42426.65</v>
      </c>
      <c r="AT541" s="12">
        <v>37880.94</v>
      </c>
      <c r="AU541" s="2">
        <v>0</v>
      </c>
      <c r="AV541" s="5">
        <v>3535.56</v>
      </c>
      <c r="BL541" s="1" t="s">
        <v>137</v>
      </c>
    </row>
    <row r="542" spans="1:64" x14ac:dyDescent="0.3">
      <c r="A542" t="s">
        <v>1065</v>
      </c>
      <c r="B542" s="1" t="s">
        <v>1065</v>
      </c>
      <c r="C542" s="9" t="s">
        <v>1066</v>
      </c>
      <c r="D542" s="1" t="s">
        <v>95</v>
      </c>
      <c r="E542" s="1" t="s">
        <v>135</v>
      </c>
      <c r="F542" s="10" t="s">
        <v>435</v>
      </c>
      <c r="G542" s="1">
        <v>0</v>
      </c>
      <c r="H542" s="1">
        <v>0.05</v>
      </c>
      <c r="I542" s="8">
        <v>44628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436023</v>
      </c>
      <c r="P542" s="6">
        <v>44990.400000000001</v>
      </c>
      <c r="Q542" s="6">
        <v>19465.310000000001</v>
      </c>
      <c r="R542" s="6">
        <v>2008.5</v>
      </c>
      <c r="S542" s="7">
        <v>0</v>
      </c>
      <c r="T542" s="11">
        <v>24050.67</v>
      </c>
      <c r="U542" s="6">
        <v>21473.81</v>
      </c>
      <c r="V542" s="6">
        <v>0</v>
      </c>
      <c r="W542" s="6">
        <v>2405.0700000000002</v>
      </c>
      <c r="AI542" s="2">
        <v>0</v>
      </c>
      <c r="AJ542" s="2">
        <v>0</v>
      </c>
      <c r="AK542" s="2">
        <v>0</v>
      </c>
      <c r="AL542" s="2">
        <v>0</v>
      </c>
      <c r="AM542" s="5">
        <v>0</v>
      </c>
      <c r="AN542" s="12">
        <v>436023</v>
      </c>
      <c r="AO542" s="2">
        <v>44990.400000000001</v>
      </c>
      <c r="AP542" s="2">
        <v>19465.310000000001</v>
      </c>
      <c r="AQ542" s="2">
        <v>2008.5</v>
      </c>
      <c r="AR542" s="5">
        <v>0</v>
      </c>
      <c r="AS542" s="2">
        <v>24050.67</v>
      </c>
      <c r="AT542" s="12">
        <v>21473.81</v>
      </c>
      <c r="AU542" s="2">
        <v>0</v>
      </c>
      <c r="AV542" s="5">
        <v>2405.0700000000002</v>
      </c>
      <c r="BL542" s="1" t="s">
        <v>137</v>
      </c>
    </row>
    <row r="543" spans="1:64" x14ac:dyDescent="0.3">
      <c r="A543" t="s">
        <v>1073</v>
      </c>
      <c r="B543" s="1" t="s">
        <v>1073</v>
      </c>
      <c r="C543" s="9" t="s">
        <v>1074</v>
      </c>
      <c r="D543" s="1" t="s">
        <v>95</v>
      </c>
      <c r="E543" s="1" t="s">
        <v>135</v>
      </c>
      <c r="F543" s="10" t="s">
        <v>1075</v>
      </c>
      <c r="G543" s="1">
        <v>0</v>
      </c>
      <c r="H543" s="1">
        <v>0.05</v>
      </c>
      <c r="I543" s="8">
        <v>44887</v>
      </c>
      <c r="J543" s="6">
        <v>714265</v>
      </c>
      <c r="K543" s="6">
        <v>51761</v>
      </c>
      <c r="L543" s="6">
        <v>31886.83</v>
      </c>
      <c r="M543" s="6">
        <v>2310.7600000000002</v>
      </c>
      <c r="N543" s="7">
        <v>6839.52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45961.56</v>
      </c>
      <c r="U543" s="6">
        <v>41037.11</v>
      </c>
      <c r="V543" s="6">
        <v>0</v>
      </c>
      <c r="W543" s="6">
        <v>3830.13</v>
      </c>
      <c r="AI543" s="2">
        <v>714265</v>
      </c>
      <c r="AJ543" s="2">
        <v>51761</v>
      </c>
      <c r="AK543" s="2">
        <v>31886.83</v>
      </c>
      <c r="AL543" s="2">
        <v>2310.7600000000002</v>
      </c>
      <c r="AM543" s="5">
        <v>6839.52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45961.56</v>
      </c>
      <c r="AT543" s="12">
        <v>41037.11</v>
      </c>
      <c r="AU543" s="2">
        <v>0</v>
      </c>
      <c r="AV543" s="5">
        <v>3830.13</v>
      </c>
      <c r="BL543" s="1" t="s">
        <v>137</v>
      </c>
    </row>
    <row r="544" spans="1:64" x14ac:dyDescent="0.3">
      <c r="A544" t="s">
        <v>1076</v>
      </c>
      <c r="B544" s="1" t="s">
        <v>1076</v>
      </c>
      <c r="C544" s="9" t="s">
        <v>1077</v>
      </c>
      <c r="D544" s="1" t="s">
        <v>95</v>
      </c>
      <c r="E544" s="1" t="s">
        <v>135</v>
      </c>
      <c r="F544" s="10" t="s">
        <v>136</v>
      </c>
      <c r="G544" s="1">
        <v>0</v>
      </c>
      <c r="H544" s="1">
        <v>0.05</v>
      </c>
      <c r="I544" s="8">
        <v>44767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859426.5</v>
      </c>
      <c r="P544" s="6">
        <v>70368.900000000009</v>
      </c>
      <c r="Q544" s="6">
        <v>38367.25</v>
      </c>
      <c r="R544" s="6">
        <v>3141.47</v>
      </c>
      <c r="S544" s="7">
        <v>0</v>
      </c>
      <c r="T544" s="11">
        <v>46489.77</v>
      </c>
      <c r="U544" s="6">
        <v>41508.720000000001</v>
      </c>
      <c r="V544" s="6">
        <v>0</v>
      </c>
      <c r="W544" s="6">
        <v>4648.9799999999996</v>
      </c>
      <c r="AI544" s="2">
        <v>0</v>
      </c>
      <c r="AJ544" s="2">
        <v>0</v>
      </c>
      <c r="AK544" s="2">
        <v>0</v>
      </c>
      <c r="AL544" s="2">
        <v>0</v>
      </c>
      <c r="AM544" s="5">
        <v>0</v>
      </c>
      <c r="AN544" s="12">
        <v>859426.5</v>
      </c>
      <c r="AO544" s="2">
        <v>70368.900000000009</v>
      </c>
      <c r="AP544" s="2">
        <v>38367.25</v>
      </c>
      <c r="AQ544" s="2">
        <v>3141.47</v>
      </c>
      <c r="AR544" s="5">
        <v>0</v>
      </c>
      <c r="AS544" s="2">
        <v>46489.77</v>
      </c>
      <c r="AT544" s="12">
        <v>41508.720000000001</v>
      </c>
      <c r="AU544" s="2">
        <v>0</v>
      </c>
      <c r="AV544" s="5">
        <v>4648.9799999999996</v>
      </c>
      <c r="BL544" s="1" t="s">
        <v>137</v>
      </c>
    </row>
    <row r="545" spans="1:64" x14ac:dyDescent="0.3">
      <c r="A545" t="s">
        <v>1076</v>
      </c>
      <c r="B545" s="1" t="s">
        <v>1078</v>
      </c>
      <c r="C545" s="9" t="s">
        <v>1079</v>
      </c>
      <c r="D545" s="1" t="s">
        <v>95</v>
      </c>
      <c r="E545" s="1" t="s">
        <v>135</v>
      </c>
      <c r="F545" s="10" t="s">
        <v>136</v>
      </c>
      <c r="G545" s="1">
        <v>0</v>
      </c>
      <c r="H545" s="1">
        <v>0.05</v>
      </c>
      <c r="I545" s="8">
        <v>44967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365511.3</v>
      </c>
      <c r="P545" s="6">
        <v>19064.399999999998</v>
      </c>
      <c r="Q545" s="6">
        <v>16317.46</v>
      </c>
      <c r="R545" s="6">
        <v>851.09</v>
      </c>
      <c r="S545" s="7">
        <v>0</v>
      </c>
      <c r="T545" s="11">
        <v>19228.78</v>
      </c>
      <c r="U545" s="6">
        <v>17168.55</v>
      </c>
      <c r="V545" s="6">
        <v>0</v>
      </c>
      <c r="W545" s="6">
        <v>1922.88</v>
      </c>
      <c r="AI545" s="2">
        <v>0</v>
      </c>
      <c r="AJ545" s="2">
        <v>0</v>
      </c>
      <c r="AK545" s="2">
        <v>0</v>
      </c>
      <c r="AL545" s="2">
        <v>0</v>
      </c>
      <c r="AM545" s="5">
        <v>0</v>
      </c>
      <c r="AN545" s="12">
        <v>365511.3</v>
      </c>
      <c r="AO545" s="2">
        <v>19064.399999999998</v>
      </c>
      <c r="AP545" s="2">
        <v>16317.46</v>
      </c>
      <c r="AQ545" s="2">
        <v>851.09</v>
      </c>
      <c r="AR545" s="5">
        <v>0</v>
      </c>
      <c r="AS545" s="2">
        <v>19228.78</v>
      </c>
      <c r="AT545" s="12">
        <v>17168.55</v>
      </c>
      <c r="AU545" s="2">
        <v>0</v>
      </c>
      <c r="AV545" s="5">
        <v>1922.88</v>
      </c>
      <c r="BL545" s="1" t="s">
        <v>137</v>
      </c>
    </row>
    <row r="546" spans="1:64" x14ac:dyDescent="0.3">
      <c r="A546" t="s">
        <v>1080</v>
      </c>
      <c r="B546" s="1" t="s">
        <v>1080</v>
      </c>
      <c r="C546" s="9" t="s">
        <v>1081</v>
      </c>
      <c r="D546" s="1" t="s">
        <v>95</v>
      </c>
      <c r="E546" s="1" t="s">
        <v>135</v>
      </c>
      <c r="F546" s="10" t="s">
        <v>136</v>
      </c>
      <c r="G546" s="1">
        <v>3.5000000000000003E-2</v>
      </c>
      <c r="H546" s="1">
        <v>0.05</v>
      </c>
      <c r="I546" s="8">
        <v>44441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547150.5</v>
      </c>
      <c r="P546" s="6">
        <v>44003.399999999994</v>
      </c>
      <c r="Q546" s="6">
        <v>24426.36</v>
      </c>
      <c r="R546" s="6">
        <v>1964.44</v>
      </c>
      <c r="S546" s="7">
        <v>5278.16</v>
      </c>
      <c r="T546" s="11">
        <v>35469.24</v>
      </c>
      <c r="U546" s="6">
        <v>31668.959999999999</v>
      </c>
      <c r="V546" s="6">
        <v>0</v>
      </c>
      <c r="W546" s="6">
        <v>2955.77</v>
      </c>
      <c r="AI546" s="2">
        <v>0</v>
      </c>
      <c r="AJ546" s="2">
        <v>0</v>
      </c>
      <c r="AK546" s="2">
        <v>0</v>
      </c>
      <c r="AL546" s="2">
        <v>0</v>
      </c>
      <c r="AM546" s="5">
        <v>0</v>
      </c>
      <c r="AN546" s="12">
        <v>547150.5</v>
      </c>
      <c r="AO546" s="2">
        <v>44003.399999999994</v>
      </c>
      <c r="AP546" s="2">
        <v>24426.36</v>
      </c>
      <c r="AQ546" s="2">
        <v>1964.44</v>
      </c>
      <c r="AR546" s="5">
        <v>5278.16</v>
      </c>
      <c r="AS546" s="2">
        <v>35469.24</v>
      </c>
      <c r="AT546" s="12">
        <v>31668.959999999999</v>
      </c>
      <c r="AU546" s="2">
        <v>0</v>
      </c>
      <c r="AV546" s="5">
        <v>2955.77</v>
      </c>
      <c r="BL546" s="1" t="s">
        <v>137</v>
      </c>
    </row>
    <row r="547" spans="1:64" x14ac:dyDescent="0.3">
      <c r="A547" t="s">
        <v>1082</v>
      </c>
      <c r="B547" s="1" t="s">
        <v>1082</v>
      </c>
      <c r="C547" s="9" t="s">
        <v>1083</v>
      </c>
      <c r="D547" s="1" t="s">
        <v>95</v>
      </c>
      <c r="E547" s="1" t="s">
        <v>135</v>
      </c>
      <c r="F547" s="10" t="s">
        <v>1075</v>
      </c>
      <c r="G547" s="1">
        <v>0</v>
      </c>
      <c r="H547" s="1">
        <v>0.05</v>
      </c>
      <c r="I547" s="8">
        <v>44770</v>
      </c>
      <c r="J547" s="6">
        <v>621816</v>
      </c>
      <c r="K547" s="6">
        <v>122391</v>
      </c>
      <c r="L547" s="6">
        <v>27759.64</v>
      </c>
      <c r="M547" s="6">
        <v>5463.88</v>
      </c>
      <c r="N547" s="7">
        <v>6644.71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44652.42</v>
      </c>
      <c r="U547" s="6">
        <v>39868.229999999996</v>
      </c>
      <c r="V547" s="6">
        <v>0</v>
      </c>
      <c r="W547" s="6">
        <v>3721.04</v>
      </c>
      <c r="AI547" s="2">
        <v>621816</v>
      </c>
      <c r="AJ547" s="2">
        <v>122391</v>
      </c>
      <c r="AK547" s="2">
        <v>27759.64</v>
      </c>
      <c r="AL547" s="2">
        <v>5463.88</v>
      </c>
      <c r="AM547" s="5">
        <v>6644.71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44652.42</v>
      </c>
      <c r="AT547" s="12">
        <v>39868.229999999996</v>
      </c>
      <c r="AU547" s="2">
        <v>0</v>
      </c>
      <c r="AV547" s="5">
        <v>3721.04</v>
      </c>
      <c r="BL547" s="1" t="s">
        <v>137</v>
      </c>
    </row>
    <row r="548" spans="1:64" x14ac:dyDescent="0.3">
      <c r="A548" t="s">
        <v>1088</v>
      </c>
      <c r="B548" s="1" t="s">
        <v>1089</v>
      </c>
      <c r="C548" s="9" t="s">
        <v>1090</v>
      </c>
      <c r="D548" s="1" t="s">
        <v>95</v>
      </c>
      <c r="E548" s="1" t="s">
        <v>128</v>
      </c>
      <c r="F548" s="10" t="s">
        <v>309</v>
      </c>
      <c r="G548" s="1">
        <v>0</v>
      </c>
      <c r="H548" s="1">
        <v>0.05</v>
      </c>
      <c r="I548" s="8">
        <v>44755</v>
      </c>
      <c r="J548" s="6">
        <v>295658</v>
      </c>
      <c r="K548" s="6">
        <v>0</v>
      </c>
      <c r="L548" s="6">
        <v>13199.02</v>
      </c>
      <c r="M548" s="6">
        <v>0</v>
      </c>
      <c r="N548" s="7">
        <v>2639.8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17739.48</v>
      </c>
      <c r="U548" s="6">
        <v>15838.82</v>
      </c>
      <c r="V548" s="6">
        <v>0</v>
      </c>
      <c r="W548" s="6">
        <v>1478.29</v>
      </c>
      <c r="AI548" s="2">
        <v>295658</v>
      </c>
      <c r="AJ548" s="2">
        <v>0</v>
      </c>
      <c r="AK548" s="2">
        <v>13199.02</v>
      </c>
      <c r="AL548" s="2">
        <v>0</v>
      </c>
      <c r="AM548" s="5">
        <v>2639.8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17739.48</v>
      </c>
      <c r="AT548" s="12">
        <v>15838.82</v>
      </c>
      <c r="AU548" s="2">
        <v>0</v>
      </c>
      <c r="AV548" s="5">
        <v>1478.29</v>
      </c>
      <c r="BL548" s="1" t="s">
        <v>130</v>
      </c>
    </row>
    <row r="549" spans="1:64" x14ac:dyDescent="0.3">
      <c r="A549" t="s">
        <v>1088</v>
      </c>
      <c r="B549" s="1" t="s">
        <v>1091</v>
      </c>
      <c r="C549" s="9" t="s">
        <v>1092</v>
      </c>
      <c r="D549" s="1" t="s">
        <v>95</v>
      </c>
      <c r="E549" s="1" t="s">
        <v>128</v>
      </c>
      <c r="F549" s="10" t="s">
        <v>309</v>
      </c>
      <c r="G549" s="1">
        <v>0</v>
      </c>
      <c r="H549" s="1">
        <v>0.05</v>
      </c>
      <c r="I549" s="8">
        <v>44755</v>
      </c>
      <c r="J549" s="6">
        <v>217983</v>
      </c>
      <c r="K549" s="6">
        <v>0</v>
      </c>
      <c r="L549" s="6">
        <v>9731.3799999999992</v>
      </c>
      <c r="M549" s="6">
        <v>0</v>
      </c>
      <c r="N549" s="7">
        <v>1946.28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13078.98</v>
      </c>
      <c r="U549" s="6">
        <v>11677.66</v>
      </c>
      <c r="V549" s="6">
        <v>0</v>
      </c>
      <c r="W549" s="6">
        <v>1089.92</v>
      </c>
      <c r="AI549" s="2">
        <v>217983</v>
      </c>
      <c r="AJ549" s="2">
        <v>0</v>
      </c>
      <c r="AK549" s="2">
        <v>9731.3799999999992</v>
      </c>
      <c r="AL549" s="2">
        <v>0</v>
      </c>
      <c r="AM549" s="5">
        <v>1946.28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13078.98</v>
      </c>
      <c r="AT549" s="12">
        <v>11677.66</v>
      </c>
      <c r="AU549" s="2">
        <v>0</v>
      </c>
      <c r="AV549" s="5">
        <v>1089.92</v>
      </c>
      <c r="BL549" s="1" t="s">
        <v>130</v>
      </c>
    </row>
    <row r="550" spans="1:64" x14ac:dyDescent="0.3">
      <c r="A550" t="s">
        <v>1088</v>
      </c>
      <c r="B550" s="1" t="s">
        <v>1088</v>
      </c>
      <c r="C550" s="9" t="s">
        <v>1093</v>
      </c>
      <c r="D550" s="1" t="s">
        <v>95</v>
      </c>
      <c r="E550" s="1" t="s">
        <v>128</v>
      </c>
      <c r="F550" s="10" t="s">
        <v>309</v>
      </c>
      <c r="G550" s="1">
        <v>0.04</v>
      </c>
      <c r="H550" s="1">
        <v>0.05</v>
      </c>
      <c r="I550" s="8">
        <v>44755</v>
      </c>
      <c r="J550" s="6">
        <v>456061</v>
      </c>
      <c r="K550" s="6">
        <v>16995</v>
      </c>
      <c r="L550" s="6">
        <v>20359.87</v>
      </c>
      <c r="M550" s="6">
        <v>758.71</v>
      </c>
      <c r="N550" s="7">
        <v>4223.71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28383.360000000001</v>
      </c>
      <c r="U550" s="6">
        <v>25342.289999999997</v>
      </c>
      <c r="V550" s="6">
        <v>0</v>
      </c>
      <c r="W550" s="6">
        <v>2365.2800000000002</v>
      </c>
      <c r="AI550" s="2">
        <v>456061</v>
      </c>
      <c r="AJ550" s="2">
        <v>16995</v>
      </c>
      <c r="AK550" s="2">
        <v>20359.87</v>
      </c>
      <c r="AL550" s="2">
        <v>758.71</v>
      </c>
      <c r="AM550" s="5">
        <v>4223.71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28383.360000000001</v>
      </c>
      <c r="AT550" s="12">
        <v>25342.289999999997</v>
      </c>
      <c r="AU550" s="2">
        <v>0</v>
      </c>
      <c r="AV550" s="5">
        <v>2365.2800000000002</v>
      </c>
      <c r="BL550" s="1" t="s">
        <v>130</v>
      </c>
    </row>
    <row r="551" spans="1:64" x14ac:dyDescent="0.3">
      <c r="A551" t="s">
        <v>1088</v>
      </c>
      <c r="B551" s="1" t="s">
        <v>1094</v>
      </c>
      <c r="C551" s="9" t="s">
        <v>1095</v>
      </c>
      <c r="D551" s="1" t="s">
        <v>95</v>
      </c>
      <c r="E551" s="1" t="s">
        <v>128</v>
      </c>
      <c r="F551" s="10" t="s">
        <v>309</v>
      </c>
      <c r="G551" s="1">
        <v>0</v>
      </c>
      <c r="H551" s="1">
        <v>0.05</v>
      </c>
      <c r="I551" s="8">
        <v>44755</v>
      </c>
      <c r="J551" s="6">
        <v>415322</v>
      </c>
      <c r="K551" s="6">
        <v>0</v>
      </c>
      <c r="L551" s="6">
        <v>18541.16</v>
      </c>
      <c r="M551" s="6">
        <v>0</v>
      </c>
      <c r="N551" s="7">
        <v>3708.23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24919.32</v>
      </c>
      <c r="U551" s="6">
        <v>22249.39</v>
      </c>
      <c r="V551" s="6">
        <v>0</v>
      </c>
      <c r="W551" s="6">
        <v>2076.61</v>
      </c>
      <c r="AI551" s="2">
        <v>415322</v>
      </c>
      <c r="AJ551" s="2">
        <v>0</v>
      </c>
      <c r="AK551" s="2">
        <v>18541.16</v>
      </c>
      <c r="AL551" s="2">
        <v>0</v>
      </c>
      <c r="AM551" s="5">
        <v>3708.23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24919.32</v>
      </c>
      <c r="AT551" s="12">
        <v>22249.39</v>
      </c>
      <c r="AU551" s="2">
        <v>0</v>
      </c>
      <c r="AV551" s="5">
        <v>2076.61</v>
      </c>
      <c r="BL551" s="1" t="s">
        <v>130</v>
      </c>
    </row>
    <row r="552" spans="1:64" x14ac:dyDescent="0.3">
      <c r="A552" t="s">
        <v>1088</v>
      </c>
      <c r="B552" s="1" t="s">
        <v>1096</v>
      </c>
      <c r="C552" s="9" t="s">
        <v>1097</v>
      </c>
      <c r="D552" s="1" t="s">
        <v>95</v>
      </c>
      <c r="E552" s="1" t="s">
        <v>128</v>
      </c>
      <c r="F552" s="10" t="s">
        <v>309</v>
      </c>
      <c r="G552" s="1">
        <v>0</v>
      </c>
      <c r="H552" s="1">
        <v>0.05</v>
      </c>
      <c r="I552" s="8">
        <v>44765</v>
      </c>
      <c r="J552" s="6">
        <v>175335</v>
      </c>
      <c r="K552" s="6">
        <v>25560</v>
      </c>
      <c r="L552" s="6">
        <v>7827.46</v>
      </c>
      <c r="M552" s="6">
        <v>1141.07</v>
      </c>
      <c r="N552" s="7">
        <v>1793.71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12053.71</v>
      </c>
      <c r="U552" s="6">
        <v>10762.240000000002</v>
      </c>
      <c r="V552" s="6">
        <v>0</v>
      </c>
      <c r="W552" s="6">
        <v>1004.48</v>
      </c>
      <c r="AI552" s="2">
        <v>175335</v>
      </c>
      <c r="AJ552" s="2">
        <v>25560</v>
      </c>
      <c r="AK552" s="2">
        <v>7827.46</v>
      </c>
      <c r="AL552" s="2">
        <v>1141.07</v>
      </c>
      <c r="AM552" s="5">
        <v>1793.71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12053.71</v>
      </c>
      <c r="AT552" s="12">
        <v>10762.240000000002</v>
      </c>
      <c r="AU552" s="2">
        <v>0</v>
      </c>
      <c r="AV552" s="5">
        <v>1004.48</v>
      </c>
      <c r="BL552" s="1" t="s">
        <v>130</v>
      </c>
    </row>
    <row r="553" spans="1:64" x14ac:dyDescent="0.3">
      <c r="A553" t="s">
        <v>1088</v>
      </c>
      <c r="B553" s="1" t="s">
        <v>1098</v>
      </c>
      <c r="C553" s="9" t="s">
        <v>1099</v>
      </c>
      <c r="D553" s="1" t="s">
        <v>95</v>
      </c>
      <c r="E553" s="1" t="s">
        <v>128</v>
      </c>
      <c r="F553" s="10" t="s">
        <v>309</v>
      </c>
      <c r="G553" s="1">
        <v>0</v>
      </c>
      <c r="H553" s="1">
        <v>0.05</v>
      </c>
      <c r="I553" s="8">
        <v>44848</v>
      </c>
      <c r="J553" s="6">
        <v>519205</v>
      </c>
      <c r="K553" s="6">
        <v>0</v>
      </c>
      <c r="L553" s="6">
        <v>23178.79</v>
      </c>
      <c r="M553" s="6">
        <v>0</v>
      </c>
      <c r="N553" s="7">
        <v>4635.76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31152.3</v>
      </c>
      <c r="U553" s="6">
        <v>27814.550000000003</v>
      </c>
      <c r="V553" s="6">
        <v>0</v>
      </c>
      <c r="W553" s="6">
        <v>2596.02</v>
      </c>
      <c r="AI553" s="2">
        <v>519205</v>
      </c>
      <c r="AJ553" s="2">
        <v>0</v>
      </c>
      <c r="AK553" s="2">
        <v>23178.79</v>
      </c>
      <c r="AL553" s="2">
        <v>0</v>
      </c>
      <c r="AM553" s="5">
        <v>4635.76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31152.3</v>
      </c>
      <c r="AT553" s="12">
        <v>27814.550000000003</v>
      </c>
      <c r="AU553" s="2">
        <v>0</v>
      </c>
      <c r="AV553" s="5">
        <v>2596.02</v>
      </c>
      <c r="BL553" s="1" t="s">
        <v>130</v>
      </c>
    </row>
    <row r="554" spans="1:64" x14ac:dyDescent="0.3">
      <c r="A554" t="s">
        <v>1088</v>
      </c>
      <c r="B554" s="1" t="s">
        <v>1100</v>
      </c>
      <c r="C554" s="9" t="s">
        <v>1101</v>
      </c>
      <c r="D554" s="1" t="s">
        <v>95</v>
      </c>
      <c r="E554" s="1" t="s">
        <v>128</v>
      </c>
      <c r="F554" s="10" t="s">
        <v>309</v>
      </c>
      <c r="G554" s="1">
        <v>0</v>
      </c>
      <c r="H554" s="1">
        <v>0.05</v>
      </c>
      <c r="I554" s="8">
        <v>44828</v>
      </c>
      <c r="J554" s="6">
        <v>369599</v>
      </c>
      <c r="K554" s="6">
        <v>0</v>
      </c>
      <c r="L554" s="6">
        <v>16499.96</v>
      </c>
      <c r="M554" s="6">
        <v>0</v>
      </c>
      <c r="N554" s="7">
        <v>3299.99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22175.94</v>
      </c>
      <c r="U554" s="6">
        <v>19799.949999999997</v>
      </c>
      <c r="V554" s="6">
        <v>0</v>
      </c>
      <c r="W554" s="6">
        <v>1848</v>
      </c>
      <c r="AI554" s="2">
        <v>369599</v>
      </c>
      <c r="AJ554" s="2">
        <v>0</v>
      </c>
      <c r="AK554" s="2">
        <v>16499.96</v>
      </c>
      <c r="AL554" s="2">
        <v>0</v>
      </c>
      <c r="AM554" s="5">
        <v>3299.99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22175.94</v>
      </c>
      <c r="AT554" s="12">
        <v>19799.949999999997</v>
      </c>
      <c r="AU554" s="2">
        <v>0</v>
      </c>
      <c r="AV554" s="5">
        <v>1848</v>
      </c>
      <c r="BL554" s="1" t="s">
        <v>130</v>
      </c>
    </row>
    <row r="555" spans="1:64" x14ac:dyDescent="0.3">
      <c r="A555" t="s">
        <v>1088</v>
      </c>
      <c r="B555" s="1" t="s">
        <v>1102</v>
      </c>
      <c r="C555" s="9" t="s">
        <v>1103</v>
      </c>
      <c r="D555" s="1" t="s">
        <v>95</v>
      </c>
      <c r="E555" s="1" t="s">
        <v>128</v>
      </c>
      <c r="F555" s="10" t="s">
        <v>309</v>
      </c>
      <c r="G555" s="1">
        <v>0</v>
      </c>
      <c r="H555" s="1">
        <v>0.05</v>
      </c>
      <c r="I555" s="8">
        <v>45107</v>
      </c>
      <c r="J555" s="6">
        <v>177811</v>
      </c>
      <c r="K555" s="6">
        <v>0</v>
      </c>
      <c r="L555" s="6">
        <v>7937.99</v>
      </c>
      <c r="M555" s="6">
        <v>0</v>
      </c>
      <c r="N555" s="7">
        <v>1587.6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10668.66</v>
      </c>
      <c r="U555" s="6">
        <v>9525.59</v>
      </c>
      <c r="V555" s="6">
        <v>0</v>
      </c>
      <c r="W555" s="6">
        <v>889.06</v>
      </c>
      <c r="AI555" s="2">
        <v>177811</v>
      </c>
      <c r="AJ555" s="2">
        <v>0</v>
      </c>
      <c r="AK555" s="2">
        <v>7937.99</v>
      </c>
      <c r="AL555" s="2">
        <v>0</v>
      </c>
      <c r="AM555" s="5">
        <v>1587.6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10668.66</v>
      </c>
      <c r="AT555" s="12">
        <v>9525.59</v>
      </c>
      <c r="AU555" s="2">
        <v>0</v>
      </c>
      <c r="AV555" s="5">
        <v>889.06</v>
      </c>
      <c r="BL555" s="1" t="s">
        <v>130</v>
      </c>
    </row>
    <row r="556" spans="1:64" x14ac:dyDescent="0.3">
      <c r="A556" t="s">
        <v>1088</v>
      </c>
      <c r="B556" s="1" t="s">
        <v>1104</v>
      </c>
      <c r="C556" s="9" t="s">
        <v>1105</v>
      </c>
      <c r="D556" s="1" t="s">
        <v>95</v>
      </c>
      <c r="E556" s="1" t="s">
        <v>128</v>
      </c>
      <c r="F556" s="10" t="s">
        <v>309</v>
      </c>
      <c r="G556" s="1">
        <v>0</v>
      </c>
      <c r="H556" s="1">
        <v>0.05</v>
      </c>
      <c r="I556" s="8">
        <v>45323</v>
      </c>
      <c r="J556" s="6">
        <v>140970</v>
      </c>
      <c r="K556" s="6">
        <v>0</v>
      </c>
      <c r="L556" s="6">
        <v>6293.3</v>
      </c>
      <c r="M556" s="6">
        <v>0</v>
      </c>
      <c r="N556" s="7">
        <v>1258.6600000000001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8458.2000000000007</v>
      </c>
      <c r="U556" s="6">
        <v>7551.96</v>
      </c>
      <c r="V556" s="6">
        <v>0</v>
      </c>
      <c r="W556" s="6">
        <v>704.85</v>
      </c>
      <c r="AI556" s="2">
        <v>140970</v>
      </c>
      <c r="AJ556" s="2">
        <v>0</v>
      </c>
      <c r="AK556" s="2">
        <v>6293.3</v>
      </c>
      <c r="AL556" s="2">
        <v>0</v>
      </c>
      <c r="AM556" s="5">
        <v>1258.6600000000001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8458.2000000000007</v>
      </c>
      <c r="AT556" s="12">
        <v>7551.96</v>
      </c>
      <c r="AU556" s="2">
        <v>0</v>
      </c>
      <c r="AV556" s="5">
        <v>704.85</v>
      </c>
      <c r="BL556" s="1" t="s">
        <v>130</v>
      </c>
    </row>
    <row r="557" spans="1:64" x14ac:dyDescent="0.3">
      <c r="A557" t="s">
        <v>1088</v>
      </c>
      <c r="B557" s="1" t="s">
        <v>1106</v>
      </c>
      <c r="C557" s="9" t="s">
        <v>1107</v>
      </c>
      <c r="D557" s="1" t="s">
        <v>95</v>
      </c>
      <c r="E557" s="1" t="s">
        <v>128</v>
      </c>
      <c r="F557" s="10" t="s">
        <v>309</v>
      </c>
      <c r="G557" s="1">
        <v>0</v>
      </c>
      <c r="H557" s="1">
        <v>0.05</v>
      </c>
      <c r="I557" s="8">
        <v>45281</v>
      </c>
      <c r="J557" s="6">
        <v>371128</v>
      </c>
      <c r="K557" s="6">
        <v>0</v>
      </c>
      <c r="L557" s="6">
        <v>16568.21</v>
      </c>
      <c r="M557" s="6">
        <v>0</v>
      </c>
      <c r="N557" s="7">
        <v>3313.64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22267.67</v>
      </c>
      <c r="U557" s="6">
        <v>19881.849999999999</v>
      </c>
      <c r="V557" s="6">
        <v>0</v>
      </c>
      <c r="W557" s="6">
        <v>1855.64</v>
      </c>
      <c r="AI557" s="2">
        <v>371128</v>
      </c>
      <c r="AJ557" s="2">
        <v>0</v>
      </c>
      <c r="AK557" s="2">
        <v>16568.21</v>
      </c>
      <c r="AL557" s="2">
        <v>0</v>
      </c>
      <c r="AM557" s="5">
        <v>3313.64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22267.67</v>
      </c>
      <c r="AT557" s="12">
        <v>19881.849999999999</v>
      </c>
      <c r="AU557" s="2">
        <v>0</v>
      </c>
      <c r="AV557" s="5">
        <v>1855.64</v>
      </c>
      <c r="BL557" s="1" t="s">
        <v>130</v>
      </c>
    </row>
    <row r="558" spans="1:64" x14ac:dyDescent="0.3">
      <c r="A558" t="s">
        <v>1088</v>
      </c>
      <c r="B558" s="1" t="s">
        <v>1108</v>
      </c>
      <c r="C558" s="9" t="s">
        <v>1109</v>
      </c>
      <c r="D558" s="1" t="s">
        <v>95</v>
      </c>
      <c r="E558" s="1" t="s">
        <v>128</v>
      </c>
      <c r="F558" s="10" t="s">
        <v>309</v>
      </c>
      <c r="G558" s="1">
        <v>0</v>
      </c>
      <c r="H558" s="1">
        <v>0.05</v>
      </c>
      <c r="I558" s="8">
        <v>45636</v>
      </c>
      <c r="J558" s="6">
        <v>259327</v>
      </c>
      <c r="K558" s="6">
        <v>0</v>
      </c>
      <c r="L558" s="6">
        <v>11577.1</v>
      </c>
      <c r="M558" s="6">
        <v>0</v>
      </c>
      <c r="N558" s="7">
        <v>2315.42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15559.62</v>
      </c>
      <c r="U558" s="6">
        <v>13892.52</v>
      </c>
      <c r="V558" s="6">
        <v>0</v>
      </c>
      <c r="W558" s="6">
        <v>1296.6400000000001</v>
      </c>
      <c r="AI558" s="2">
        <v>259327</v>
      </c>
      <c r="AJ558" s="2">
        <v>0</v>
      </c>
      <c r="AK558" s="2">
        <v>11577.1</v>
      </c>
      <c r="AL558" s="2">
        <v>0</v>
      </c>
      <c r="AM558" s="5">
        <v>2315.42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15559.62</v>
      </c>
      <c r="AT558" s="12">
        <v>13892.52</v>
      </c>
      <c r="AU558" s="2">
        <v>0</v>
      </c>
      <c r="AV558" s="5">
        <v>1296.6400000000001</v>
      </c>
      <c r="BL558" s="1" t="s">
        <v>130</v>
      </c>
    </row>
    <row r="559" spans="1:64" x14ac:dyDescent="0.3">
      <c r="A559" t="s">
        <v>1088</v>
      </c>
      <c r="B559" s="1" t="s">
        <v>1110</v>
      </c>
      <c r="C559" s="9" t="s">
        <v>1111</v>
      </c>
      <c r="D559" s="1" t="s">
        <v>95</v>
      </c>
      <c r="E559" s="1" t="s">
        <v>128</v>
      </c>
      <c r="F559" s="10" t="s">
        <v>309</v>
      </c>
      <c r="G559" s="1">
        <v>0</v>
      </c>
      <c r="H559" s="1">
        <v>0.05</v>
      </c>
      <c r="I559" s="8">
        <v>45600</v>
      </c>
      <c r="J559" s="6">
        <v>174640</v>
      </c>
      <c r="K559" s="6">
        <v>0</v>
      </c>
      <c r="L559" s="6">
        <v>7796.43</v>
      </c>
      <c r="M559" s="6">
        <v>0</v>
      </c>
      <c r="N559" s="7">
        <v>1559.29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10478.41</v>
      </c>
      <c r="U559" s="6">
        <v>9355.7200000000012</v>
      </c>
      <c r="V559" s="6">
        <v>0</v>
      </c>
      <c r="W559" s="6">
        <v>873.2</v>
      </c>
      <c r="AI559" s="2">
        <v>174640</v>
      </c>
      <c r="AJ559" s="2">
        <v>0</v>
      </c>
      <c r="AK559" s="2">
        <v>7796.43</v>
      </c>
      <c r="AL559" s="2">
        <v>0</v>
      </c>
      <c r="AM559" s="5">
        <v>1559.29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10478.41</v>
      </c>
      <c r="AT559" s="12">
        <v>9355.7200000000012</v>
      </c>
      <c r="AU559" s="2">
        <v>0</v>
      </c>
      <c r="AV559" s="5">
        <v>873.2</v>
      </c>
      <c r="BL559" s="1" t="s">
        <v>130</v>
      </c>
    </row>
    <row r="560" spans="1:64" x14ac:dyDescent="0.3">
      <c r="A560" t="s">
        <v>1088</v>
      </c>
      <c r="B560" s="1" t="s">
        <v>1112</v>
      </c>
      <c r="C560" s="9" t="s">
        <v>1113</v>
      </c>
      <c r="D560" s="1" t="s">
        <v>95</v>
      </c>
      <c r="E560" s="1" t="s">
        <v>128</v>
      </c>
      <c r="F560" s="10" t="s">
        <v>309</v>
      </c>
      <c r="G560" s="1">
        <v>0</v>
      </c>
      <c r="H560" s="1">
        <v>0.05</v>
      </c>
      <c r="I560" s="8">
        <v>0</v>
      </c>
      <c r="J560" s="6">
        <v>112493</v>
      </c>
      <c r="K560" s="6">
        <v>0</v>
      </c>
      <c r="L560" s="6">
        <v>5022.01</v>
      </c>
      <c r="M560" s="6">
        <v>0</v>
      </c>
      <c r="N560" s="7">
        <v>1004.4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6749.58</v>
      </c>
      <c r="U560" s="6">
        <v>6026.41</v>
      </c>
      <c r="V560" s="6">
        <v>0</v>
      </c>
      <c r="W560" s="6">
        <v>562.46</v>
      </c>
      <c r="AI560" s="2">
        <v>112493</v>
      </c>
      <c r="AJ560" s="2">
        <v>0</v>
      </c>
      <c r="AK560" s="2">
        <v>5022.01</v>
      </c>
      <c r="AL560" s="2">
        <v>0</v>
      </c>
      <c r="AM560" s="5">
        <v>1004.4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6749.58</v>
      </c>
      <c r="AT560" s="12">
        <v>6026.41</v>
      </c>
      <c r="AU560" s="2">
        <v>0</v>
      </c>
      <c r="AV560" s="5">
        <v>562.46</v>
      </c>
      <c r="BL560" s="1" t="s">
        <v>130</v>
      </c>
    </row>
    <row r="561" spans="1:64" x14ac:dyDescent="0.3">
      <c r="A561" t="s">
        <v>1088</v>
      </c>
      <c r="B561" s="1" t="s">
        <v>1114</v>
      </c>
      <c r="C561" s="9" t="s">
        <v>1115</v>
      </c>
      <c r="D561" s="1" t="s">
        <v>95</v>
      </c>
      <c r="E561" s="1" t="s">
        <v>128</v>
      </c>
      <c r="F561" s="10" t="s">
        <v>309</v>
      </c>
      <c r="G561" s="1">
        <v>0</v>
      </c>
      <c r="H561" s="1">
        <v>0.05</v>
      </c>
      <c r="I561" s="8">
        <v>0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0</v>
      </c>
      <c r="U561" s="6">
        <v>0</v>
      </c>
      <c r="V561" s="6">
        <v>0</v>
      </c>
      <c r="W561" s="6">
        <v>0</v>
      </c>
      <c r="AI561" s="2">
        <v>0</v>
      </c>
      <c r="AJ561" s="2">
        <v>0</v>
      </c>
      <c r="AK561" s="2">
        <v>0</v>
      </c>
      <c r="AL561" s="2">
        <v>0</v>
      </c>
      <c r="AM561" s="5">
        <v>0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0</v>
      </c>
      <c r="AT561" s="12">
        <v>0</v>
      </c>
      <c r="AU561" s="2">
        <v>0</v>
      </c>
      <c r="AV561" s="5">
        <v>0</v>
      </c>
      <c r="BL561" s="1" t="s">
        <v>130</v>
      </c>
    </row>
    <row r="562" spans="1:64" x14ac:dyDescent="0.3">
      <c r="A562" t="s">
        <v>1116</v>
      </c>
      <c r="B562" s="1" t="s">
        <v>1116</v>
      </c>
      <c r="C562" s="9" t="s">
        <v>1117</v>
      </c>
      <c r="D562" s="1" t="s">
        <v>95</v>
      </c>
      <c r="E562" s="1" t="s">
        <v>88</v>
      </c>
      <c r="F562" s="10" t="s">
        <v>534</v>
      </c>
      <c r="G562" s="1">
        <v>0</v>
      </c>
      <c r="H562" s="1">
        <v>0.05</v>
      </c>
      <c r="I562" s="8">
        <v>45004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589272.60000000009</v>
      </c>
      <c r="P562" s="6">
        <v>73431.899999999994</v>
      </c>
      <c r="Q562" s="6">
        <v>26306.81</v>
      </c>
      <c r="R562" s="6">
        <v>3278.21</v>
      </c>
      <c r="S562" s="7">
        <v>0</v>
      </c>
      <c r="T562" s="11">
        <v>33135.22</v>
      </c>
      <c r="U562" s="6">
        <v>29585.02</v>
      </c>
      <c r="V562" s="6">
        <v>0</v>
      </c>
      <c r="W562" s="6">
        <v>3313.52</v>
      </c>
      <c r="AI562" s="2">
        <v>0</v>
      </c>
      <c r="AJ562" s="2">
        <v>0</v>
      </c>
      <c r="AK562" s="2">
        <v>0</v>
      </c>
      <c r="AL562" s="2">
        <v>0</v>
      </c>
      <c r="AM562" s="5">
        <v>0</v>
      </c>
      <c r="AN562" s="12">
        <v>589272.60000000009</v>
      </c>
      <c r="AO562" s="2">
        <v>73431.899999999994</v>
      </c>
      <c r="AP562" s="2">
        <v>26306.81</v>
      </c>
      <c r="AQ562" s="2">
        <v>3278.21</v>
      </c>
      <c r="AR562" s="5">
        <v>0</v>
      </c>
      <c r="AS562" s="2">
        <v>33135.22</v>
      </c>
      <c r="AT562" s="12">
        <v>29585.02</v>
      </c>
      <c r="AU562" s="2">
        <v>0</v>
      </c>
      <c r="AV562" s="5">
        <v>3313.52</v>
      </c>
      <c r="BL562" s="1" t="s">
        <v>90</v>
      </c>
    </row>
    <row r="563" spans="1:64" x14ac:dyDescent="0.3">
      <c r="A563" t="s">
        <v>1118</v>
      </c>
      <c r="B563" s="1" t="s">
        <v>1118</v>
      </c>
      <c r="C563" s="9" t="s">
        <v>1119</v>
      </c>
      <c r="D563" s="1" t="s">
        <v>95</v>
      </c>
      <c r="E563" s="1" t="s">
        <v>135</v>
      </c>
      <c r="F563" s="10" t="s">
        <v>435</v>
      </c>
      <c r="G563" s="1">
        <v>0</v>
      </c>
      <c r="H563" s="1">
        <v>0.05</v>
      </c>
      <c r="I563" s="8">
        <v>44879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573654.30000000016</v>
      </c>
      <c r="P563" s="6">
        <v>46283.1</v>
      </c>
      <c r="Q563" s="6">
        <v>25609.57</v>
      </c>
      <c r="R563" s="6">
        <v>2066.21</v>
      </c>
      <c r="S563" s="7">
        <v>0</v>
      </c>
      <c r="T563" s="11">
        <v>30996.87</v>
      </c>
      <c r="U563" s="6">
        <v>27675.78</v>
      </c>
      <c r="V563" s="6">
        <v>0</v>
      </c>
      <c r="W563" s="6">
        <v>3099.69</v>
      </c>
      <c r="AI563" s="2">
        <v>0</v>
      </c>
      <c r="AJ563" s="2">
        <v>0</v>
      </c>
      <c r="AK563" s="2">
        <v>0</v>
      </c>
      <c r="AL563" s="2">
        <v>0</v>
      </c>
      <c r="AM563" s="5">
        <v>0</v>
      </c>
      <c r="AN563" s="12">
        <v>573654.30000000016</v>
      </c>
      <c r="AO563" s="2">
        <v>46283.1</v>
      </c>
      <c r="AP563" s="2">
        <v>25609.57</v>
      </c>
      <c r="AQ563" s="2">
        <v>2066.21</v>
      </c>
      <c r="AR563" s="5">
        <v>0</v>
      </c>
      <c r="AS563" s="2">
        <v>30996.87</v>
      </c>
      <c r="AT563" s="12">
        <v>27675.78</v>
      </c>
      <c r="AU563" s="2">
        <v>0</v>
      </c>
      <c r="AV563" s="5">
        <v>3099.69</v>
      </c>
      <c r="BL563" s="1" t="s">
        <v>137</v>
      </c>
    </row>
    <row r="564" spans="1:64" x14ac:dyDescent="0.3">
      <c r="A564" t="s">
        <v>1140</v>
      </c>
      <c r="B564" s="1" t="s">
        <v>1140</v>
      </c>
      <c r="C564" s="9" t="s">
        <v>1141</v>
      </c>
      <c r="D564" s="1" t="s">
        <v>95</v>
      </c>
      <c r="E564" s="1" t="s">
        <v>135</v>
      </c>
      <c r="F564" s="10" t="s">
        <v>136</v>
      </c>
      <c r="G564" s="1">
        <v>0</v>
      </c>
      <c r="H564" s="1">
        <v>0.05</v>
      </c>
      <c r="I564" s="8">
        <v>45123</v>
      </c>
      <c r="J564" s="6">
        <v>1087436</v>
      </c>
      <c r="K564" s="6">
        <v>134752</v>
      </c>
      <c r="L564" s="6">
        <v>48546.25</v>
      </c>
      <c r="M564" s="6">
        <v>6015.71</v>
      </c>
      <c r="N564" s="7">
        <v>10912.39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73331.27</v>
      </c>
      <c r="U564" s="6">
        <v>65474.35</v>
      </c>
      <c r="V564" s="6">
        <v>0</v>
      </c>
      <c r="W564" s="6">
        <v>6110.94</v>
      </c>
      <c r="AI564" s="2">
        <v>1087436</v>
      </c>
      <c r="AJ564" s="2">
        <v>134752</v>
      </c>
      <c r="AK564" s="2">
        <v>48546.25</v>
      </c>
      <c r="AL564" s="2">
        <v>6015.71</v>
      </c>
      <c r="AM564" s="5">
        <v>10912.39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73331.27</v>
      </c>
      <c r="AT564" s="12">
        <v>65474.35</v>
      </c>
      <c r="AU564" s="2">
        <v>0</v>
      </c>
      <c r="AV564" s="5">
        <v>6110.94</v>
      </c>
      <c r="BL564" s="1" t="s">
        <v>137</v>
      </c>
    </row>
    <row r="565" spans="1:64" x14ac:dyDescent="0.3">
      <c r="A565" t="s">
        <v>1142</v>
      </c>
      <c r="B565" s="1" t="s">
        <v>1142</v>
      </c>
      <c r="C565" s="9" t="s">
        <v>1143</v>
      </c>
      <c r="D565" s="1" t="s">
        <v>95</v>
      </c>
      <c r="E565" s="1" t="s">
        <v>135</v>
      </c>
      <c r="F565" s="10" t="s">
        <v>193</v>
      </c>
      <c r="G565" s="1">
        <v>0</v>
      </c>
      <c r="H565" s="1">
        <v>0.05</v>
      </c>
      <c r="I565" s="8">
        <v>44774</v>
      </c>
      <c r="J565" s="6">
        <v>296399</v>
      </c>
      <c r="K565" s="6">
        <v>56211</v>
      </c>
      <c r="L565" s="6">
        <v>13232.1</v>
      </c>
      <c r="M565" s="6">
        <v>2509.42</v>
      </c>
      <c r="N565" s="7">
        <v>3148.3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21156.6</v>
      </c>
      <c r="U565" s="6">
        <v>18889.82</v>
      </c>
      <c r="V565" s="6">
        <v>0</v>
      </c>
      <c r="W565" s="6">
        <v>1763.05</v>
      </c>
      <c r="AI565" s="2">
        <v>296399</v>
      </c>
      <c r="AJ565" s="2">
        <v>56211</v>
      </c>
      <c r="AK565" s="2">
        <v>13232.1</v>
      </c>
      <c r="AL565" s="2">
        <v>2509.42</v>
      </c>
      <c r="AM565" s="5">
        <v>3148.3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21156.6</v>
      </c>
      <c r="AT565" s="12">
        <v>18889.82</v>
      </c>
      <c r="AU565" s="2">
        <v>0</v>
      </c>
      <c r="AV565" s="5">
        <v>1763.05</v>
      </c>
      <c r="BL565" s="1" t="s">
        <v>137</v>
      </c>
    </row>
    <row r="566" spans="1:64" x14ac:dyDescent="0.3">
      <c r="A566" t="s">
        <v>1144</v>
      </c>
      <c r="B566" s="1" t="s">
        <v>1144</v>
      </c>
      <c r="C566" s="9" t="s">
        <v>1145</v>
      </c>
      <c r="D566" s="1" t="s">
        <v>95</v>
      </c>
      <c r="E566" s="1" t="s">
        <v>135</v>
      </c>
      <c r="F566" s="10" t="s">
        <v>193</v>
      </c>
      <c r="G566" s="1">
        <v>0</v>
      </c>
      <c r="H566" s="1">
        <v>0.05</v>
      </c>
      <c r="I566" s="8">
        <v>44774</v>
      </c>
      <c r="J566" s="6">
        <v>148304</v>
      </c>
      <c r="K566" s="6">
        <v>40239</v>
      </c>
      <c r="L566" s="6">
        <v>6620.71</v>
      </c>
      <c r="M566" s="6">
        <v>1796.38</v>
      </c>
      <c r="N566" s="7">
        <v>1683.42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11312.57</v>
      </c>
      <c r="U566" s="6">
        <v>10100.51</v>
      </c>
      <c r="V566" s="6">
        <v>0</v>
      </c>
      <c r="W566" s="6">
        <v>942.72</v>
      </c>
      <c r="AI566" s="2">
        <v>148304</v>
      </c>
      <c r="AJ566" s="2">
        <v>40239</v>
      </c>
      <c r="AK566" s="2">
        <v>6620.71</v>
      </c>
      <c r="AL566" s="2">
        <v>1796.38</v>
      </c>
      <c r="AM566" s="5">
        <v>1683.42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11312.57</v>
      </c>
      <c r="AT566" s="12">
        <v>10100.51</v>
      </c>
      <c r="AU566" s="2">
        <v>0</v>
      </c>
      <c r="AV566" s="5">
        <v>942.72</v>
      </c>
      <c r="BL566" s="1" t="s">
        <v>137</v>
      </c>
    </row>
    <row r="567" spans="1:64" x14ac:dyDescent="0.3">
      <c r="A567" t="s">
        <v>1144</v>
      </c>
      <c r="B567" s="1" t="s">
        <v>1146</v>
      </c>
      <c r="C567" s="9" t="s">
        <v>1147</v>
      </c>
      <c r="D567" s="1" t="s">
        <v>95</v>
      </c>
      <c r="E567" s="1" t="s">
        <v>135</v>
      </c>
      <c r="F567" s="10" t="s">
        <v>193</v>
      </c>
      <c r="G567" s="1">
        <v>0</v>
      </c>
      <c r="H567" s="1">
        <v>0.05</v>
      </c>
      <c r="I567" s="8">
        <v>44774</v>
      </c>
      <c r="J567" s="6">
        <v>313202</v>
      </c>
      <c r="K567" s="6">
        <v>62549</v>
      </c>
      <c r="L567" s="6">
        <v>13982.23</v>
      </c>
      <c r="M567" s="6">
        <v>2792.37</v>
      </c>
      <c r="N567" s="7">
        <v>3354.92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22545.06</v>
      </c>
      <c r="U567" s="6">
        <v>20129.519999999997</v>
      </c>
      <c r="V567" s="6">
        <v>0</v>
      </c>
      <c r="W567" s="6">
        <v>1878.76</v>
      </c>
      <c r="AI567" s="2">
        <v>313202</v>
      </c>
      <c r="AJ567" s="2">
        <v>62549</v>
      </c>
      <c r="AK567" s="2">
        <v>13982.23</v>
      </c>
      <c r="AL567" s="2">
        <v>2792.37</v>
      </c>
      <c r="AM567" s="5">
        <v>3354.92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22545.06</v>
      </c>
      <c r="AT567" s="12">
        <v>20129.519999999997</v>
      </c>
      <c r="AU567" s="2">
        <v>0</v>
      </c>
      <c r="AV567" s="5">
        <v>1878.76</v>
      </c>
      <c r="BL567" s="1" t="s">
        <v>137</v>
      </c>
    </row>
    <row r="568" spans="1:64" x14ac:dyDescent="0.3">
      <c r="A568" t="s">
        <v>1144</v>
      </c>
      <c r="B568" s="1" t="s">
        <v>1148</v>
      </c>
      <c r="C568" s="9" t="s">
        <v>1149</v>
      </c>
      <c r="D568" s="1" t="s">
        <v>95</v>
      </c>
      <c r="E568" s="1" t="s">
        <v>135</v>
      </c>
      <c r="F568" s="10" t="s">
        <v>193</v>
      </c>
      <c r="G568" s="1">
        <v>0</v>
      </c>
      <c r="H568" s="1">
        <v>0.05</v>
      </c>
      <c r="I568" s="8">
        <v>44774</v>
      </c>
      <c r="J568" s="6">
        <v>148765</v>
      </c>
      <c r="K568" s="6">
        <v>29697</v>
      </c>
      <c r="L568" s="6">
        <v>6641.29</v>
      </c>
      <c r="M568" s="6">
        <v>1325.76</v>
      </c>
      <c r="N568" s="7">
        <v>1593.41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10707.72</v>
      </c>
      <c r="U568" s="6">
        <v>9560.4600000000009</v>
      </c>
      <c r="V568" s="6">
        <v>0</v>
      </c>
      <c r="W568" s="6">
        <v>892.31</v>
      </c>
      <c r="AI568" s="2">
        <v>148765</v>
      </c>
      <c r="AJ568" s="2">
        <v>29697</v>
      </c>
      <c r="AK568" s="2">
        <v>6641.29</v>
      </c>
      <c r="AL568" s="2">
        <v>1325.76</v>
      </c>
      <c r="AM568" s="5">
        <v>1593.41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10707.72</v>
      </c>
      <c r="AT568" s="12">
        <v>9560.4600000000009</v>
      </c>
      <c r="AU568" s="2">
        <v>0</v>
      </c>
      <c r="AV568" s="5">
        <v>892.31</v>
      </c>
      <c r="BL568" s="1" t="s">
        <v>137</v>
      </c>
    </row>
    <row r="569" spans="1:64" x14ac:dyDescent="0.3">
      <c r="A569" t="s">
        <v>1150</v>
      </c>
      <c r="B569" s="1" t="s">
        <v>1150</v>
      </c>
      <c r="C569" s="9" t="s">
        <v>1151</v>
      </c>
      <c r="D569" s="1" t="s">
        <v>95</v>
      </c>
      <c r="E569" s="1" t="s">
        <v>88</v>
      </c>
      <c r="F569" s="10" t="s">
        <v>534</v>
      </c>
      <c r="G569" s="1">
        <v>0</v>
      </c>
      <c r="H569" s="1">
        <v>0.05</v>
      </c>
      <c r="I569" s="8">
        <v>44638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523928.4</v>
      </c>
      <c r="P569" s="6">
        <v>42271.5</v>
      </c>
      <c r="Q569" s="6">
        <v>23389.66</v>
      </c>
      <c r="R569" s="6">
        <v>1887.12</v>
      </c>
      <c r="S569" s="7">
        <v>0</v>
      </c>
      <c r="T569" s="11">
        <v>28309.99</v>
      </c>
      <c r="U569" s="6">
        <v>25276.78</v>
      </c>
      <c r="V569" s="6">
        <v>0</v>
      </c>
      <c r="W569" s="6">
        <v>2831</v>
      </c>
      <c r="AI569" s="2">
        <v>0</v>
      </c>
      <c r="AJ569" s="2">
        <v>0</v>
      </c>
      <c r="AK569" s="2">
        <v>0</v>
      </c>
      <c r="AL569" s="2">
        <v>0</v>
      </c>
      <c r="AM569" s="5">
        <v>0</v>
      </c>
      <c r="AN569" s="12">
        <v>523928.4</v>
      </c>
      <c r="AO569" s="2">
        <v>42271.5</v>
      </c>
      <c r="AP569" s="2">
        <v>23389.66</v>
      </c>
      <c r="AQ569" s="2">
        <v>1887.12</v>
      </c>
      <c r="AR569" s="5">
        <v>0</v>
      </c>
      <c r="AS569" s="2">
        <v>28309.99</v>
      </c>
      <c r="AT569" s="12">
        <v>25276.78</v>
      </c>
      <c r="AU569" s="2">
        <v>0</v>
      </c>
      <c r="AV569" s="5">
        <v>2831</v>
      </c>
      <c r="BL569" s="1" t="s">
        <v>90</v>
      </c>
    </row>
    <row r="570" spans="1:64" x14ac:dyDescent="0.3">
      <c r="A570" t="s">
        <v>1156</v>
      </c>
      <c r="B570" s="1" t="s">
        <v>1156</v>
      </c>
      <c r="C570" s="9" t="s">
        <v>1157</v>
      </c>
      <c r="D570" s="1" t="s">
        <v>95</v>
      </c>
      <c r="E570" s="1" t="s">
        <v>135</v>
      </c>
      <c r="F570" s="10" t="s">
        <v>435</v>
      </c>
      <c r="G570" s="1">
        <v>0</v>
      </c>
      <c r="H570" s="1">
        <v>0.05</v>
      </c>
      <c r="I570" s="8">
        <v>44942</v>
      </c>
      <c r="J570" s="6">
        <v>394776</v>
      </c>
      <c r="K570" s="6">
        <v>62420</v>
      </c>
      <c r="L570" s="6">
        <v>17623.93</v>
      </c>
      <c r="M570" s="6">
        <v>2786.61</v>
      </c>
      <c r="N570" s="7">
        <v>4082.11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27431.77</v>
      </c>
      <c r="U570" s="6">
        <v>24492.65</v>
      </c>
      <c r="V570" s="6">
        <v>0</v>
      </c>
      <c r="W570" s="6">
        <v>2285.98</v>
      </c>
      <c r="AI570" s="2">
        <v>394776</v>
      </c>
      <c r="AJ570" s="2">
        <v>62420</v>
      </c>
      <c r="AK570" s="2">
        <v>17623.93</v>
      </c>
      <c r="AL570" s="2">
        <v>2786.61</v>
      </c>
      <c r="AM570" s="5">
        <v>4082.11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27431.77</v>
      </c>
      <c r="AT570" s="12">
        <v>24492.65</v>
      </c>
      <c r="AU570" s="2">
        <v>0</v>
      </c>
      <c r="AV570" s="5">
        <v>2285.98</v>
      </c>
      <c r="BL570" s="1" t="s">
        <v>137</v>
      </c>
    </row>
    <row r="571" spans="1:64" x14ac:dyDescent="0.3">
      <c r="A571" t="s">
        <v>1158</v>
      </c>
      <c r="B571" s="1" t="s">
        <v>1158</v>
      </c>
      <c r="C571" s="9" t="s">
        <v>1159</v>
      </c>
      <c r="D571" s="1" t="s">
        <v>95</v>
      </c>
      <c r="E571" s="1" t="s">
        <v>135</v>
      </c>
      <c r="F571" s="10" t="s">
        <v>193</v>
      </c>
      <c r="G571" s="1">
        <v>0</v>
      </c>
      <c r="H571" s="1">
        <v>0.05</v>
      </c>
      <c r="I571" s="8">
        <v>44948</v>
      </c>
      <c r="J571" s="6">
        <v>298480.5</v>
      </c>
      <c r="K571" s="6">
        <v>60429</v>
      </c>
      <c r="L571" s="6">
        <v>13325.03</v>
      </c>
      <c r="M571" s="6">
        <v>2697.72</v>
      </c>
      <c r="N571" s="7">
        <v>3204.55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  <c r="T571" s="11">
        <v>21534.58</v>
      </c>
      <c r="U571" s="6">
        <v>19227.3</v>
      </c>
      <c r="V571" s="6">
        <v>0</v>
      </c>
      <c r="W571" s="6">
        <v>1794.55</v>
      </c>
      <c r="AI571" s="2">
        <v>298480.5</v>
      </c>
      <c r="AJ571" s="2">
        <v>60429</v>
      </c>
      <c r="AK571" s="2">
        <v>13325.03</v>
      </c>
      <c r="AL571" s="2">
        <v>2697.72</v>
      </c>
      <c r="AM571" s="5">
        <v>3204.55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21534.58</v>
      </c>
      <c r="AT571" s="12">
        <v>19227.3</v>
      </c>
      <c r="AU571" s="2">
        <v>0</v>
      </c>
      <c r="AV571" s="5">
        <v>1794.55</v>
      </c>
      <c r="BL571" s="1" t="s">
        <v>137</v>
      </c>
    </row>
    <row r="572" spans="1:64" x14ac:dyDescent="0.3">
      <c r="A572" t="s">
        <v>1160</v>
      </c>
      <c r="B572" s="1" t="s">
        <v>1160</v>
      </c>
      <c r="C572" s="9" t="s">
        <v>1161</v>
      </c>
      <c r="D572" s="1" t="s">
        <v>95</v>
      </c>
      <c r="E572" s="1" t="s">
        <v>135</v>
      </c>
      <c r="F572" s="10" t="s">
        <v>435</v>
      </c>
      <c r="G572" s="1">
        <v>0</v>
      </c>
      <c r="H572" s="1">
        <v>0.05</v>
      </c>
      <c r="I572" s="8">
        <v>44040</v>
      </c>
      <c r="J572" s="6">
        <v>1022634</v>
      </c>
      <c r="K572" s="6">
        <v>113679</v>
      </c>
      <c r="L572" s="6">
        <v>45653.3</v>
      </c>
      <c r="M572" s="6">
        <v>5074.96</v>
      </c>
      <c r="N572" s="7">
        <v>10145.65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68178.78</v>
      </c>
      <c r="U572" s="6">
        <v>60873.91</v>
      </c>
      <c r="V572" s="6">
        <v>0</v>
      </c>
      <c r="W572" s="6">
        <v>5681.56</v>
      </c>
      <c r="AI572" s="2">
        <v>1022634</v>
      </c>
      <c r="AJ572" s="2">
        <v>113679</v>
      </c>
      <c r="AK572" s="2">
        <v>45653.3</v>
      </c>
      <c r="AL572" s="2">
        <v>5074.96</v>
      </c>
      <c r="AM572" s="5">
        <v>10145.65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68178.78</v>
      </c>
      <c r="AT572" s="12">
        <v>60873.91</v>
      </c>
      <c r="AU572" s="2">
        <v>0</v>
      </c>
      <c r="AV572" s="5">
        <v>5681.56</v>
      </c>
      <c r="BL572" s="1" t="s">
        <v>302</v>
      </c>
    </row>
    <row r="573" spans="1:64" x14ac:dyDescent="0.3">
      <c r="A573" t="s">
        <v>1162</v>
      </c>
      <c r="B573" s="1" t="s">
        <v>1162</v>
      </c>
      <c r="C573" s="9" t="s">
        <v>1163</v>
      </c>
      <c r="D573" s="1" t="s">
        <v>95</v>
      </c>
      <c r="E573" s="1" t="s">
        <v>135</v>
      </c>
      <c r="F573" s="10" t="s">
        <v>136</v>
      </c>
      <c r="G573" s="1">
        <v>0</v>
      </c>
      <c r="H573" s="1">
        <v>0.05</v>
      </c>
      <c r="I573" s="8">
        <v>44878</v>
      </c>
      <c r="J573" s="6">
        <v>1232128</v>
      </c>
      <c r="K573" s="6">
        <v>156216</v>
      </c>
      <c r="L573" s="6">
        <v>55005.71</v>
      </c>
      <c r="M573" s="6">
        <v>6973.93</v>
      </c>
      <c r="N573" s="7">
        <v>12395.93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83300.639999999999</v>
      </c>
      <c r="U573" s="6">
        <v>74375.570000000007</v>
      </c>
      <c r="V573" s="6">
        <v>0</v>
      </c>
      <c r="W573" s="6">
        <v>6941.72</v>
      </c>
      <c r="AI573" s="2">
        <v>1232128</v>
      </c>
      <c r="AJ573" s="2">
        <v>156216</v>
      </c>
      <c r="AK573" s="2">
        <v>55005.71</v>
      </c>
      <c r="AL573" s="2">
        <v>6973.93</v>
      </c>
      <c r="AM573" s="5">
        <v>12395.93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83300.639999999999</v>
      </c>
      <c r="AT573" s="12">
        <v>74375.570000000007</v>
      </c>
      <c r="AU573" s="2">
        <v>0</v>
      </c>
      <c r="AV573" s="5">
        <v>6941.72</v>
      </c>
      <c r="BL573" s="1" t="s">
        <v>302</v>
      </c>
    </row>
    <row r="574" spans="1:64" x14ac:dyDescent="0.3">
      <c r="A574" t="s">
        <v>1164</v>
      </c>
      <c r="B574" s="1" t="s">
        <v>1164</v>
      </c>
      <c r="C574" s="9" t="s">
        <v>1165</v>
      </c>
      <c r="D574" s="1" t="s">
        <v>95</v>
      </c>
      <c r="E574" s="1" t="s">
        <v>135</v>
      </c>
      <c r="F574" s="10" t="s">
        <v>193</v>
      </c>
      <c r="G574" s="1">
        <v>0</v>
      </c>
      <c r="H574" s="1">
        <v>0.05</v>
      </c>
      <c r="I574" s="8">
        <v>45000</v>
      </c>
      <c r="J574" s="6">
        <v>474345</v>
      </c>
      <c r="K574" s="6">
        <v>47725</v>
      </c>
      <c r="L574" s="6">
        <v>21176.12</v>
      </c>
      <c r="M574" s="6">
        <v>2130.58</v>
      </c>
      <c r="N574" s="7">
        <v>4661.34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31324.2</v>
      </c>
      <c r="U574" s="6">
        <v>27968.039999999997</v>
      </c>
      <c r="V574" s="6">
        <v>0</v>
      </c>
      <c r="W574" s="6">
        <v>2610.35</v>
      </c>
      <c r="AI574" s="2">
        <v>474345</v>
      </c>
      <c r="AJ574" s="2">
        <v>47725</v>
      </c>
      <c r="AK574" s="2">
        <v>21176.12</v>
      </c>
      <c r="AL574" s="2">
        <v>2130.58</v>
      </c>
      <c r="AM574" s="5">
        <v>4661.34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31324.2</v>
      </c>
      <c r="AT574" s="12">
        <v>27968.039999999997</v>
      </c>
      <c r="AU574" s="2">
        <v>0</v>
      </c>
      <c r="AV574" s="5">
        <v>2610.35</v>
      </c>
      <c r="BL574" s="1" t="s">
        <v>137</v>
      </c>
    </row>
    <row r="575" spans="1:64" x14ac:dyDescent="0.3">
      <c r="A575" t="s">
        <v>1168</v>
      </c>
      <c r="B575" s="1" t="s">
        <v>1168</v>
      </c>
      <c r="C575" s="9" t="s">
        <v>1169</v>
      </c>
      <c r="D575" s="1" t="s">
        <v>95</v>
      </c>
      <c r="E575" s="1" t="s">
        <v>88</v>
      </c>
      <c r="F575" s="10" t="s">
        <v>1170</v>
      </c>
      <c r="G575" s="1">
        <v>0</v>
      </c>
      <c r="H575" s="1">
        <v>0.05</v>
      </c>
      <c r="I575" s="8">
        <v>44915</v>
      </c>
      <c r="J575" s="6">
        <v>506190</v>
      </c>
      <c r="K575" s="6">
        <v>71119</v>
      </c>
      <c r="L575" s="6">
        <v>22597.77</v>
      </c>
      <c r="M575" s="6">
        <v>3174.96</v>
      </c>
      <c r="N575" s="7">
        <v>5154.54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34638.54</v>
      </c>
      <c r="U575" s="6">
        <v>30927.27</v>
      </c>
      <c r="V575" s="6">
        <v>0</v>
      </c>
      <c r="W575" s="6">
        <v>2886.54</v>
      </c>
      <c r="AI575" s="2">
        <v>506190</v>
      </c>
      <c r="AJ575" s="2">
        <v>71119</v>
      </c>
      <c r="AK575" s="2">
        <v>22597.77</v>
      </c>
      <c r="AL575" s="2">
        <v>3174.96</v>
      </c>
      <c r="AM575" s="5">
        <v>5154.54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34638.54</v>
      </c>
      <c r="AT575" s="12">
        <v>30927.27</v>
      </c>
      <c r="AU575" s="2">
        <v>0</v>
      </c>
      <c r="AV575" s="5">
        <v>2886.54</v>
      </c>
      <c r="BL575" s="1" t="s">
        <v>90</v>
      </c>
    </row>
    <row r="576" spans="1:64" x14ac:dyDescent="0.3">
      <c r="A576" t="s">
        <v>1168</v>
      </c>
      <c r="B576" s="1" t="s">
        <v>1171</v>
      </c>
      <c r="C576" s="9" t="s">
        <v>1172</v>
      </c>
      <c r="D576" s="1" t="s">
        <v>95</v>
      </c>
      <c r="E576" s="1" t="s">
        <v>88</v>
      </c>
      <c r="F576" s="10" t="s">
        <v>1170</v>
      </c>
      <c r="G576" s="1">
        <v>0</v>
      </c>
      <c r="H576" s="1">
        <v>0.05</v>
      </c>
      <c r="I576" s="8">
        <v>44952</v>
      </c>
      <c r="J576" s="6">
        <v>316943</v>
      </c>
      <c r="K576" s="6">
        <v>82010</v>
      </c>
      <c r="L576" s="6">
        <v>14149.24</v>
      </c>
      <c r="M576" s="6">
        <v>3661.16</v>
      </c>
      <c r="N576" s="7">
        <v>3562.08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23937.18</v>
      </c>
      <c r="U576" s="6">
        <v>21372.480000000003</v>
      </c>
      <c r="V576" s="6">
        <v>0</v>
      </c>
      <c r="W576" s="6">
        <v>1994.76</v>
      </c>
      <c r="AI576" s="2">
        <v>316943</v>
      </c>
      <c r="AJ576" s="2">
        <v>82010</v>
      </c>
      <c r="AK576" s="2">
        <v>14149.24</v>
      </c>
      <c r="AL576" s="2">
        <v>3661.16</v>
      </c>
      <c r="AM576" s="5">
        <v>3562.08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23937.18</v>
      </c>
      <c r="AT576" s="12">
        <v>21372.480000000003</v>
      </c>
      <c r="AU576" s="2">
        <v>0</v>
      </c>
      <c r="AV576" s="5">
        <v>1994.76</v>
      </c>
      <c r="BL576" s="1" t="s">
        <v>90</v>
      </c>
    </row>
    <row r="577" spans="1:64" x14ac:dyDescent="0.3">
      <c r="A577" t="s">
        <v>1175</v>
      </c>
      <c r="B577" s="1" t="s">
        <v>1175</v>
      </c>
      <c r="C577" s="9" t="s">
        <v>1176</v>
      </c>
      <c r="D577" s="1" t="s">
        <v>95</v>
      </c>
      <c r="E577" s="1" t="s">
        <v>135</v>
      </c>
      <c r="F577" s="10" t="s">
        <v>485</v>
      </c>
      <c r="G577" s="1">
        <v>0</v>
      </c>
      <c r="H577" s="1">
        <v>0.05</v>
      </c>
      <c r="I577" s="8">
        <v>0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0</v>
      </c>
      <c r="U577" s="6">
        <v>0</v>
      </c>
      <c r="V577" s="6">
        <v>0</v>
      </c>
      <c r="W577" s="6">
        <v>0</v>
      </c>
      <c r="AI577" s="2">
        <v>0</v>
      </c>
      <c r="AJ577" s="2">
        <v>0</v>
      </c>
      <c r="AK577" s="2">
        <v>0</v>
      </c>
      <c r="AL577" s="2">
        <v>0</v>
      </c>
      <c r="AM577" s="5">
        <v>0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0</v>
      </c>
      <c r="AT577" s="12">
        <v>0</v>
      </c>
      <c r="AU577" s="2">
        <v>0</v>
      </c>
      <c r="AV577" s="5">
        <v>0</v>
      </c>
      <c r="BL577" s="1" t="s">
        <v>302</v>
      </c>
    </row>
    <row r="578" spans="1:64" x14ac:dyDescent="0.3">
      <c r="A578" t="s">
        <v>1177</v>
      </c>
      <c r="B578" s="1" t="s">
        <v>1177</v>
      </c>
      <c r="C578" s="9" t="s">
        <v>1178</v>
      </c>
      <c r="D578" s="1" t="s">
        <v>95</v>
      </c>
      <c r="E578" s="1" t="s">
        <v>135</v>
      </c>
      <c r="F578" s="10" t="s">
        <v>435</v>
      </c>
      <c r="G578" s="1">
        <v>0</v>
      </c>
      <c r="H578" s="1">
        <v>0.05</v>
      </c>
      <c r="I578" s="8">
        <v>44948</v>
      </c>
      <c r="J578" s="6">
        <v>0</v>
      </c>
      <c r="K578" s="6">
        <v>0</v>
      </c>
      <c r="L578" s="6">
        <v>0</v>
      </c>
      <c r="M578" s="6">
        <v>0</v>
      </c>
      <c r="N578" s="7">
        <v>0</v>
      </c>
      <c r="O578" s="6">
        <v>616506.89999999991</v>
      </c>
      <c r="P578" s="6">
        <v>56328.3</v>
      </c>
      <c r="Q578" s="6">
        <v>27522.62</v>
      </c>
      <c r="R578" s="6">
        <v>2514.66</v>
      </c>
      <c r="S578" s="7">
        <v>0</v>
      </c>
      <c r="T578" s="11">
        <v>33641.75</v>
      </c>
      <c r="U578" s="6">
        <v>30037.279999999999</v>
      </c>
      <c r="V578" s="6">
        <v>0</v>
      </c>
      <c r="W578" s="6">
        <v>3364.18</v>
      </c>
      <c r="AI578" s="2">
        <v>0</v>
      </c>
      <c r="AJ578" s="2">
        <v>0</v>
      </c>
      <c r="AK578" s="2">
        <v>0</v>
      </c>
      <c r="AL578" s="2">
        <v>0</v>
      </c>
      <c r="AM578" s="5">
        <v>0</v>
      </c>
      <c r="AN578" s="12">
        <v>616506.89999999991</v>
      </c>
      <c r="AO578" s="2">
        <v>56328.3</v>
      </c>
      <c r="AP578" s="2">
        <v>27522.62</v>
      </c>
      <c r="AQ578" s="2">
        <v>2514.66</v>
      </c>
      <c r="AR578" s="5">
        <v>0</v>
      </c>
      <c r="AS578" s="2">
        <v>33641.75</v>
      </c>
      <c r="AT578" s="12">
        <v>30037.279999999999</v>
      </c>
      <c r="AU578" s="2">
        <v>0</v>
      </c>
      <c r="AV578" s="5">
        <v>3364.18</v>
      </c>
      <c r="BL578" s="1" t="s">
        <v>137</v>
      </c>
    </row>
    <row r="579" spans="1:64" x14ac:dyDescent="0.3">
      <c r="A579" t="s">
        <v>1179</v>
      </c>
      <c r="B579" s="1" t="s">
        <v>1179</v>
      </c>
      <c r="C579" s="9" t="s">
        <v>1180</v>
      </c>
      <c r="D579" s="1" t="s">
        <v>95</v>
      </c>
      <c r="E579" s="1" t="s">
        <v>135</v>
      </c>
      <c r="F579" s="10" t="s">
        <v>435</v>
      </c>
      <c r="G579" s="1">
        <v>0</v>
      </c>
      <c r="H579" s="1">
        <v>0.05</v>
      </c>
      <c r="I579" s="8">
        <v>45007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611152.5</v>
      </c>
      <c r="P579" s="6">
        <v>67696.5</v>
      </c>
      <c r="Q579" s="6">
        <v>27283.59</v>
      </c>
      <c r="R579" s="6">
        <v>3022.16</v>
      </c>
      <c r="S579" s="7">
        <v>0</v>
      </c>
      <c r="T579" s="11">
        <v>33942.44</v>
      </c>
      <c r="U579" s="6">
        <v>30305.75</v>
      </c>
      <c r="V579" s="6">
        <v>0</v>
      </c>
      <c r="W579" s="6">
        <v>3394.24</v>
      </c>
      <c r="AI579" s="2">
        <v>0</v>
      </c>
      <c r="AJ579" s="2">
        <v>0</v>
      </c>
      <c r="AK579" s="2">
        <v>0</v>
      </c>
      <c r="AL579" s="2">
        <v>0</v>
      </c>
      <c r="AM579" s="5">
        <v>0</v>
      </c>
      <c r="AN579" s="12">
        <v>611152.5</v>
      </c>
      <c r="AO579" s="2">
        <v>67696.5</v>
      </c>
      <c r="AP579" s="2">
        <v>27283.59</v>
      </c>
      <c r="AQ579" s="2">
        <v>3022.16</v>
      </c>
      <c r="AR579" s="5">
        <v>0</v>
      </c>
      <c r="AS579" s="2">
        <v>33942.44</v>
      </c>
      <c r="AT579" s="12">
        <v>30305.75</v>
      </c>
      <c r="AU579" s="2">
        <v>0</v>
      </c>
      <c r="AV579" s="5">
        <v>3394.24</v>
      </c>
      <c r="BL579" s="1" t="s">
        <v>137</v>
      </c>
    </row>
    <row r="580" spans="1:64" x14ac:dyDescent="0.3">
      <c r="A580" t="s">
        <v>1181</v>
      </c>
      <c r="B580" s="1" t="s">
        <v>1181</v>
      </c>
      <c r="C580" s="9" t="s">
        <v>1182</v>
      </c>
      <c r="D580" s="1" t="s">
        <v>95</v>
      </c>
      <c r="E580" s="1" t="s">
        <v>128</v>
      </c>
      <c r="F580" s="10" t="s">
        <v>309</v>
      </c>
      <c r="G580" s="1">
        <v>0</v>
      </c>
      <c r="H580" s="1">
        <v>0.05</v>
      </c>
      <c r="I580" s="8">
        <v>45092</v>
      </c>
      <c r="J580" s="6">
        <v>302016</v>
      </c>
      <c r="K580" s="6">
        <v>12390</v>
      </c>
      <c r="L580" s="6">
        <v>13482.86</v>
      </c>
      <c r="M580" s="6">
        <v>553.12</v>
      </c>
      <c r="N580" s="7">
        <v>2807.2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18864.36</v>
      </c>
      <c r="U580" s="6">
        <v>16843.18</v>
      </c>
      <c r="V580" s="6">
        <v>0</v>
      </c>
      <c r="W580" s="6">
        <v>1572.03</v>
      </c>
      <c r="AI580" s="2">
        <v>302016</v>
      </c>
      <c r="AJ580" s="2">
        <v>12390</v>
      </c>
      <c r="AK580" s="2">
        <v>13482.86</v>
      </c>
      <c r="AL580" s="2">
        <v>553.12</v>
      </c>
      <c r="AM580" s="5">
        <v>2807.2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18864.36</v>
      </c>
      <c r="AT580" s="12">
        <v>16843.18</v>
      </c>
      <c r="AU580" s="2">
        <v>0</v>
      </c>
      <c r="AV580" s="5">
        <v>1572.03</v>
      </c>
      <c r="BL580" s="1" t="s">
        <v>130</v>
      </c>
    </row>
    <row r="581" spans="1:64" x14ac:dyDescent="0.3">
      <c r="A581" t="s">
        <v>1183</v>
      </c>
      <c r="B581" s="1" t="s">
        <v>1183</v>
      </c>
      <c r="C581" s="9" t="s">
        <v>1184</v>
      </c>
      <c r="D581" s="1" t="s">
        <v>95</v>
      </c>
      <c r="E581" s="1" t="s">
        <v>135</v>
      </c>
      <c r="F581" s="10" t="s">
        <v>136</v>
      </c>
      <c r="G581" s="1">
        <v>0</v>
      </c>
      <c r="H581" s="1">
        <v>0.05</v>
      </c>
      <c r="I581" s="8">
        <v>44944</v>
      </c>
      <c r="J581" s="6">
        <v>784052</v>
      </c>
      <c r="K581" s="6">
        <v>112600</v>
      </c>
      <c r="L581" s="6">
        <v>35002.32</v>
      </c>
      <c r="M581" s="6">
        <v>5026.79</v>
      </c>
      <c r="N581" s="7">
        <v>8005.82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53799.12</v>
      </c>
      <c r="U581" s="6">
        <v>48034.93</v>
      </c>
      <c r="V581" s="6">
        <v>0</v>
      </c>
      <c r="W581" s="6">
        <v>4483.26</v>
      </c>
      <c r="AI581" s="2">
        <v>784052</v>
      </c>
      <c r="AJ581" s="2">
        <v>112600</v>
      </c>
      <c r="AK581" s="2">
        <v>35002.32</v>
      </c>
      <c r="AL581" s="2">
        <v>5026.79</v>
      </c>
      <c r="AM581" s="5">
        <v>8005.82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53799.12</v>
      </c>
      <c r="AT581" s="12">
        <v>48034.93</v>
      </c>
      <c r="AU581" s="2">
        <v>0</v>
      </c>
      <c r="AV581" s="5">
        <v>4483.26</v>
      </c>
      <c r="BL581" s="1" t="s">
        <v>137</v>
      </c>
    </row>
    <row r="582" spans="1:64" x14ac:dyDescent="0.3">
      <c r="A582" t="s">
        <v>1207</v>
      </c>
      <c r="B582" s="1" t="s">
        <v>1208</v>
      </c>
      <c r="C582" s="9" t="s">
        <v>1209</v>
      </c>
      <c r="D582" s="1" t="s">
        <v>95</v>
      </c>
      <c r="E582" s="1" t="s">
        <v>135</v>
      </c>
      <c r="F582" s="10" t="s">
        <v>136</v>
      </c>
      <c r="G582" s="1">
        <v>4.4999999999999998E-2</v>
      </c>
      <c r="H582" s="1">
        <v>0.05</v>
      </c>
      <c r="I582" s="8">
        <v>44441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377829.60000000003</v>
      </c>
      <c r="P582" s="6">
        <v>79964.100000000006</v>
      </c>
      <c r="Q582" s="6">
        <v>16867.39</v>
      </c>
      <c r="R582" s="6">
        <v>3569.83</v>
      </c>
      <c r="S582" s="7">
        <v>4087.45</v>
      </c>
      <c r="T582" s="11">
        <v>27467.63</v>
      </c>
      <c r="U582" s="6">
        <v>24524.670000000002</v>
      </c>
      <c r="V582" s="6">
        <v>0</v>
      </c>
      <c r="W582" s="6">
        <v>2288.9699999999998</v>
      </c>
      <c r="AI582" s="2">
        <v>0</v>
      </c>
      <c r="AJ582" s="2">
        <v>0</v>
      </c>
      <c r="AK582" s="2">
        <v>0</v>
      </c>
      <c r="AL582" s="2">
        <v>0</v>
      </c>
      <c r="AM582" s="5">
        <v>0</v>
      </c>
      <c r="AN582" s="12">
        <v>377829.60000000003</v>
      </c>
      <c r="AO582" s="2">
        <v>79964.100000000006</v>
      </c>
      <c r="AP582" s="2">
        <v>16867.39</v>
      </c>
      <c r="AQ582" s="2">
        <v>3569.83</v>
      </c>
      <c r="AR582" s="5">
        <v>4087.45</v>
      </c>
      <c r="AS582" s="2">
        <v>27467.63</v>
      </c>
      <c r="AT582" s="12">
        <v>24524.670000000002</v>
      </c>
      <c r="AU582" s="2">
        <v>0</v>
      </c>
      <c r="AV582" s="5">
        <v>2288.9699999999998</v>
      </c>
      <c r="BL582" s="1" t="s">
        <v>137</v>
      </c>
    </row>
    <row r="583" spans="1:64" x14ac:dyDescent="0.3">
      <c r="A583" t="s">
        <v>1207</v>
      </c>
      <c r="B583" s="1" t="s">
        <v>1207</v>
      </c>
      <c r="C583" s="9" t="s">
        <v>1210</v>
      </c>
      <c r="D583" s="1" t="s">
        <v>95</v>
      </c>
      <c r="E583" s="1" t="s">
        <v>135</v>
      </c>
      <c r="F583" s="10" t="s">
        <v>136</v>
      </c>
      <c r="G583" s="1">
        <v>0.04</v>
      </c>
      <c r="H583" s="1">
        <v>0.05</v>
      </c>
      <c r="I583" s="8">
        <v>44441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472955.39999999997</v>
      </c>
      <c r="P583" s="6">
        <v>50625.599999999999</v>
      </c>
      <c r="Q583" s="6">
        <v>21114.080000000002</v>
      </c>
      <c r="R583" s="6">
        <v>2260.0700000000002</v>
      </c>
      <c r="S583" s="7">
        <v>4674.83</v>
      </c>
      <c r="T583" s="11">
        <v>31414.86</v>
      </c>
      <c r="U583" s="6">
        <v>28048.980000000003</v>
      </c>
      <c r="V583" s="6">
        <v>0</v>
      </c>
      <c r="W583" s="6">
        <v>2617.9</v>
      </c>
      <c r="AI583" s="2">
        <v>0</v>
      </c>
      <c r="AJ583" s="2">
        <v>0</v>
      </c>
      <c r="AK583" s="2">
        <v>0</v>
      </c>
      <c r="AL583" s="2">
        <v>0</v>
      </c>
      <c r="AM583" s="5">
        <v>0</v>
      </c>
      <c r="AN583" s="12">
        <v>472955.39999999997</v>
      </c>
      <c r="AO583" s="2">
        <v>50625.599999999999</v>
      </c>
      <c r="AP583" s="2">
        <v>21114.080000000002</v>
      </c>
      <c r="AQ583" s="2">
        <v>2260.0700000000002</v>
      </c>
      <c r="AR583" s="5">
        <v>4674.83</v>
      </c>
      <c r="AS583" s="2">
        <v>31414.86</v>
      </c>
      <c r="AT583" s="12">
        <v>28048.980000000003</v>
      </c>
      <c r="AU583" s="2">
        <v>0</v>
      </c>
      <c r="AV583" s="5">
        <v>2617.9</v>
      </c>
      <c r="BL583" s="1" t="s">
        <v>137</v>
      </c>
    </row>
    <row r="584" spans="1:64" x14ac:dyDescent="0.3">
      <c r="A584" t="s">
        <v>1211</v>
      </c>
      <c r="B584" s="1" t="s">
        <v>1211</v>
      </c>
      <c r="C584" s="9" t="s">
        <v>1212</v>
      </c>
      <c r="D584" s="1" t="s">
        <v>95</v>
      </c>
      <c r="E584" s="1" t="s">
        <v>128</v>
      </c>
      <c r="F584" s="10" t="s">
        <v>988</v>
      </c>
      <c r="G584" s="1">
        <v>4.4999999999999998E-2</v>
      </c>
      <c r="H584" s="1">
        <v>0.05</v>
      </c>
      <c r="I584" s="8">
        <v>44956</v>
      </c>
      <c r="J584" s="6">
        <v>119038</v>
      </c>
      <c r="K584" s="6">
        <v>21945</v>
      </c>
      <c r="L584" s="6">
        <v>5314.2</v>
      </c>
      <c r="M584" s="6">
        <v>979.69</v>
      </c>
      <c r="N584" s="7">
        <v>1258.78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8458.99</v>
      </c>
      <c r="U584" s="6">
        <v>7552.6699999999992</v>
      </c>
      <c r="V584" s="6">
        <v>0</v>
      </c>
      <c r="W584" s="6">
        <v>704.92</v>
      </c>
      <c r="AI584" s="2">
        <v>119038</v>
      </c>
      <c r="AJ584" s="2">
        <v>21945</v>
      </c>
      <c r="AK584" s="2">
        <v>5314.2</v>
      </c>
      <c r="AL584" s="2">
        <v>979.69</v>
      </c>
      <c r="AM584" s="5">
        <v>1258.78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8458.99</v>
      </c>
      <c r="AT584" s="12">
        <v>7552.6699999999992</v>
      </c>
      <c r="AU584" s="2">
        <v>0</v>
      </c>
      <c r="AV584" s="5">
        <v>704.92</v>
      </c>
      <c r="BL584" s="1" t="s">
        <v>130</v>
      </c>
    </row>
    <row r="585" spans="1:64" x14ac:dyDescent="0.3">
      <c r="A585" t="s">
        <v>1211</v>
      </c>
      <c r="B585" s="1" t="s">
        <v>1213</v>
      </c>
      <c r="C585" s="9" t="s">
        <v>1214</v>
      </c>
      <c r="D585" s="1" t="s">
        <v>95</v>
      </c>
      <c r="E585" s="1" t="s">
        <v>128</v>
      </c>
      <c r="F585" s="10" t="s">
        <v>988</v>
      </c>
      <c r="G585" s="1">
        <v>0</v>
      </c>
      <c r="H585" s="1">
        <v>0.05</v>
      </c>
      <c r="I585" s="8">
        <v>45147</v>
      </c>
      <c r="J585" s="6">
        <v>26485</v>
      </c>
      <c r="K585" s="6">
        <v>910</v>
      </c>
      <c r="L585" s="6">
        <v>1182.3699999999999</v>
      </c>
      <c r="M585" s="6">
        <v>40.619999999999997</v>
      </c>
      <c r="N585" s="7">
        <v>244.6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1643.7</v>
      </c>
      <c r="U585" s="6">
        <v>1467.5899999999997</v>
      </c>
      <c r="V585" s="6">
        <v>0</v>
      </c>
      <c r="W585" s="6">
        <v>136.97999999999999</v>
      </c>
      <c r="AI585" s="2">
        <v>26485</v>
      </c>
      <c r="AJ585" s="2">
        <v>910</v>
      </c>
      <c r="AK585" s="2">
        <v>1182.3699999999999</v>
      </c>
      <c r="AL585" s="2">
        <v>40.619999999999997</v>
      </c>
      <c r="AM585" s="5">
        <v>244.6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1643.7</v>
      </c>
      <c r="AT585" s="12">
        <v>1467.5899999999997</v>
      </c>
      <c r="AU585" s="2">
        <v>0</v>
      </c>
      <c r="AV585" s="5">
        <v>136.97999999999999</v>
      </c>
      <c r="BL585" s="1" t="s">
        <v>130</v>
      </c>
    </row>
    <row r="586" spans="1:64" x14ac:dyDescent="0.3">
      <c r="A586" t="s">
        <v>1211</v>
      </c>
      <c r="B586" s="1" t="s">
        <v>1215</v>
      </c>
      <c r="C586" s="9" t="s">
        <v>1216</v>
      </c>
      <c r="D586" s="1" t="s">
        <v>95</v>
      </c>
      <c r="E586" s="1" t="s">
        <v>128</v>
      </c>
      <c r="F586" s="10" t="s">
        <v>988</v>
      </c>
      <c r="G586" s="1">
        <v>0</v>
      </c>
      <c r="H586" s="1">
        <v>0.05</v>
      </c>
      <c r="I586" s="8">
        <v>45549</v>
      </c>
      <c r="J586" s="6">
        <v>120989</v>
      </c>
      <c r="K586" s="6">
        <v>435</v>
      </c>
      <c r="L586" s="6">
        <v>5401.29</v>
      </c>
      <c r="M586" s="6">
        <v>19.420000000000002</v>
      </c>
      <c r="N586" s="7">
        <v>1084.1400000000001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7285.43</v>
      </c>
      <c r="U586" s="6">
        <v>6504.85</v>
      </c>
      <c r="V586" s="6">
        <v>0</v>
      </c>
      <c r="W586" s="6">
        <v>607.12</v>
      </c>
      <c r="AI586" s="2">
        <v>120989</v>
      </c>
      <c r="AJ586" s="2">
        <v>435</v>
      </c>
      <c r="AK586" s="2">
        <v>5401.29</v>
      </c>
      <c r="AL586" s="2">
        <v>19.420000000000002</v>
      </c>
      <c r="AM586" s="5">
        <v>1084.1400000000001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7285.43</v>
      </c>
      <c r="AT586" s="12">
        <v>6504.85</v>
      </c>
      <c r="AU586" s="2">
        <v>0</v>
      </c>
      <c r="AV586" s="5">
        <v>607.12</v>
      </c>
      <c r="BL586" s="1" t="s">
        <v>130</v>
      </c>
    </row>
    <row r="587" spans="1:64" x14ac:dyDescent="0.3">
      <c r="A587" t="s">
        <v>1221</v>
      </c>
      <c r="B587" s="1" t="s">
        <v>1222</v>
      </c>
      <c r="C587" s="9" t="s">
        <v>1223</v>
      </c>
      <c r="D587" s="1" t="s">
        <v>95</v>
      </c>
      <c r="E587" s="1" t="s">
        <v>128</v>
      </c>
      <c r="F587" s="10" t="s">
        <v>988</v>
      </c>
      <c r="G587" s="1">
        <v>0</v>
      </c>
      <c r="H587" s="1">
        <v>0.05</v>
      </c>
      <c r="I587" s="8">
        <v>43972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163933.80000000002</v>
      </c>
      <c r="P587" s="6">
        <v>10354.500000000002</v>
      </c>
      <c r="Q587" s="6">
        <v>7318.47</v>
      </c>
      <c r="R587" s="6">
        <v>462.26</v>
      </c>
      <c r="S587" s="7">
        <v>0</v>
      </c>
      <c r="T587" s="11">
        <v>8714.42</v>
      </c>
      <c r="U587" s="6">
        <v>7780.7300000000005</v>
      </c>
      <c r="V587" s="6">
        <v>0</v>
      </c>
      <c r="W587" s="6">
        <v>871.44</v>
      </c>
      <c r="AI587" s="2">
        <v>0</v>
      </c>
      <c r="AJ587" s="2">
        <v>0</v>
      </c>
      <c r="AK587" s="2">
        <v>0</v>
      </c>
      <c r="AL587" s="2">
        <v>0</v>
      </c>
      <c r="AM587" s="5">
        <v>0</v>
      </c>
      <c r="AN587" s="12">
        <v>163933.80000000002</v>
      </c>
      <c r="AO587" s="2">
        <v>10354.500000000002</v>
      </c>
      <c r="AP587" s="2">
        <v>7318.47</v>
      </c>
      <c r="AQ587" s="2">
        <v>462.26</v>
      </c>
      <c r="AR587" s="5">
        <v>0</v>
      </c>
      <c r="AS587" s="2">
        <v>8714.42</v>
      </c>
      <c r="AT587" s="12">
        <v>7780.7300000000005</v>
      </c>
      <c r="AU587" s="2">
        <v>0</v>
      </c>
      <c r="AV587" s="5">
        <v>871.44</v>
      </c>
      <c r="BL587" s="1" t="s">
        <v>130</v>
      </c>
    </row>
    <row r="588" spans="1:64" x14ac:dyDescent="0.3">
      <c r="A588" t="s">
        <v>1221</v>
      </c>
      <c r="B588" s="1" t="s">
        <v>1221</v>
      </c>
      <c r="C588" s="9" t="s">
        <v>1224</v>
      </c>
      <c r="D588" s="1" t="s">
        <v>95</v>
      </c>
      <c r="E588" s="1" t="s">
        <v>128</v>
      </c>
      <c r="F588" s="10" t="s">
        <v>988</v>
      </c>
      <c r="G588" s="1">
        <v>3.5000000000000003E-2</v>
      </c>
      <c r="H588" s="1">
        <v>0.05</v>
      </c>
      <c r="I588" s="8">
        <v>43972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185083.80000000002</v>
      </c>
      <c r="P588" s="6">
        <v>11667.3</v>
      </c>
      <c r="Q588" s="6">
        <v>8262.67</v>
      </c>
      <c r="R588" s="6">
        <v>520.86</v>
      </c>
      <c r="S588" s="7">
        <v>1756.71</v>
      </c>
      <c r="T588" s="11">
        <v>11805.07</v>
      </c>
      <c r="U588" s="6">
        <v>10540.240000000002</v>
      </c>
      <c r="V588" s="6">
        <v>0</v>
      </c>
      <c r="W588" s="6">
        <v>983.76</v>
      </c>
      <c r="AI588" s="2">
        <v>0</v>
      </c>
      <c r="AJ588" s="2">
        <v>0</v>
      </c>
      <c r="AK588" s="2">
        <v>0</v>
      </c>
      <c r="AL588" s="2">
        <v>0</v>
      </c>
      <c r="AM588" s="5">
        <v>0</v>
      </c>
      <c r="AN588" s="12">
        <v>185083.80000000002</v>
      </c>
      <c r="AO588" s="2">
        <v>11667.3</v>
      </c>
      <c r="AP588" s="2">
        <v>8262.67</v>
      </c>
      <c r="AQ588" s="2">
        <v>520.86</v>
      </c>
      <c r="AR588" s="5">
        <v>1756.71</v>
      </c>
      <c r="AS588" s="2">
        <v>11805.07</v>
      </c>
      <c r="AT588" s="12">
        <v>10540.240000000002</v>
      </c>
      <c r="AU588" s="2">
        <v>0</v>
      </c>
      <c r="AV588" s="5">
        <v>983.76</v>
      </c>
      <c r="BL588" s="1" t="s">
        <v>130</v>
      </c>
    </row>
    <row r="589" spans="1:64" x14ac:dyDescent="0.3">
      <c r="A589" t="s">
        <v>1221</v>
      </c>
      <c r="B589" s="1" t="s">
        <v>1225</v>
      </c>
      <c r="C589" s="9" t="s">
        <v>1226</v>
      </c>
      <c r="D589" s="1" t="s">
        <v>95</v>
      </c>
      <c r="E589" s="1" t="s">
        <v>128</v>
      </c>
      <c r="F589" s="10" t="s">
        <v>988</v>
      </c>
      <c r="G589" s="1">
        <v>0</v>
      </c>
      <c r="H589" s="1">
        <v>0.05</v>
      </c>
      <c r="I589" s="8">
        <v>45209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181309.80000000002</v>
      </c>
      <c r="P589" s="6">
        <v>0</v>
      </c>
      <c r="Q589" s="6">
        <v>8094.19</v>
      </c>
      <c r="R589" s="6">
        <v>0</v>
      </c>
      <c r="S589" s="7">
        <v>0</v>
      </c>
      <c r="T589" s="11">
        <v>9065.49</v>
      </c>
      <c r="U589" s="6">
        <v>8094.19</v>
      </c>
      <c r="V589" s="6">
        <v>0</v>
      </c>
      <c r="W589" s="6">
        <v>906.55</v>
      </c>
      <c r="AI589" s="2">
        <v>0</v>
      </c>
      <c r="AJ589" s="2">
        <v>0</v>
      </c>
      <c r="AK589" s="2">
        <v>0</v>
      </c>
      <c r="AL589" s="2">
        <v>0</v>
      </c>
      <c r="AM589" s="5">
        <v>0</v>
      </c>
      <c r="AN589" s="12">
        <v>181309.80000000002</v>
      </c>
      <c r="AO589" s="2">
        <v>0</v>
      </c>
      <c r="AP589" s="2">
        <v>8094.19</v>
      </c>
      <c r="AQ589" s="2">
        <v>0</v>
      </c>
      <c r="AR589" s="5">
        <v>0</v>
      </c>
      <c r="AS589" s="2">
        <v>9065.49</v>
      </c>
      <c r="AT589" s="12">
        <v>8094.19</v>
      </c>
      <c r="AU589" s="2">
        <v>0</v>
      </c>
      <c r="AV589" s="5">
        <v>906.55</v>
      </c>
      <c r="BL589" s="1" t="s">
        <v>130</v>
      </c>
    </row>
    <row r="590" spans="1:64" x14ac:dyDescent="0.3">
      <c r="A590" t="s">
        <v>1229</v>
      </c>
      <c r="B590" s="1" t="s">
        <v>1229</v>
      </c>
      <c r="C590" s="9" t="s">
        <v>1230</v>
      </c>
      <c r="D590" s="1" t="s">
        <v>95</v>
      </c>
      <c r="E590" s="1" t="s">
        <v>135</v>
      </c>
      <c r="F590" s="10" t="s">
        <v>348</v>
      </c>
      <c r="G590" s="1">
        <v>0</v>
      </c>
      <c r="H590" s="1">
        <v>0.05</v>
      </c>
      <c r="I590" s="8">
        <v>44958</v>
      </c>
      <c r="J590" s="6">
        <v>889597</v>
      </c>
      <c r="K590" s="6">
        <v>110781</v>
      </c>
      <c r="L590" s="6">
        <v>39714.15</v>
      </c>
      <c r="M590" s="6">
        <v>4945.58</v>
      </c>
      <c r="N590" s="7">
        <v>8931.9500000000007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60022.68</v>
      </c>
      <c r="U590" s="6">
        <v>53591.680000000008</v>
      </c>
      <c r="V590" s="6">
        <v>0</v>
      </c>
      <c r="W590" s="6">
        <v>5001.8900000000003</v>
      </c>
      <c r="AI590" s="2">
        <v>889597</v>
      </c>
      <c r="AJ590" s="2">
        <v>110781</v>
      </c>
      <c r="AK590" s="2">
        <v>39714.15</v>
      </c>
      <c r="AL590" s="2">
        <v>4945.58</v>
      </c>
      <c r="AM590" s="5">
        <v>8931.9500000000007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60022.68</v>
      </c>
      <c r="AT590" s="12">
        <v>53591.680000000008</v>
      </c>
      <c r="AU590" s="2">
        <v>0</v>
      </c>
      <c r="AV590" s="5">
        <v>5001.8900000000003</v>
      </c>
      <c r="BL590" s="1" t="s">
        <v>302</v>
      </c>
    </row>
    <row r="591" spans="1:64" x14ac:dyDescent="0.3">
      <c r="A591" t="s">
        <v>1231</v>
      </c>
      <c r="B591" s="1" t="s">
        <v>1231</v>
      </c>
      <c r="C591" s="9" t="s">
        <v>1232</v>
      </c>
      <c r="D591" s="1" t="s">
        <v>95</v>
      </c>
      <c r="E591" s="1" t="s">
        <v>135</v>
      </c>
      <c r="F591" s="10" t="s">
        <v>348</v>
      </c>
      <c r="G591" s="1">
        <v>0</v>
      </c>
      <c r="H591" s="1">
        <v>0.05</v>
      </c>
      <c r="I591" s="8">
        <v>44958</v>
      </c>
      <c r="J591" s="6">
        <v>930675</v>
      </c>
      <c r="K591" s="6">
        <v>129618</v>
      </c>
      <c r="L591" s="6">
        <v>41547.99</v>
      </c>
      <c r="M591" s="6">
        <v>5786.52</v>
      </c>
      <c r="N591" s="7">
        <v>9466.9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63617.58</v>
      </c>
      <c r="U591" s="6">
        <v>56801.409999999996</v>
      </c>
      <c r="V591" s="6">
        <v>0</v>
      </c>
      <c r="W591" s="6">
        <v>5301.46</v>
      </c>
      <c r="AI591" s="2">
        <v>930675</v>
      </c>
      <c r="AJ591" s="2">
        <v>129618</v>
      </c>
      <c r="AK591" s="2">
        <v>41547.99</v>
      </c>
      <c r="AL591" s="2">
        <v>5786.52</v>
      </c>
      <c r="AM591" s="5">
        <v>9466.9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63617.58</v>
      </c>
      <c r="AT591" s="12">
        <v>56801.409999999996</v>
      </c>
      <c r="AU591" s="2">
        <v>0</v>
      </c>
      <c r="AV591" s="5">
        <v>5301.46</v>
      </c>
      <c r="BL591" s="1" t="s">
        <v>302</v>
      </c>
    </row>
    <row r="592" spans="1:64" x14ac:dyDescent="0.3">
      <c r="A592" t="s">
        <v>1244</v>
      </c>
      <c r="B592" s="1" t="s">
        <v>1244</v>
      </c>
      <c r="C592" s="9" t="s">
        <v>1245</v>
      </c>
      <c r="D592" s="1" t="s">
        <v>95</v>
      </c>
      <c r="E592" s="1" t="s">
        <v>88</v>
      </c>
      <c r="F592" s="10" t="s">
        <v>1170</v>
      </c>
      <c r="G592" s="1">
        <v>0</v>
      </c>
      <c r="H592" s="1">
        <v>0.05</v>
      </c>
      <c r="I592" s="8">
        <v>45036</v>
      </c>
      <c r="J592" s="6">
        <v>73382</v>
      </c>
      <c r="K592" s="6">
        <v>17278</v>
      </c>
      <c r="L592" s="6">
        <v>3275.98</v>
      </c>
      <c r="M592" s="6">
        <v>771.34</v>
      </c>
      <c r="N592" s="7">
        <v>809.46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5439.59</v>
      </c>
      <c r="U592" s="6">
        <v>4856.7800000000007</v>
      </c>
      <c r="V592" s="6">
        <v>0</v>
      </c>
      <c r="W592" s="6">
        <v>453.3</v>
      </c>
      <c r="AI592" s="2">
        <v>73382</v>
      </c>
      <c r="AJ592" s="2">
        <v>17278</v>
      </c>
      <c r="AK592" s="2">
        <v>3275.98</v>
      </c>
      <c r="AL592" s="2">
        <v>771.34</v>
      </c>
      <c r="AM592" s="5">
        <v>809.46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5439.59</v>
      </c>
      <c r="AT592" s="12">
        <v>4856.7800000000007</v>
      </c>
      <c r="AU592" s="2">
        <v>0</v>
      </c>
      <c r="AV592" s="5">
        <v>453.3</v>
      </c>
      <c r="BL592" s="1" t="s">
        <v>90</v>
      </c>
    </row>
    <row r="593" spans="1:64" x14ac:dyDescent="0.3">
      <c r="A593" t="s">
        <v>1256</v>
      </c>
      <c r="B593" s="1" t="s">
        <v>1256</v>
      </c>
      <c r="C593" s="9" t="s">
        <v>1257</v>
      </c>
      <c r="D593" s="1" t="s">
        <v>95</v>
      </c>
      <c r="E593" s="1" t="s">
        <v>128</v>
      </c>
      <c r="F593" s="10" t="s">
        <v>129</v>
      </c>
      <c r="G593" s="1">
        <v>0</v>
      </c>
      <c r="H593" s="1">
        <v>0.05</v>
      </c>
      <c r="I593" s="8">
        <v>45062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412323</v>
      </c>
      <c r="P593" s="6">
        <v>17857.2</v>
      </c>
      <c r="Q593" s="6">
        <v>18407.28</v>
      </c>
      <c r="R593" s="6">
        <v>797.2</v>
      </c>
      <c r="S593" s="7">
        <v>0</v>
      </c>
      <c r="T593" s="11">
        <v>21509.02</v>
      </c>
      <c r="U593" s="6">
        <v>19204.48</v>
      </c>
      <c r="V593" s="6">
        <v>0</v>
      </c>
      <c r="W593" s="6">
        <v>2150.9</v>
      </c>
      <c r="AI593" s="2">
        <v>0</v>
      </c>
      <c r="AJ593" s="2">
        <v>0</v>
      </c>
      <c r="AK593" s="2">
        <v>0</v>
      </c>
      <c r="AL593" s="2">
        <v>0</v>
      </c>
      <c r="AM593" s="5">
        <v>0</v>
      </c>
      <c r="AN593" s="12">
        <v>412323</v>
      </c>
      <c r="AO593" s="2">
        <v>17857.2</v>
      </c>
      <c r="AP593" s="2">
        <v>18407.28</v>
      </c>
      <c r="AQ593" s="2">
        <v>797.2</v>
      </c>
      <c r="AR593" s="5">
        <v>0</v>
      </c>
      <c r="AS593" s="2">
        <v>21509.02</v>
      </c>
      <c r="AT593" s="12">
        <v>19204.48</v>
      </c>
      <c r="AU593" s="2">
        <v>0</v>
      </c>
      <c r="AV593" s="5">
        <v>2150.9</v>
      </c>
      <c r="BL593" s="1" t="s">
        <v>130</v>
      </c>
    </row>
    <row r="594" spans="1:64" x14ac:dyDescent="0.3">
      <c r="A594" t="s">
        <v>1256</v>
      </c>
      <c r="B594" s="1" t="s">
        <v>1258</v>
      </c>
      <c r="C594" s="9" t="s">
        <v>1259</v>
      </c>
      <c r="D594" s="1" t="s">
        <v>95</v>
      </c>
      <c r="E594" s="1" t="s">
        <v>128</v>
      </c>
      <c r="F594" s="10" t="s">
        <v>129</v>
      </c>
      <c r="G594" s="1">
        <v>0</v>
      </c>
      <c r="H594" s="1">
        <v>0.05</v>
      </c>
      <c r="I594" s="8">
        <v>45138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347611.50000000006</v>
      </c>
      <c r="P594" s="6">
        <v>14655.899999999998</v>
      </c>
      <c r="Q594" s="6">
        <v>15518.38</v>
      </c>
      <c r="R594" s="6">
        <v>654.29</v>
      </c>
      <c r="S594" s="7">
        <v>0</v>
      </c>
      <c r="T594" s="11">
        <v>18113.39</v>
      </c>
      <c r="U594" s="6">
        <v>16172.669999999998</v>
      </c>
      <c r="V594" s="6">
        <v>0</v>
      </c>
      <c r="W594" s="6">
        <v>1811.34</v>
      </c>
      <c r="AI594" s="2">
        <v>0</v>
      </c>
      <c r="AJ594" s="2">
        <v>0</v>
      </c>
      <c r="AK594" s="2">
        <v>0</v>
      </c>
      <c r="AL594" s="2">
        <v>0</v>
      </c>
      <c r="AM594" s="5">
        <v>0</v>
      </c>
      <c r="AN594" s="12">
        <v>347611.50000000006</v>
      </c>
      <c r="AO594" s="2">
        <v>14655.899999999998</v>
      </c>
      <c r="AP594" s="2">
        <v>15518.38</v>
      </c>
      <c r="AQ594" s="2">
        <v>654.29</v>
      </c>
      <c r="AR594" s="5">
        <v>0</v>
      </c>
      <c r="AS594" s="2">
        <v>18113.39</v>
      </c>
      <c r="AT594" s="12">
        <v>16172.669999999998</v>
      </c>
      <c r="AU594" s="2">
        <v>0</v>
      </c>
      <c r="AV594" s="5">
        <v>1811.34</v>
      </c>
      <c r="BL594" s="1" t="s">
        <v>130</v>
      </c>
    </row>
    <row r="595" spans="1:64" x14ac:dyDescent="0.3">
      <c r="A595" t="s">
        <v>1260</v>
      </c>
      <c r="B595" s="1" t="s">
        <v>1260</v>
      </c>
      <c r="C595" s="9" t="s">
        <v>1261</v>
      </c>
      <c r="D595" s="1" t="s">
        <v>95</v>
      </c>
      <c r="E595" s="1" t="s">
        <v>128</v>
      </c>
      <c r="F595" s="10" t="s">
        <v>129</v>
      </c>
      <c r="G595" s="1">
        <v>0</v>
      </c>
      <c r="H595" s="1">
        <v>0.05</v>
      </c>
      <c r="I595" s="8">
        <v>45085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539197.80000000005</v>
      </c>
      <c r="P595" s="6">
        <v>23571.600000000002</v>
      </c>
      <c r="Q595" s="6">
        <v>24071.33</v>
      </c>
      <c r="R595" s="6">
        <v>1052.3</v>
      </c>
      <c r="S595" s="7">
        <v>0</v>
      </c>
      <c r="T595" s="11">
        <v>28138.47</v>
      </c>
      <c r="U595" s="6">
        <v>25123.63</v>
      </c>
      <c r="V595" s="6">
        <v>0</v>
      </c>
      <c r="W595" s="6">
        <v>2813.85</v>
      </c>
      <c r="AI595" s="2">
        <v>0</v>
      </c>
      <c r="AJ595" s="2">
        <v>0</v>
      </c>
      <c r="AK595" s="2">
        <v>0</v>
      </c>
      <c r="AL595" s="2">
        <v>0</v>
      </c>
      <c r="AM595" s="5">
        <v>0</v>
      </c>
      <c r="AN595" s="12">
        <v>539197.80000000005</v>
      </c>
      <c r="AO595" s="2">
        <v>23571.600000000002</v>
      </c>
      <c r="AP595" s="2">
        <v>24071.33</v>
      </c>
      <c r="AQ595" s="2">
        <v>1052.3</v>
      </c>
      <c r="AR595" s="5">
        <v>0</v>
      </c>
      <c r="AS595" s="2">
        <v>28138.47</v>
      </c>
      <c r="AT595" s="12">
        <v>25123.63</v>
      </c>
      <c r="AU595" s="2">
        <v>0</v>
      </c>
      <c r="AV595" s="5">
        <v>2813.85</v>
      </c>
      <c r="BL595" s="1" t="s">
        <v>130</v>
      </c>
    </row>
    <row r="596" spans="1:64" x14ac:dyDescent="0.3">
      <c r="A596" t="s">
        <v>1260</v>
      </c>
      <c r="B596" s="1" t="s">
        <v>1262</v>
      </c>
      <c r="C596" s="9" t="s">
        <v>1263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45390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0</v>
      </c>
      <c r="U596" s="6">
        <v>0</v>
      </c>
      <c r="V596" s="6">
        <v>0</v>
      </c>
      <c r="W596" s="6">
        <v>0</v>
      </c>
      <c r="AI596" s="2">
        <v>0</v>
      </c>
      <c r="AJ596" s="2">
        <v>0</v>
      </c>
      <c r="AK596" s="2">
        <v>0</v>
      </c>
      <c r="AL596" s="2">
        <v>0</v>
      </c>
      <c r="AM596" s="5">
        <v>0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0</v>
      </c>
      <c r="AT596" s="12">
        <v>0</v>
      </c>
      <c r="AU596" s="2">
        <v>0</v>
      </c>
      <c r="AV596" s="5">
        <v>0</v>
      </c>
      <c r="BL596" s="1" t="s">
        <v>130</v>
      </c>
    </row>
    <row r="597" spans="1:64" x14ac:dyDescent="0.3">
      <c r="A597" t="s">
        <v>1264</v>
      </c>
      <c r="B597" s="1" t="s">
        <v>1264</v>
      </c>
      <c r="C597" s="9" t="s">
        <v>1265</v>
      </c>
      <c r="D597" s="1" t="s">
        <v>95</v>
      </c>
      <c r="E597" s="1" t="s">
        <v>135</v>
      </c>
      <c r="F597" s="10" t="s">
        <v>435</v>
      </c>
      <c r="G597" s="1">
        <v>0</v>
      </c>
      <c r="H597" s="1">
        <v>0.05</v>
      </c>
      <c r="I597" s="8">
        <v>45066</v>
      </c>
      <c r="J597" s="6">
        <v>683821</v>
      </c>
      <c r="K597" s="6">
        <v>105075</v>
      </c>
      <c r="L597" s="6">
        <v>30527.72</v>
      </c>
      <c r="M597" s="6">
        <v>4690.8500000000004</v>
      </c>
      <c r="N597" s="7">
        <v>7043.71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47333.75</v>
      </c>
      <c r="U597" s="6">
        <v>42262.28</v>
      </c>
      <c r="V597" s="6">
        <v>0</v>
      </c>
      <c r="W597" s="6">
        <v>3944.48</v>
      </c>
      <c r="AI597" s="2">
        <v>683821</v>
      </c>
      <c r="AJ597" s="2">
        <v>105075</v>
      </c>
      <c r="AK597" s="2">
        <v>30527.72</v>
      </c>
      <c r="AL597" s="2">
        <v>4690.8500000000004</v>
      </c>
      <c r="AM597" s="5">
        <v>7043.71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47333.75</v>
      </c>
      <c r="AT597" s="12">
        <v>42262.28</v>
      </c>
      <c r="AU597" s="2">
        <v>0</v>
      </c>
      <c r="AV597" s="5">
        <v>3944.48</v>
      </c>
      <c r="BL597" s="1" t="s">
        <v>137</v>
      </c>
    </row>
    <row r="598" spans="1:64" x14ac:dyDescent="0.3">
      <c r="A598" t="s">
        <v>1266</v>
      </c>
      <c r="B598" s="1" t="s">
        <v>1266</v>
      </c>
      <c r="C598" s="9" t="s">
        <v>1267</v>
      </c>
      <c r="D598" s="1" t="s">
        <v>95</v>
      </c>
      <c r="E598" s="1" t="s">
        <v>128</v>
      </c>
      <c r="F598" s="10" t="s">
        <v>129</v>
      </c>
      <c r="G598" s="1">
        <v>0</v>
      </c>
      <c r="H598" s="1">
        <v>0.05</v>
      </c>
      <c r="I598" s="8">
        <v>45091</v>
      </c>
      <c r="J598" s="6">
        <v>529334</v>
      </c>
      <c r="K598" s="6">
        <v>9561</v>
      </c>
      <c r="L598" s="6">
        <v>23630.98</v>
      </c>
      <c r="M598" s="6">
        <v>426.83</v>
      </c>
      <c r="N598" s="7">
        <v>4811.5600000000004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32333.69</v>
      </c>
      <c r="U598" s="6">
        <v>28869.370000000003</v>
      </c>
      <c r="V598" s="6">
        <v>0</v>
      </c>
      <c r="W598" s="6">
        <v>2694.48</v>
      </c>
      <c r="AI598" s="2">
        <v>529334</v>
      </c>
      <c r="AJ598" s="2">
        <v>9561</v>
      </c>
      <c r="AK598" s="2">
        <v>23630.98</v>
      </c>
      <c r="AL598" s="2">
        <v>426.83</v>
      </c>
      <c r="AM598" s="5">
        <v>4811.5600000000004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32333.69</v>
      </c>
      <c r="AT598" s="12">
        <v>28869.370000000003</v>
      </c>
      <c r="AU598" s="2">
        <v>0</v>
      </c>
      <c r="AV598" s="5">
        <v>2694.48</v>
      </c>
      <c r="BL598" s="1" t="s">
        <v>130</v>
      </c>
    </row>
    <row r="599" spans="1:64" x14ac:dyDescent="0.3">
      <c r="A599" t="s">
        <v>1278</v>
      </c>
      <c r="B599" s="1" t="s">
        <v>1278</v>
      </c>
      <c r="C599" s="9" t="s">
        <v>1279</v>
      </c>
      <c r="D599" s="1" t="s">
        <v>95</v>
      </c>
      <c r="E599" s="1" t="s">
        <v>135</v>
      </c>
      <c r="F599" s="10" t="s">
        <v>193</v>
      </c>
      <c r="G599" s="1">
        <v>0</v>
      </c>
      <c r="H599" s="1">
        <v>0.05</v>
      </c>
      <c r="I599" s="8">
        <v>45107</v>
      </c>
      <c r="J599" s="6">
        <v>437178</v>
      </c>
      <c r="K599" s="6">
        <v>34211</v>
      </c>
      <c r="L599" s="6">
        <v>19516.88</v>
      </c>
      <c r="M599" s="6">
        <v>1527.28</v>
      </c>
      <c r="N599" s="7">
        <v>4208.83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28283.35</v>
      </c>
      <c r="U599" s="6">
        <v>25252.989999999998</v>
      </c>
      <c r="V599" s="6">
        <v>0</v>
      </c>
      <c r="W599" s="6">
        <v>2356.9499999999998</v>
      </c>
      <c r="AI599" s="2">
        <v>437178</v>
      </c>
      <c r="AJ599" s="2">
        <v>34211</v>
      </c>
      <c r="AK599" s="2">
        <v>19516.88</v>
      </c>
      <c r="AL599" s="2">
        <v>1527.28</v>
      </c>
      <c r="AM599" s="5">
        <v>4208.83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28283.35</v>
      </c>
      <c r="AT599" s="12">
        <v>25252.989999999998</v>
      </c>
      <c r="AU599" s="2">
        <v>0</v>
      </c>
      <c r="AV599" s="5">
        <v>2356.9499999999998</v>
      </c>
      <c r="BL599" s="1" t="s">
        <v>137</v>
      </c>
    </row>
    <row r="600" spans="1:64" x14ac:dyDescent="0.3">
      <c r="A600" t="s">
        <v>1280</v>
      </c>
      <c r="B600" s="1" t="s">
        <v>1280</v>
      </c>
      <c r="C600" s="9" t="s">
        <v>1281</v>
      </c>
      <c r="D600" s="1" t="s">
        <v>95</v>
      </c>
      <c r="E600" s="1" t="s">
        <v>88</v>
      </c>
      <c r="F600" s="10" t="s">
        <v>1170</v>
      </c>
      <c r="G600" s="1">
        <v>0</v>
      </c>
      <c r="H600" s="1">
        <v>0.05</v>
      </c>
      <c r="I600" s="8">
        <v>45135</v>
      </c>
      <c r="J600" s="6">
        <v>97936</v>
      </c>
      <c r="K600" s="6">
        <v>23500</v>
      </c>
      <c r="L600" s="6">
        <v>4372.1400000000003</v>
      </c>
      <c r="M600" s="6">
        <v>1049.1099999999999</v>
      </c>
      <c r="N600" s="7">
        <v>1084.25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7286.16</v>
      </c>
      <c r="U600" s="6">
        <v>6505.5</v>
      </c>
      <c r="V600" s="6">
        <v>0</v>
      </c>
      <c r="W600" s="6">
        <v>607.17999999999995</v>
      </c>
      <c r="AI600" s="2">
        <v>97936</v>
      </c>
      <c r="AJ600" s="2">
        <v>23500</v>
      </c>
      <c r="AK600" s="2">
        <v>4372.1400000000003</v>
      </c>
      <c r="AL600" s="2">
        <v>1049.1099999999999</v>
      </c>
      <c r="AM600" s="5">
        <v>1084.25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7286.16</v>
      </c>
      <c r="AT600" s="12">
        <v>6505.5</v>
      </c>
      <c r="AU600" s="2">
        <v>0</v>
      </c>
      <c r="AV600" s="5">
        <v>607.17999999999995</v>
      </c>
      <c r="BL600" s="1" t="s">
        <v>90</v>
      </c>
    </row>
    <row r="601" spans="1:64" x14ac:dyDescent="0.3">
      <c r="A601" t="s">
        <v>1284</v>
      </c>
      <c r="B601" s="1" t="s">
        <v>1284</v>
      </c>
      <c r="C601" s="9" t="s">
        <v>1285</v>
      </c>
      <c r="D601" s="1" t="s">
        <v>95</v>
      </c>
      <c r="E601" s="1" t="s">
        <v>135</v>
      </c>
      <c r="F601" s="10" t="s">
        <v>348</v>
      </c>
      <c r="G601" s="1">
        <v>0</v>
      </c>
      <c r="H601" s="1">
        <v>0.05</v>
      </c>
      <c r="I601" s="8">
        <v>45107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637058.10000000009</v>
      </c>
      <c r="P601" s="6">
        <v>26201.399999999998</v>
      </c>
      <c r="Q601" s="6">
        <v>28440.1</v>
      </c>
      <c r="R601" s="6">
        <v>1169.71</v>
      </c>
      <c r="S601" s="7">
        <v>0</v>
      </c>
      <c r="T601" s="11">
        <v>33162.99</v>
      </c>
      <c r="U601" s="6">
        <v>29609.809999999998</v>
      </c>
      <c r="V601" s="6">
        <v>0</v>
      </c>
      <c r="W601" s="6">
        <v>3316.3</v>
      </c>
      <c r="AI601" s="2">
        <v>0</v>
      </c>
      <c r="AJ601" s="2">
        <v>0</v>
      </c>
      <c r="AK601" s="2">
        <v>0</v>
      </c>
      <c r="AL601" s="2">
        <v>0</v>
      </c>
      <c r="AM601" s="5">
        <v>0</v>
      </c>
      <c r="AN601" s="12">
        <v>637058.10000000009</v>
      </c>
      <c r="AO601" s="2">
        <v>26201.399999999998</v>
      </c>
      <c r="AP601" s="2">
        <v>28440.1</v>
      </c>
      <c r="AQ601" s="2">
        <v>1169.71</v>
      </c>
      <c r="AR601" s="5">
        <v>0</v>
      </c>
      <c r="AS601" s="2">
        <v>33162.99</v>
      </c>
      <c r="AT601" s="12">
        <v>29609.809999999998</v>
      </c>
      <c r="AU601" s="2">
        <v>0</v>
      </c>
      <c r="AV601" s="5">
        <v>3316.3</v>
      </c>
      <c r="BL601" s="1" t="s">
        <v>137</v>
      </c>
    </row>
    <row r="602" spans="1:64" x14ac:dyDescent="0.3">
      <c r="A602" t="s">
        <v>1286</v>
      </c>
      <c r="B602" s="1" t="s">
        <v>1286</v>
      </c>
      <c r="C602" s="9" t="s">
        <v>1287</v>
      </c>
      <c r="D602" s="1" t="s">
        <v>95</v>
      </c>
      <c r="E602" s="1" t="s">
        <v>135</v>
      </c>
      <c r="F602" s="10" t="s">
        <v>435</v>
      </c>
      <c r="G602" s="1">
        <v>0</v>
      </c>
      <c r="H602" s="1">
        <v>0.05</v>
      </c>
      <c r="I602" s="8">
        <v>45122</v>
      </c>
      <c r="J602" s="6">
        <v>407904</v>
      </c>
      <c r="K602" s="6">
        <v>46319</v>
      </c>
      <c r="L602" s="6">
        <v>18210</v>
      </c>
      <c r="M602" s="6">
        <v>2067.81</v>
      </c>
      <c r="N602" s="7">
        <v>4055.56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27253.37</v>
      </c>
      <c r="U602" s="6">
        <v>24333.370000000003</v>
      </c>
      <c r="V602" s="6">
        <v>0</v>
      </c>
      <c r="W602" s="6">
        <v>2271.12</v>
      </c>
      <c r="AI602" s="2">
        <v>407904</v>
      </c>
      <c r="AJ602" s="2">
        <v>46319</v>
      </c>
      <c r="AK602" s="2">
        <v>18210</v>
      </c>
      <c r="AL602" s="2">
        <v>2067.81</v>
      </c>
      <c r="AM602" s="5">
        <v>4055.56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27253.37</v>
      </c>
      <c r="AT602" s="12">
        <v>24333.370000000003</v>
      </c>
      <c r="AU602" s="2">
        <v>0</v>
      </c>
      <c r="AV602" s="5">
        <v>2271.12</v>
      </c>
      <c r="BL602" s="1" t="s">
        <v>137</v>
      </c>
    </row>
    <row r="603" spans="1:64" x14ac:dyDescent="0.3">
      <c r="A603" t="s">
        <v>1288</v>
      </c>
      <c r="B603" s="1" t="s">
        <v>1289</v>
      </c>
      <c r="C603" s="9" t="s">
        <v>1290</v>
      </c>
      <c r="D603" s="1" t="s">
        <v>95</v>
      </c>
      <c r="E603" s="1" t="s">
        <v>128</v>
      </c>
      <c r="F603" s="10" t="s">
        <v>401</v>
      </c>
      <c r="G603" s="1">
        <v>3.5000000000000003E-2</v>
      </c>
      <c r="H603" s="1">
        <v>0.05</v>
      </c>
      <c r="I603" s="8">
        <v>45664</v>
      </c>
      <c r="J603" s="6">
        <v>515092</v>
      </c>
      <c r="K603" s="6">
        <v>30795</v>
      </c>
      <c r="L603" s="6">
        <v>22995.18</v>
      </c>
      <c r="M603" s="6">
        <v>1374.78</v>
      </c>
      <c r="N603" s="7">
        <v>4873.99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32753.22</v>
      </c>
      <c r="U603" s="6">
        <v>29243.949999999997</v>
      </c>
      <c r="V603" s="6">
        <v>0</v>
      </c>
      <c r="W603" s="6">
        <v>2729.44</v>
      </c>
      <c r="AI603" s="2">
        <v>515092</v>
      </c>
      <c r="AJ603" s="2">
        <v>30795</v>
      </c>
      <c r="AK603" s="2">
        <v>22995.18</v>
      </c>
      <c r="AL603" s="2">
        <v>1374.78</v>
      </c>
      <c r="AM603" s="5">
        <v>4873.99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32753.22</v>
      </c>
      <c r="AT603" s="12">
        <v>29243.949999999997</v>
      </c>
      <c r="AU603" s="2">
        <v>0</v>
      </c>
      <c r="AV603" s="5">
        <v>2729.44</v>
      </c>
      <c r="BL603" s="1" t="s">
        <v>326</v>
      </c>
    </row>
    <row r="604" spans="1:64" x14ac:dyDescent="0.3">
      <c r="A604" t="s">
        <v>1288</v>
      </c>
      <c r="B604" s="1" t="s">
        <v>1291</v>
      </c>
      <c r="C604" s="9" t="s">
        <v>1292</v>
      </c>
      <c r="D604" s="1" t="s">
        <v>95</v>
      </c>
      <c r="E604" s="1" t="s">
        <v>128</v>
      </c>
      <c r="F604" s="10" t="s">
        <v>401</v>
      </c>
      <c r="G604" s="1">
        <v>3.5000000000000003E-2</v>
      </c>
      <c r="H604" s="1">
        <v>0.05</v>
      </c>
      <c r="I604" s="8">
        <v>45664</v>
      </c>
      <c r="J604" s="6">
        <v>789627</v>
      </c>
      <c r="K604" s="6">
        <v>44745</v>
      </c>
      <c r="L604" s="6">
        <v>35251.21</v>
      </c>
      <c r="M604" s="6">
        <v>1997.54</v>
      </c>
      <c r="N604" s="7">
        <v>7449.75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11">
        <v>50062.32</v>
      </c>
      <c r="U604" s="6">
        <v>44698.5</v>
      </c>
      <c r="V604" s="6">
        <v>0</v>
      </c>
      <c r="W604" s="6">
        <v>4171.8599999999997</v>
      </c>
      <c r="AI604" s="2">
        <v>789627</v>
      </c>
      <c r="AJ604" s="2">
        <v>44745</v>
      </c>
      <c r="AK604" s="2">
        <v>35251.21</v>
      </c>
      <c r="AL604" s="2">
        <v>1997.54</v>
      </c>
      <c r="AM604" s="5">
        <v>7449.75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50062.32</v>
      </c>
      <c r="AT604" s="12">
        <v>44698.5</v>
      </c>
      <c r="AU604" s="2">
        <v>0</v>
      </c>
      <c r="AV604" s="5">
        <v>4171.8599999999997</v>
      </c>
      <c r="BL604" s="1" t="s">
        <v>326</v>
      </c>
    </row>
    <row r="605" spans="1:64" x14ac:dyDescent="0.3">
      <c r="A605" t="s">
        <v>1288</v>
      </c>
      <c r="B605" s="1" t="s">
        <v>1288</v>
      </c>
      <c r="C605" s="9" t="s">
        <v>1293</v>
      </c>
      <c r="D605" s="1" t="s">
        <v>95</v>
      </c>
      <c r="E605" s="1" t="s">
        <v>128</v>
      </c>
      <c r="F605" s="10" t="s">
        <v>401</v>
      </c>
      <c r="G605" s="1">
        <v>0</v>
      </c>
      <c r="H605" s="1">
        <v>0.05</v>
      </c>
      <c r="I605" s="8">
        <v>45160</v>
      </c>
      <c r="J605" s="6">
        <v>162876</v>
      </c>
      <c r="K605" s="6">
        <v>9240</v>
      </c>
      <c r="L605" s="6">
        <v>7271.25</v>
      </c>
      <c r="M605" s="6">
        <v>412.5</v>
      </c>
      <c r="N605" s="7">
        <v>1536.75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10326.959999999999</v>
      </c>
      <c r="U605" s="6">
        <v>9220.5</v>
      </c>
      <c r="V605" s="6">
        <v>0</v>
      </c>
      <c r="W605" s="6">
        <v>860.58</v>
      </c>
      <c r="AI605" s="2">
        <v>162876</v>
      </c>
      <c r="AJ605" s="2">
        <v>9240</v>
      </c>
      <c r="AK605" s="2">
        <v>7271.25</v>
      </c>
      <c r="AL605" s="2">
        <v>412.5</v>
      </c>
      <c r="AM605" s="5">
        <v>1536.75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10326.959999999999</v>
      </c>
      <c r="AT605" s="12">
        <v>9220.5</v>
      </c>
      <c r="AU605" s="2">
        <v>0</v>
      </c>
      <c r="AV605" s="5">
        <v>860.58</v>
      </c>
      <c r="BL605" s="1" t="s">
        <v>326</v>
      </c>
    </row>
    <row r="606" spans="1:64" x14ac:dyDescent="0.3">
      <c r="A606" t="s">
        <v>1288</v>
      </c>
      <c r="B606" s="1" t="s">
        <v>1294</v>
      </c>
      <c r="C606" s="9" t="s">
        <v>1295</v>
      </c>
      <c r="D606" s="1" t="s">
        <v>95</v>
      </c>
      <c r="E606" s="1" t="s">
        <v>128</v>
      </c>
      <c r="F606" s="10" t="s">
        <v>401</v>
      </c>
      <c r="G606" s="1">
        <v>0</v>
      </c>
      <c r="H606" s="1">
        <v>0.05</v>
      </c>
      <c r="I606" s="8">
        <v>44306</v>
      </c>
      <c r="J606" s="6">
        <v>369521</v>
      </c>
      <c r="K606" s="6">
        <v>8696</v>
      </c>
      <c r="L606" s="6">
        <v>16496.47</v>
      </c>
      <c r="M606" s="6">
        <v>388.21</v>
      </c>
      <c r="N606" s="7">
        <v>3376.94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22693.01</v>
      </c>
      <c r="U606" s="6">
        <v>20261.62</v>
      </c>
      <c r="V606" s="6">
        <v>0</v>
      </c>
      <c r="W606" s="6">
        <v>1891.08</v>
      </c>
      <c r="AI606" s="2">
        <v>369521</v>
      </c>
      <c r="AJ606" s="2">
        <v>8696</v>
      </c>
      <c r="AK606" s="2">
        <v>16496.47</v>
      </c>
      <c r="AL606" s="2">
        <v>388.21</v>
      </c>
      <c r="AM606" s="5">
        <v>3376.94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22693.01</v>
      </c>
      <c r="AT606" s="12">
        <v>20261.62</v>
      </c>
      <c r="AU606" s="2">
        <v>0</v>
      </c>
      <c r="AV606" s="5">
        <v>1891.08</v>
      </c>
      <c r="BL606" s="1" t="s">
        <v>326</v>
      </c>
    </row>
    <row r="607" spans="1:64" x14ac:dyDescent="0.3">
      <c r="A607" t="s">
        <v>1304</v>
      </c>
      <c r="B607" s="1" t="s">
        <v>1304</v>
      </c>
      <c r="C607" s="9" t="s">
        <v>1305</v>
      </c>
      <c r="D607" s="1" t="s">
        <v>95</v>
      </c>
      <c r="E607" s="1" t="s">
        <v>88</v>
      </c>
      <c r="F607" s="10" t="s">
        <v>1170</v>
      </c>
      <c r="G607" s="1">
        <v>0</v>
      </c>
      <c r="H607" s="1">
        <v>0.05</v>
      </c>
      <c r="I607" s="8">
        <v>45316</v>
      </c>
      <c r="J607" s="6">
        <v>321992</v>
      </c>
      <c r="K607" s="6">
        <v>41865</v>
      </c>
      <c r="L607" s="6">
        <v>14374.64</v>
      </c>
      <c r="M607" s="6">
        <v>1868.97</v>
      </c>
      <c r="N607" s="7">
        <v>3248.72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21831.41</v>
      </c>
      <c r="U607" s="6">
        <v>19492.329999999998</v>
      </c>
      <c r="V607" s="6">
        <v>0</v>
      </c>
      <c r="W607" s="6">
        <v>1819.28</v>
      </c>
      <c r="AI607" s="2">
        <v>321992</v>
      </c>
      <c r="AJ607" s="2">
        <v>41865</v>
      </c>
      <c r="AK607" s="2">
        <v>14374.64</v>
      </c>
      <c r="AL607" s="2">
        <v>1868.97</v>
      </c>
      <c r="AM607" s="5">
        <v>3248.72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21831.41</v>
      </c>
      <c r="AT607" s="12">
        <v>19492.329999999998</v>
      </c>
      <c r="AU607" s="2">
        <v>0</v>
      </c>
      <c r="AV607" s="5">
        <v>1819.28</v>
      </c>
      <c r="BL607" s="1" t="s">
        <v>90</v>
      </c>
    </row>
    <row r="608" spans="1:64" x14ac:dyDescent="0.3">
      <c r="A608" t="s">
        <v>1306</v>
      </c>
      <c r="B608" s="1" t="s">
        <v>1306</v>
      </c>
      <c r="C608" s="9" t="s">
        <v>1307</v>
      </c>
      <c r="D608" s="1" t="s">
        <v>95</v>
      </c>
      <c r="E608" s="1" t="s">
        <v>128</v>
      </c>
      <c r="F608" s="10" t="s">
        <v>129</v>
      </c>
      <c r="G608" s="1">
        <v>0</v>
      </c>
      <c r="H608" s="1">
        <v>0.05</v>
      </c>
      <c r="I608" s="8">
        <v>45199</v>
      </c>
      <c r="J608" s="6">
        <v>174100</v>
      </c>
      <c r="K608" s="6">
        <v>53874</v>
      </c>
      <c r="L608" s="6">
        <v>7772.32</v>
      </c>
      <c r="M608" s="6">
        <v>2405.09</v>
      </c>
      <c r="N608" s="7">
        <v>2035.48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13678.44</v>
      </c>
      <c r="U608" s="6">
        <v>12212.89</v>
      </c>
      <c r="V608" s="6">
        <v>0</v>
      </c>
      <c r="W608" s="6">
        <v>1139.8699999999999</v>
      </c>
      <c r="AI608" s="2">
        <v>174100</v>
      </c>
      <c r="AJ608" s="2">
        <v>53874</v>
      </c>
      <c r="AK608" s="2">
        <v>7772.32</v>
      </c>
      <c r="AL608" s="2">
        <v>2405.09</v>
      </c>
      <c r="AM608" s="5">
        <v>2035.48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13678.44</v>
      </c>
      <c r="AT608" s="12">
        <v>12212.89</v>
      </c>
      <c r="AU608" s="2">
        <v>0</v>
      </c>
      <c r="AV608" s="5">
        <v>1139.8699999999999</v>
      </c>
      <c r="BL608" s="1" t="s">
        <v>130</v>
      </c>
    </row>
    <row r="609" spans="1:64" x14ac:dyDescent="0.3">
      <c r="A609" t="s">
        <v>1318</v>
      </c>
      <c r="B609" s="1" t="s">
        <v>1318</v>
      </c>
      <c r="C609" s="9" t="s">
        <v>1319</v>
      </c>
      <c r="D609" s="1" t="s">
        <v>95</v>
      </c>
      <c r="E609" s="1" t="s">
        <v>88</v>
      </c>
      <c r="F609" s="10" t="s">
        <v>218</v>
      </c>
      <c r="G609" s="1">
        <v>0</v>
      </c>
      <c r="H609" s="1">
        <v>0.05</v>
      </c>
      <c r="I609" s="8">
        <v>45615</v>
      </c>
      <c r="J609" s="6">
        <v>481894</v>
      </c>
      <c r="K609" s="6">
        <v>32996</v>
      </c>
      <c r="L609" s="6">
        <v>21513.119999999999</v>
      </c>
      <c r="M609" s="6">
        <v>1473.04</v>
      </c>
      <c r="N609" s="7">
        <v>4597.2299999999996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30893.4</v>
      </c>
      <c r="U609" s="6">
        <v>27583.39</v>
      </c>
      <c r="V609" s="6">
        <v>0</v>
      </c>
      <c r="W609" s="6">
        <v>2574.4499999999998</v>
      </c>
      <c r="AI609" s="2">
        <v>481894</v>
      </c>
      <c r="AJ609" s="2">
        <v>32996</v>
      </c>
      <c r="AK609" s="2">
        <v>21513.119999999999</v>
      </c>
      <c r="AL609" s="2">
        <v>1473.04</v>
      </c>
      <c r="AM609" s="5">
        <v>4597.2299999999996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30893.4</v>
      </c>
      <c r="AT609" s="12">
        <v>27583.39</v>
      </c>
      <c r="AU609" s="2">
        <v>0</v>
      </c>
      <c r="AV609" s="5">
        <v>2574.4499999999998</v>
      </c>
      <c r="BL609" s="1" t="s">
        <v>90</v>
      </c>
    </row>
    <row r="610" spans="1:64" x14ac:dyDescent="0.3">
      <c r="A610" t="s">
        <v>1320</v>
      </c>
      <c r="B610" s="1" t="s">
        <v>1320</v>
      </c>
      <c r="C610" s="9" t="s">
        <v>1321</v>
      </c>
      <c r="D610" s="1" t="s">
        <v>95</v>
      </c>
      <c r="E610" s="1" t="s">
        <v>88</v>
      </c>
      <c r="F610" s="10" t="s">
        <v>96</v>
      </c>
      <c r="G610" s="1">
        <v>0</v>
      </c>
      <c r="H610" s="1">
        <v>0.05</v>
      </c>
      <c r="I610" s="8">
        <v>45185</v>
      </c>
      <c r="J610" s="6">
        <v>294984</v>
      </c>
      <c r="K610" s="6">
        <v>112813</v>
      </c>
      <c r="L610" s="6">
        <v>13168.93</v>
      </c>
      <c r="M610" s="6">
        <v>5036.29</v>
      </c>
      <c r="N610" s="7">
        <v>3641.04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24467.81</v>
      </c>
      <c r="U610" s="6">
        <v>21846.260000000002</v>
      </c>
      <c r="V610" s="6">
        <v>0</v>
      </c>
      <c r="W610" s="6">
        <v>2038.98</v>
      </c>
      <c r="AI610" s="2">
        <v>294984</v>
      </c>
      <c r="AJ610" s="2">
        <v>112813</v>
      </c>
      <c r="AK610" s="2">
        <v>13168.93</v>
      </c>
      <c r="AL610" s="2">
        <v>5036.29</v>
      </c>
      <c r="AM610" s="5">
        <v>3641.04</v>
      </c>
      <c r="AN610" s="12">
        <v>0</v>
      </c>
      <c r="AO610" s="2">
        <v>0</v>
      </c>
      <c r="AP610" s="2">
        <v>0</v>
      </c>
      <c r="AQ610" s="2">
        <v>0</v>
      </c>
      <c r="AR610" s="5">
        <v>0</v>
      </c>
      <c r="AS610" s="2">
        <v>24467.81</v>
      </c>
      <c r="AT610" s="12">
        <v>21846.260000000002</v>
      </c>
      <c r="AU610" s="2">
        <v>0</v>
      </c>
      <c r="AV610" s="5">
        <v>2038.98</v>
      </c>
      <c r="BL610" s="1" t="s">
        <v>90</v>
      </c>
    </row>
    <row r="611" spans="1:64" x14ac:dyDescent="0.3">
      <c r="A611" t="s">
        <v>1322</v>
      </c>
      <c r="B611" s="1" t="s">
        <v>1322</v>
      </c>
      <c r="C611" s="9" t="s">
        <v>1323</v>
      </c>
      <c r="D611" s="1" t="s">
        <v>95</v>
      </c>
      <c r="E611" s="1" t="s">
        <v>135</v>
      </c>
      <c r="F611" s="10" t="s">
        <v>435</v>
      </c>
      <c r="G611" s="1">
        <v>0</v>
      </c>
      <c r="H611" s="1">
        <v>0.05</v>
      </c>
      <c r="I611" s="8">
        <v>45184</v>
      </c>
      <c r="J611" s="6">
        <v>327107</v>
      </c>
      <c r="K611" s="6">
        <v>61625</v>
      </c>
      <c r="L611" s="6">
        <v>14602.99</v>
      </c>
      <c r="M611" s="6">
        <v>2751.12</v>
      </c>
      <c r="N611" s="7">
        <v>3470.82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23323.919999999998</v>
      </c>
      <c r="U611" s="6">
        <v>20824.93</v>
      </c>
      <c r="V611" s="6">
        <v>0</v>
      </c>
      <c r="W611" s="6">
        <v>1943.66</v>
      </c>
      <c r="AI611" s="2">
        <v>327107</v>
      </c>
      <c r="AJ611" s="2">
        <v>61625</v>
      </c>
      <c r="AK611" s="2">
        <v>14602.99</v>
      </c>
      <c r="AL611" s="2">
        <v>2751.12</v>
      </c>
      <c r="AM611" s="5">
        <v>3470.82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23323.919999999998</v>
      </c>
      <c r="AT611" s="12">
        <v>20824.93</v>
      </c>
      <c r="AU611" s="2">
        <v>0</v>
      </c>
      <c r="AV611" s="5">
        <v>1943.66</v>
      </c>
      <c r="BL611" s="1" t="s">
        <v>137</v>
      </c>
    </row>
    <row r="612" spans="1:64" x14ac:dyDescent="0.3">
      <c r="A612" t="s">
        <v>1322</v>
      </c>
      <c r="B612" s="1" t="s">
        <v>1324</v>
      </c>
      <c r="C612" s="9" t="s">
        <v>1325</v>
      </c>
      <c r="D612" s="1" t="s">
        <v>95</v>
      </c>
      <c r="E612" s="1" t="s">
        <v>135</v>
      </c>
      <c r="F612" s="10" t="s">
        <v>435</v>
      </c>
      <c r="G612" s="1">
        <v>0</v>
      </c>
      <c r="H612" s="1">
        <v>0.05</v>
      </c>
      <c r="I612" s="8">
        <v>45367</v>
      </c>
      <c r="J612" s="6">
        <v>172334</v>
      </c>
      <c r="K612" s="6">
        <v>8585</v>
      </c>
      <c r="L612" s="6">
        <v>7693.48</v>
      </c>
      <c r="M612" s="6">
        <v>383.26</v>
      </c>
      <c r="N612" s="7">
        <v>1615.35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10855.14</v>
      </c>
      <c r="U612" s="6">
        <v>9692.09</v>
      </c>
      <c r="V612" s="6">
        <v>0</v>
      </c>
      <c r="W612" s="6">
        <v>904.6</v>
      </c>
      <c r="AI612" s="2">
        <v>172334</v>
      </c>
      <c r="AJ612" s="2">
        <v>8585</v>
      </c>
      <c r="AK612" s="2">
        <v>7693.48</v>
      </c>
      <c r="AL612" s="2">
        <v>383.26</v>
      </c>
      <c r="AM612" s="5">
        <v>1615.35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10855.14</v>
      </c>
      <c r="AT612" s="12">
        <v>9692.09</v>
      </c>
      <c r="AU612" s="2">
        <v>0</v>
      </c>
      <c r="AV612" s="5">
        <v>904.6</v>
      </c>
      <c r="BL612" s="1" t="s">
        <v>436</v>
      </c>
    </row>
    <row r="613" spans="1:64" x14ac:dyDescent="0.3">
      <c r="A613" t="s">
        <v>1344</v>
      </c>
      <c r="B613" s="1" t="s">
        <v>1344</v>
      </c>
      <c r="C613" s="9" t="s">
        <v>1345</v>
      </c>
      <c r="D613" s="1" t="s">
        <v>95</v>
      </c>
      <c r="E613" s="1" t="s">
        <v>88</v>
      </c>
      <c r="F613" s="10" t="s">
        <v>1170</v>
      </c>
      <c r="G613" s="1">
        <v>0</v>
      </c>
      <c r="H613" s="1">
        <v>0.05</v>
      </c>
      <c r="I613" s="8">
        <v>45280</v>
      </c>
      <c r="J613" s="6">
        <v>45644</v>
      </c>
      <c r="K613" s="6">
        <v>15832</v>
      </c>
      <c r="L613" s="6">
        <v>2037.68</v>
      </c>
      <c r="M613" s="6">
        <v>706.79</v>
      </c>
      <c r="N613" s="7">
        <v>548.89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3688.56</v>
      </c>
      <c r="U613" s="6">
        <v>3293.36</v>
      </c>
      <c r="V613" s="6">
        <v>0</v>
      </c>
      <c r="W613" s="6">
        <v>307.38</v>
      </c>
      <c r="AI613" s="2">
        <v>45644</v>
      </c>
      <c r="AJ613" s="2">
        <v>15832</v>
      </c>
      <c r="AK613" s="2">
        <v>2037.68</v>
      </c>
      <c r="AL613" s="2">
        <v>706.79</v>
      </c>
      <c r="AM613" s="5">
        <v>548.89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3688.56</v>
      </c>
      <c r="AT613" s="12">
        <v>3293.36</v>
      </c>
      <c r="AU613" s="2">
        <v>0</v>
      </c>
      <c r="AV613" s="5">
        <v>307.38</v>
      </c>
      <c r="BL613" s="1" t="s">
        <v>90</v>
      </c>
    </row>
    <row r="614" spans="1:64" x14ac:dyDescent="0.3">
      <c r="A614" t="s">
        <v>1346</v>
      </c>
      <c r="B614" s="1" t="s">
        <v>1346</v>
      </c>
      <c r="C614" s="9" t="s">
        <v>1347</v>
      </c>
      <c r="D614" s="1" t="s">
        <v>95</v>
      </c>
      <c r="E614" s="1" t="s">
        <v>88</v>
      </c>
      <c r="F614" s="10" t="s">
        <v>1348</v>
      </c>
      <c r="G614" s="1">
        <v>0</v>
      </c>
      <c r="H614" s="1">
        <v>0.05</v>
      </c>
      <c r="I614" s="8">
        <v>45270</v>
      </c>
      <c r="J614" s="6">
        <v>158704</v>
      </c>
      <c r="K614" s="6">
        <v>35464</v>
      </c>
      <c r="L614" s="6">
        <v>7085</v>
      </c>
      <c r="M614" s="6">
        <v>1583.21</v>
      </c>
      <c r="N614" s="7">
        <v>1733.64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11650.07</v>
      </c>
      <c r="U614" s="6">
        <v>10401.849999999999</v>
      </c>
      <c r="V614" s="6">
        <v>0</v>
      </c>
      <c r="W614" s="6">
        <v>970.84</v>
      </c>
      <c r="AI614" s="2">
        <v>158704</v>
      </c>
      <c r="AJ614" s="2">
        <v>35464</v>
      </c>
      <c r="AK614" s="2">
        <v>7085</v>
      </c>
      <c r="AL614" s="2">
        <v>1583.21</v>
      </c>
      <c r="AM614" s="5">
        <v>1733.64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11650.07</v>
      </c>
      <c r="AT614" s="12">
        <v>10401.849999999999</v>
      </c>
      <c r="AU614" s="2">
        <v>0</v>
      </c>
      <c r="AV614" s="5">
        <v>970.84</v>
      </c>
      <c r="BL614" s="1" t="s">
        <v>90</v>
      </c>
    </row>
    <row r="615" spans="1:64" x14ac:dyDescent="0.3">
      <c r="A615" t="s">
        <v>1349</v>
      </c>
      <c r="B615" s="1" t="s">
        <v>1349</v>
      </c>
      <c r="C615" s="9" t="s">
        <v>1350</v>
      </c>
      <c r="D615" s="1" t="s">
        <v>95</v>
      </c>
      <c r="E615" s="1" t="s">
        <v>135</v>
      </c>
      <c r="F615" s="10" t="s">
        <v>435</v>
      </c>
      <c r="G615" s="1">
        <v>0</v>
      </c>
      <c r="H615" s="1">
        <v>0.05</v>
      </c>
      <c r="I615" s="8">
        <v>45270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400403.10000000003</v>
      </c>
      <c r="P615" s="6">
        <v>16609.5</v>
      </c>
      <c r="Q615" s="6">
        <v>17875.14</v>
      </c>
      <c r="R615" s="6">
        <v>741.5</v>
      </c>
      <c r="S615" s="7">
        <v>0</v>
      </c>
      <c r="T615" s="11">
        <v>20850.64</v>
      </c>
      <c r="U615" s="6">
        <v>18616.64</v>
      </c>
      <c r="V615" s="6">
        <v>0</v>
      </c>
      <c r="W615" s="6">
        <v>2085.06</v>
      </c>
      <c r="AI615" s="2">
        <v>0</v>
      </c>
      <c r="AJ615" s="2">
        <v>0</v>
      </c>
      <c r="AK615" s="2">
        <v>0</v>
      </c>
      <c r="AL615" s="2">
        <v>0</v>
      </c>
      <c r="AM615" s="5">
        <v>0</v>
      </c>
      <c r="AN615" s="12">
        <v>400403.10000000003</v>
      </c>
      <c r="AO615" s="2">
        <v>16609.5</v>
      </c>
      <c r="AP615" s="2">
        <v>17875.14</v>
      </c>
      <c r="AQ615" s="2">
        <v>741.5</v>
      </c>
      <c r="AR615" s="5">
        <v>0</v>
      </c>
      <c r="AS615" s="2">
        <v>20850.64</v>
      </c>
      <c r="AT615" s="12">
        <v>18616.64</v>
      </c>
      <c r="AU615" s="2">
        <v>0</v>
      </c>
      <c r="AV615" s="5">
        <v>2085.06</v>
      </c>
      <c r="BL615" s="1" t="s">
        <v>137</v>
      </c>
    </row>
    <row r="616" spans="1:64" x14ac:dyDescent="0.3">
      <c r="A616" t="s">
        <v>1355</v>
      </c>
      <c r="B616" s="1" t="s">
        <v>1355</v>
      </c>
      <c r="C616" s="9" t="s">
        <v>1356</v>
      </c>
      <c r="D616" s="1" t="s">
        <v>95</v>
      </c>
      <c r="E616" s="1" t="s">
        <v>88</v>
      </c>
      <c r="F616" s="10" t="s">
        <v>96</v>
      </c>
      <c r="G616" s="1">
        <v>0</v>
      </c>
      <c r="H616" s="1">
        <v>0.05</v>
      </c>
      <c r="I616" s="8">
        <v>45390</v>
      </c>
      <c r="J616" s="6">
        <v>473014.25</v>
      </c>
      <c r="K616" s="6">
        <v>67876</v>
      </c>
      <c r="L616" s="6">
        <v>21116.71</v>
      </c>
      <c r="M616" s="6">
        <v>3030.18</v>
      </c>
      <c r="N616" s="7">
        <v>4829.37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32453.41</v>
      </c>
      <c r="U616" s="6">
        <v>28976.26</v>
      </c>
      <c r="V616" s="6">
        <v>0</v>
      </c>
      <c r="W616" s="6">
        <v>2704.45</v>
      </c>
      <c r="AI616" s="2">
        <v>473014.25</v>
      </c>
      <c r="AJ616" s="2">
        <v>67876</v>
      </c>
      <c r="AK616" s="2">
        <v>21116.71</v>
      </c>
      <c r="AL616" s="2">
        <v>3030.18</v>
      </c>
      <c r="AM616" s="5">
        <v>4829.37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32453.41</v>
      </c>
      <c r="AT616" s="12">
        <v>28976.26</v>
      </c>
      <c r="AU616" s="2">
        <v>0</v>
      </c>
      <c r="AV616" s="5">
        <v>2704.45</v>
      </c>
      <c r="BL616" s="1" t="s">
        <v>90</v>
      </c>
    </row>
    <row r="617" spans="1:64" x14ac:dyDescent="0.3">
      <c r="A617" t="s">
        <v>1355</v>
      </c>
      <c r="B617" s="1" t="s">
        <v>1357</v>
      </c>
      <c r="C617" s="9" t="s">
        <v>1358</v>
      </c>
      <c r="D617" s="1" t="s">
        <v>95</v>
      </c>
      <c r="E617" s="1" t="s">
        <v>88</v>
      </c>
      <c r="F617" s="10" t="s">
        <v>96</v>
      </c>
      <c r="G617" s="1">
        <v>0</v>
      </c>
      <c r="H617" s="1">
        <v>0.05</v>
      </c>
      <c r="I617" s="8">
        <v>45729</v>
      </c>
      <c r="J617" s="6">
        <v>360149.4</v>
      </c>
      <c r="K617" s="6">
        <v>37511</v>
      </c>
      <c r="L617" s="6">
        <v>16078.1</v>
      </c>
      <c r="M617" s="6">
        <v>1674.6</v>
      </c>
      <c r="N617" s="7">
        <v>3550.54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23859.63</v>
      </c>
      <c r="U617" s="6">
        <v>21303.24</v>
      </c>
      <c r="V617" s="6">
        <v>0</v>
      </c>
      <c r="W617" s="6">
        <v>1988.3</v>
      </c>
      <c r="AI617" s="2">
        <v>360149.4</v>
      </c>
      <c r="AJ617" s="2">
        <v>37511</v>
      </c>
      <c r="AK617" s="2">
        <v>16078.1</v>
      </c>
      <c r="AL617" s="2">
        <v>1674.6</v>
      </c>
      <c r="AM617" s="5">
        <v>3550.54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23859.63</v>
      </c>
      <c r="AT617" s="12">
        <v>21303.24</v>
      </c>
      <c r="AU617" s="2">
        <v>0</v>
      </c>
      <c r="AV617" s="5">
        <v>1988.3</v>
      </c>
      <c r="BL617" s="1" t="s">
        <v>90</v>
      </c>
    </row>
    <row r="618" spans="1:64" x14ac:dyDescent="0.3">
      <c r="A618" t="s">
        <v>1359</v>
      </c>
      <c r="B618" s="1" t="s">
        <v>1359</v>
      </c>
      <c r="C618" s="9" t="s">
        <v>1360</v>
      </c>
      <c r="D618" s="1" t="s">
        <v>95</v>
      </c>
      <c r="E618" s="1" t="s">
        <v>135</v>
      </c>
      <c r="F618" s="10" t="s">
        <v>435</v>
      </c>
      <c r="G618" s="1">
        <v>0</v>
      </c>
      <c r="H618" s="1">
        <v>0.05</v>
      </c>
      <c r="I618" s="8">
        <v>45273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562095.89999999991</v>
      </c>
      <c r="P618" s="6">
        <v>23316.600000000002</v>
      </c>
      <c r="Q618" s="6">
        <v>25093.57</v>
      </c>
      <c r="R618" s="6">
        <v>1040.92</v>
      </c>
      <c r="S618" s="7">
        <v>0</v>
      </c>
      <c r="T618" s="11">
        <v>29270.63</v>
      </c>
      <c r="U618" s="6">
        <v>26134.489999999998</v>
      </c>
      <c r="V618" s="6">
        <v>0</v>
      </c>
      <c r="W618" s="6">
        <v>2927.06</v>
      </c>
      <c r="AI618" s="2">
        <v>0</v>
      </c>
      <c r="AJ618" s="2">
        <v>0</v>
      </c>
      <c r="AK618" s="2">
        <v>0</v>
      </c>
      <c r="AL618" s="2">
        <v>0</v>
      </c>
      <c r="AM618" s="5">
        <v>0</v>
      </c>
      <c r="AN618" s="12">
        <v>562095.89999999991</v>
      </c>
      <c r="AO618" s="2">
        <v>23316.600000000002</v>
      </c>
      <c r="AP618" s="2">
        <v>25093.57</v>
      </c>
      <c r="AQ618" s="2">
        <v>1040.92</v>
      </c>
      <c r="AR618" s="5">
        <v>0</v>
      </c>
      <c r="AS618" s="2">
        <v>29270.63</v>
      </c>
      <c r="AT618" s="12">
        <v>26134.489999999998</v>
      </c>
      <c r="AU618" s="2">
        <v>0</v>
      </c>
      <c r="AV618" s="5">
        <v>2927.06</v>
      </c>
      <c r="BL618" s="1" t="s">
        <v>137</v>
      </c>
    </row>
    <row r="619" spans="1:64" x14ac:dyDescent="0.3">
      <c r="A619" t="s">
        <v>1361</v>
      </c>
      <c r="B619" s="1" t="s">
        <v>1362</v>
      </c>
      <c r="C619" s="9" t="s">
        <v>1363</v>
      </c>
      <c r="D619" s="1" t="s">
        <v>95</v>
      </c>
      <c r="E619" s="1" t="s">
        <v>128</v>
      </c>
      <c r="F619" s="10" t="s">
        <v>355</v>
      </c>
      <c r="G619" s="1">
        <v>0.04</v>
      </c>
      <c r="H619" s="1">
        <v>0.05</v>
      </c>
      <c r="I619" s="8">
        <v>44679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1006041.8999999999</v>
      </c>
      <c r="P619" s="6">
        <v>98826.3</v>
      </c>
      <c r="Q619" s="6">
        <v>44912.59</v>
      </c>
      <c r="R619" s="6">
        <v>4411.8900000000003</v>
      </c>
      <c r="S619" s="7">
        <v>9864.89</v>
      </c>
      <c r="T619" s="11">
        <v>66292.09</v>
      </c>
      <c r="U619" s="6">
        <v>59189.369999999995</v>
      </c>
      <c r="V619" s="6">
        <v>0</v>
      </c>
      <c r="W619" s="6">
        <v>5524.34</v>
      </c>
      <c r="AI619" s="2">
        <v>0</v>
      </c>
      <c r="AJ619" s="2">
        <v>0</v>
      </c>
      <c r="AK619" s="2">
        <v>0</v>
      </c>
      <c r="AL619" s="2">
        <v>0</v>
      </c>
      <c r="AM619" s="5">
        <v>0</v>
      </c>
      <c r="AN619" s="12">
        <v>1006041.8999999999</v>
      </c>
      <c r="AO619" s="2">
        <v>98826.3</v>
      </c>
      <c r="AP619" s="2">
        <v>44912.59</v>
      </c>
      <c r="AQ619" s="2">
        <v>4411.8900000000003</v>
      </c>
      <c r="AR619" s="5">
        <v>9864.89</v>
      </c>
      <c r="AS619" s="2">
        <v>66292.09</v>
      </c>
      <c r="AT619" s="12">
        <v>59189.369999999995</v>
      </c>
      <c r="AU619" s="2">
        <v>0</v>
      </c>
      <c r="AV619" s="5">
        <v>5524.34</v>
      </c>
      <c r="BL619" s="1" t="s">
        <v>130</v>
      </c>
    </row>
    <row r="620" spans="1:64" x14ac:dyDescent="0.3">
      <c r="A620" t="s">
        <v>1361</v>
      </c>
      <c r="B620" s="1" t="s">
        <v>1364</v>
      </c>
      <c r="C620" s="9" t="s">
        <v>1365</v>
      </c>
      <c r="D620" s="1" t="s">
        <v>95</v>
      </c>
      <c r="E620" s="1" t="s">
        <v>128</v>
      </c>
      <c r="F620" s="10" t="s">
        <v>355</v>
      </c>
      <c r="G620" s="1">
        <v>0.04</v>
      </c>
      <c r="H620" s="1">
        <v>0.05</v>
      </c>
      <c r="I620" s="8">
        <v>44679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166035</v>
      </c>
      <c r="P620" s="6">
        <v>0</v>
      </c>
      <c r="Q620" s="6">
        <v>7412.28</v>
      </c>
      <c r="R620" s="6">
        <v>0</v>
      </c>
      <c r="S620" s="7">
        <v>1482.46</v>
      </c>
      <c r="T620" s="11">
        <v>9962.11</v>
      </c>
      <c r="U620" s="6">
        <v>8894.74</v>
      </c>
      <c r="V620" s="6">
        <v>0</v>
      </c>
      <c r="W620" s="6">
        <v>830.18</v>
      </c>
      <c r="AI620" s="2">
        <v>0</v>
      </c>
      <c r="AJ620" s="2">
        <v>0</v>
      </c>
      <c r="AK620" s="2">
        <v>0</v>
      </c>
      <c r="AL620" s="2">
        <v>0</v>
      </c>
      <c r="AM620" s="5">
        <v>0</v>
      </c>
      <c r="AN620" s="12">
        <v>166035</v>
      </c>
      <c r="AO620" s="2">
        <v>0</v>
      </c>
      <c r="AP620" s="2">
        <v>7412.28</v>
      </c>
      <c r="AQ620" s="2">
        <v>0</v>
      </c>
      <c r="AR620" s="5">
        <v>1482.46</v>
      </c>
      <c r="AS620" s="2">
        <v>9962.11</v>
      </c>
      <c r="AT620" s="12">
        <v>8894.74</v>
      </c>
      <c r="AU620" s="2">
        <v>0</v>
      </c>
      <c r="AV620" s="5">
        <v>830.18</v>
      </c>
      <c r="BL620" s="1" t="s">
        <v>130</v>
      </c>
    </row>
    <row r="621" spans="1:64" x14ac:dyDescent="0.3">
      <c r="A621" t="s">
        <v>1361</v>
      </c>
      <c r="B621" s="1" t="s">
        <v>1366</v>
      </c>
      <c r="C621" s="9" t="s">
        <v>1367</v>
      </c>
      <c r="D621" s="1" t="s">
        <v>95</v>
      </c>
      <c r="E621" s="1" t="s">
        <v>128</v>
      </c>
      <c r="F621" s="10" t="s">
        <v>355</v>
      </c>
      <c r="G621" s="1">
        <v>0.04</v>
      </c>
      <c r="H621" s="1">
        <v>0.05</v>
      </c>
      <c r="I621" s="8">
        <v>44679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171389.1</v>
      </c>
      <c r="P621" s="6">
        <v>13198.199999999999</v>
      </c>
      <c r="Q621" s="6">
        <v>7651.3</v>
      </c>
      <c r="R621" s="6">
        <v>589.21</v>
      </c>
      <c r="S621" s="7">
        <v>1648.1</v>
      </c>
      <c r="T621" s="11">
        <v>11075.24</v>
      </c>
      <c r="U621" s="6">
        <v>9888.61</v>
      </c>
      <c r="V621" s="6">
        <v>0</v>
      </c>
      <c r="W621" s="6">
        <v>922.94</v>
      </c>
      <c r="AI621" s="2">
        <v>0</v>
      </c>
      <c r="AJ621" s="2">
        <v>0</v>
      </c>
      <c r="AK621" s="2">
        <v>0</v>
      </c>
      <c r="AL621" s="2">
        <v>0</v>
      </c>
      <c r="AM621" s="5">
        <v>0</v>
      </c>
      <c r="AN621" s="12">
        <v>171389.1</v>
      </c>
      <c r="AO621" s="2">
        <v>13198.199999999999</v>
      </c>
      <c r="AP621" s="2">
        <v>7651.3</v>
      </c>
      <c r="AQ621" s="2">
        <v>589.21</v>
      </c>
      <c r="AR621" s="5">
        <v>1648.1</v>
      </c>
      <c r="AS621" s="2">
        <v>11075.24</v>
      </c>
      <c r="AT621" s="12">
        <v>9888.61</v>
      </c>
      <c r="AU621" s="2">
        <v>0</v>
      </c>
      <c r="AV621" s="5">
        <v>922.94</v>
      </c>
      <c r="BL621" s="1" t="s">
        <v>130</v>
      </c>
    </row>
    <row r="622" spans="1:64" x14ac:dyDescent="0.3">
      <c r="A622" t="s">
        <v>1361</v>
      </c>
      <c r="B622" s="1" t="s">
        <v>1368</v>
      </c>
      <c r="C622" s="9" t="s">
        <v>1369</v>
      </c>
      <c r="D622" s="1" t="s">
        <v>95</v>
      </c>
      <c r="E622" s="1" t="s">
        <v>128</v>
      </c>
      <c r="F622" s="10" t="s">
        <v>355</v>
      </c>
      <c r="G622" s="1">
        <v>0.04</v>
      </c>
      <c r="H622" s="1">
        <v>0.05</v>
      </c>
      <c r="I622" s="8">
        <v>44679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0</v>
      </c>
      <c r="AJ622" s="2">
        <v>0</v>
      </c>
      <c r="AK622" s="2">
        <v>0</v>
      </c>
      <c r="AL622" s="2">
        <v>0</v>
      </c>
      <c r="AM622" s="5">
        <v>0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0</v>
      </c>
      <c r="AT622" s="12">
        <v>0</v>
      </c>
      <c r="AU622" s="2">
        <v>0</v>
      </c>
      <c r="AV622" s="5">
        <v>0</v>
      </c>
      <c r="BL622" s="1" t="s">
        <v>130</v>
      </c>
    </row>
    <row r="623" spans="1:64" x14ac:dyDescent="0.3">
      <c r="A623" t="s">
        <v>1361</v>
      </c>
      <c r="B623" s="1" t="s">
        <v>1370</v>
      </c>
      <c r="C623" s="9" t="s">
        <v>1371</v>
      </c>
      <c r="D623" s="1" t="s">
        <v>95</v>
      </c>
      <c r="E623" s="1" t="s">
        <v>128</v>
      </c>
      <c r="F623" s="10" t="s">
        <v>355</v>
      </c>
      <c r="G623" s="1">
        <v>3.5000000000000003E-2</v>
      </c>
      <c r="H623" s="1">
        <v>0.05</v>
      </c>
      <c r="I623" s="8">
        <v>45725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248878.80000000002</v>
      </c>
      <c r="P623" s="6">
        <v>22585.800000000003</v>
      </c>
      <c r="Q623" s="6">
        <v>11110.66</v>
      </c>
      <c r="R623" s="6">
        <v>1008.29</v>
      </c>
      <c r="S623" s="7">
        <v>2423.79</v>
      </c>
      <c r="T623" s="11">
        <v>16287.87</v>
      </c>
      <c r="U623" s="6">
        <v>14542.740000000002</v>
      </c>
      <c r="V623" s="6">
        <v>0</v>
      </c>
      <c r="W623" s="6">
        <v>1357.32</v>
      </c>
      <c r="AI623" s="2">
        <v>0</v>
      </c>
      <c r="AJ623" s="2">
        <v>0</v>
      </c>
      <c r="AK623" s="2">
        <v>0</v>
      </c>
      <c r="AL623" s="2">
        <v>0</v>
      </c>
      <c r="AM623" s="5">
        <v>0</v>
      </c>
      <c r="AN623" s="12">
        <v>248878.80000000002</v>
      </c>
      <c r="AO623" s="2">
        <v>22585.800000000003</v>
      </c>
      <c r="AP623" s="2">
        <v>11110.66</v>
      </c>
      <c r="AQ623" s="2">
        <v>1008.29</v>
      </c>
      <c r="AR623" s="5">
        <v>2423.79</v>
      </c>
      <c r="AS623" s="2">
        <v>16287.87</v>
      </c>
      <c r="AT623" s="12">
        <v>14542.740000000002</v>
      </c>
      <c r="AU623" s="2">
        <v>0</v>
      </c>
      <c r="AV623" s="5">
        <v>1357.32</v>
      </c>
      <c r="BL623" s="1" t="s">
        <v>130</v>
      </c>
    </row>
    <row r="624" spans="1:64" x14ac:dyDescent="0.3">
      <c r="A624" t="s">
        <v>1361</v>
      </c>
      <c r="B624" s="1" t="s">
        <v>1372</v>
      </c>
      <c r="C624" s="9" t="s">
        <v>1373</v>
      </c>
      <c r="D624" s="1" t="s">
        <v>95</v>
      </c>
      <c r="E624" s="1" t="s">
        <v>128</v>
      </c>
      <c r="F624" s="10" t="s">
        <v>355</v>
      </c>
      <c r="G624" s="1">
        <v>3.5000000000000003E-2</v>
      </c>
      <c r="H624" s="1">
        <v>0.05</v>
      </c>
      <c r="I624" s="8">
        <v>45725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385203.30000000005</v>
      </c>
      <c r="P624" s="6">
        <v>0</v>
      </c>
      <c r="Q624" s="6">
        <v>17196.580000000002</v>
      </c>
      <c r="R624" s="6">
        <v>0</v>
      </c>
      <c r="S624" s="7">
        <v>3439.31</v>
      </c>
      <c r="T624" s="11">
        <v>23112.2</v>
      </c>
      <c r="U624" s="6">
        <v>20635.890000000003</v>
      </c>
      <c r="V624" s="6">
        <v>0</v>
      </c>
      <c r="W624" s="6">
        <v>1926.02</v>
      </c>
      <c r="AI624" s="2">
        <v>0</v>
      </c>
      <c r="AJ624" s="2">
        <v>0</v>
      </c>
      <c r="AK624" s="2">
        <v>0</v>
      </c>
      <c r="AL624" s="2">
        <v>0</v>
      </c>
      <c r="AM624" s="5">
        <v>0</v>
      </c>
      <c r="AN624" s="12">
        <v>385203.30000000005</v>
      </c>
      <c r="AO624" s="2">
        <v>0</v>
      </c>
      <c r="AP624" s="2">
        <v>17196.580000000002</v>
      </c>
      <c r="AQ624" s="2">
        <v>0</v>
      </c>
      <c r="AR624" s="5">
        <v>3439.31</v>
      </c>
      <c r="AS624" s="2">
        <v>23112.2</v>
      </c>
      <c r="AT624" s="12">
        <v>20635.890000000003</v>
      </c>
      <c r="AU624" s="2">
        <v>0</v>
      </c>
      <c r="AV624" s="5">
        <v>1926.02</v>
      </c>
      <c r="BL624" s="1" t="s">
        <v>130</v>
      </c>
    </row>
    <row r="625" spans="1:64" x14ac:dyDescent="0.3">
      <c r="A625" t="s">
        <v>1361</v>
      </c>
      <c r="B625" s="1" t="s">
        <v>1361</v>
      </c>
      <c r="C625" s="9" t="s">
        <v>1374</v>
      </c>
      <c r="D625" s="1" t="s">
        <v>95</v>
      </c>
      <c r="E625" s="1" t="s">
        <v>128</v>
      </c>
      <c r="F625" s="10" t="s">
        <v>355</v>
      </c>
      <c r="G625" s="1">
        <v>0</v>
      </c>
      <c r="H625" s="1">
        <v>0.05</v>
      </c>
      <c r="I625" s="8">
        <v>45272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230945.1</v>
      </c>
      <c r="P625" s="6">
        <v>9579.9</v>
      </c>
      <c r="Q625" s="6">
        <v>10310.049999999999</v>
      </c>
      <c r="R625" s="6">
        <v>427.68</v>
      </c>
      <c r="S625" s="7">
        <v>0</v>
      </c>
      <c r="T625" s="11">
        <v>12026.26</v>
      </c>
      <c r="U625" s="6">
        <v>10737.73</v>
      </c>
      <c r="V625" s="6">
        <v>0</v>
      </c>
      <c r="W625" s="6">
        <v>1202.6199999999999</v>
      </c>
      <c r="AI625" s="2">
        <v>0</v>
      </c>
      <c r="AJ625" s="2">
        <v>0</v>
      </c>
      <c r="AK625" s="2">
        <v>0</v>
      </c>
      <c r="AL625" s="2">
        <v>0</v>
      </c>
      <c r="AM625" s="5">
        <v>0</v>
      </c>
      <c r="AN625" s="12">
        <v>230945.1</v>
      </c>
      <c r="AO625" s="2">
        <v>9579.9</v>
      </c>
      <c r="AP625" s="2">
        <v>10310.049999999999</v>
      </c>
      <c r="AQ625" s="2">
        <v>427.68</v>
      </c>
      <c r="AR625" s="5">
        <v>0</v>
      </c>
      <c r="AS625" s="2">
        <v>12026.26</v>
      </c>
      <c r="AT625" s="12">
        <v>10737.73</v>
      </c>
      <c r="AU625" s="2">
        <v>0</v>
      </c>
      <c r="AV625" s="5">
        <v>1202.6199999999999</v>
      </c>
      <c r="BL625" s="1" t="s">
        <v>130</v>
      </c>
    </row>
    <row r="626" spans="1:64" x14ac:dyDescent="0.3">
      <c r="A626" t="s">
        <v>1385</v>
      </c>
      <c r="B626" s="1" t="s">
        <v>1385</v>
      </c>
      <c r="C626" s="9" t="s">
        <v>1386</v>
      </c>
      <c r="D626" s="1" t="s">
        <v>95</v>
      </c>
      <c r="E626" s="1" t="s">
        <v>88</v>
      </c>
      <c r="F626" s="10" t="s">
        <v>534</v>
      </c>
      <c r="G626" s="1">
        <v>0</v>
      </c>
      <c r="H626" s="1">
        <v>0.05</v>
      </c>
      <c r="I626" s="8">
        <v>45292</v>
      </c>
      <c r="J626" s="6">
        <v>444105</v>
      </c>
      <c r="K626" s="6">
        <v>214137</v>
      </c>
      <c r="L626" s="6">
        <v>19826.12</v>
      </c>
      <c r="M626" s="6">
        <v>9559.69</v>
      </c>
      <c r="N626" s="7">
        <v>5877.16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39494.53</v>
      </c>
      <c r="U626" s="6">
        <v>35262.97</v>
      </c>
      <c r="V626" s="6">
        <v>0</v>
      </c>
      <c r="W626" s="6">
        <v>3291.21</v>
      </c>
      <c r="AI626" s="2">
        <v>444105</v>
      </c>
      <c r="AJ626" s="2">
        <v>214137</v>
      </c>
      <c r="AK626" s="2">
        <v>19826.12</v>
      </c>
      <c r="AL626" s="2">
        <v>9559.69</v>
      </c>
      <c r="AM626" s="5">
        <v>5877.16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39494.53</v>
      </c>
      <c r="AT626" s="12">
        <v>35262.97</v>
      </c>
      <c r="AU626" s="2">
        <v>0</v>
      </c>
      <c r="AV626" s="5">
        <v>3291.21</v>
      </c>
      <c r="BL626" s="1" t="s">
        <v>90</v>
      </c>
    </row>
    <row r="627" spans="1:64" x14ac:dyDescent="0.3">
      <c r="A627" t="s">
        <v>1385</v>
      </c>
      <c r="B627" s="1" t="s">
        <v>1387</v>
      </c>
      <c r="C627" s="9" t="s">
        <v>1388</v>
      </c>
      <c r="D627" s="1" t="s">
        <v>95</v>
      </c>
      <c r="E627" s="1" t="s">
        <v>88</v>
      </c>
      <c r="F627" s="10" t="s">
        <v>534</v>
      </c>
      <c r="G627" s="1">
        <v>0</v>
      </c>
      <c r="H627" s="1">
        <v>0.05</v>
      </c>
      <c r="I627" s="8">
        <v>45292</v>
      </c>
      <c r="J627" s="6">
        <v>267606</v>
      </c>
      <c r="K627" s="6">
        <v>110798</v>
      </c>
      <c r="L627" s="6">
        <v>11946.7</v>
      </c>
      <c r="M627" s="6">
        <v>4946.34</v>
      </c>
      <c r="N627" s="7">
        <v>3378.61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22704.25</v>
      </c>
      <c r="U627" s="6">
        <v>20271.650000000001</v>
      </c>
      <c r="V627" s="6">
        <v>0</v>
      </c>
      <c r="W627" s="6">
        <v>1892.02</v>
      </c>
      <c r="AI627" s="2">
        <v>267606</v>
      </c>
      <c r="AJ627" s="2">
        <v>110798</v>
      </c>
      <c r="AK627" s="2">
        <v>11946.7</v>
      </c>
      <c r="AL627" s="2">
        <v>4946.34</v>
      </c>
      <c r="AM627" s="5">
        <v>3378.61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22704.25</v>
      </c>
      <c r="AT627" s="12">
        <v>20271.650000000001</v>
      </c>
      <c r="AU627" s="2">
        <v>0</v>
      </c>
      <c r="AV627" s="5">
        <v>1892.02</v>
      </c>
      <c r="BL627" s="1" t="s">
        <v>90</v>
      </c>
    </row>
    <row r="628" spans="1:64" x14ac:dyDescent="0.3">
      <c r="A628" t="s">
        <v>1389</v>
      </c>
      <c r="B628" s="1" t="s">
        <v>1389</v>
      </c>
      <c r="C628" s="9" t="s">
        <v>1390</v>
      </c>
      <c r="D628" s="1" t="s">
        <v>95</v>
      </c>
      <c r="E628" s="1" t="s">
        <v>128</v>
      </c>
      <c r="F628" s="10" t="s">
        <v>325</v>
      </c>
      <c r="G628" s="1">
        <v>0</v>
      </c>
      <c r="H628" s="1">
        <v>0.05</v>
      </c>
      <c r="I628" s="8">
        <v>45382</v>
      </c>
      <c r="J628" s="6">
        <v>853759.25</v>
      </c>
      <c r="K628" s="6">
        <v>62945</v>
      </c>
      <c r="L628" s="6">
        <v>38114.25</v>
      </c>
      <c r="M628" s="6">
        <v>2810.04</v>
      </c>
      <c r="N628" s="7">
        <v>8184.86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55002.25</v>
      </c>
      <c r="U628" s="6">
        <v>49109.15</v>
      </c>
      <c r="V628" s="6">
        <v>0</v>
      </c>
      <c r="W628" s="6">
        <v>4583.5200000000004</v>
      </c>
      <c r="AI628" s="2">
        <v>853759.25</v>
      </c>
      <c r="AJ628" s="2">
        <v>62945</v>
      </c>
      <c r="AK628" s="2">
        <v>38114.25</v>
      </c>
      <c r="AL628" s="2">
        <v>2810.04</v>
      </c>
      <c r="AM628" s="5">
        <v>8184.86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55002.25</v>
      </c>
      <c r="AT628" s="12">
        <v>49109.15</v>
      </c>
      <c r="AU628" s="2">
        <v>0</v>
      </c>
      <c r="AV628" s="5">
        <v>4583.5200000000004</v>
      </c>
      <c r="BL628" s="1" t="s">
        <v>326</v>
      </c>
    </row>
    <row r="629" spans="1:64" x14ac:dyDescent="0.3">
      <c r="A629" t="s">
        <v>1391</v>
      </c>
      <c r="B629" s="1" t="s">
        <v>1391</v>
      </c>
      <c r="C629" s="9" t="s">
        <v>1392</v>
      </c>
      <c r="D629" s="1" t="s">
        <v>95</v>
      </c>
      <c r="E629" s="1" t="s">
        <v>88</v>
      </c>
      <c r="F629" s="10" t="s">
        <v>218</v>
      </c>
      <c r="G629" s="1">
        <v>0</v>
      </c>
      <c r="H629" s="1">
        <v>0.05</v>
      </c>
      <c r="I629" s="8">
        <v>45464</v>
      </c>
      <c r="J629" s="6">
        <v>603544</v>
      </c>
      <c r="K629" s="6">
        <v>81231</v>
      </c>
      <c r="L629" s="6">
        <v>26943.93</v>
      </c>
      <c r="M629" s="6">
        <v>3626.38</v>
      </c>
      <c r="N629" s="7">
        <v>6114.06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41086.49</v>
      </c>
      <c r="U629" s="6">
        <v>36684.370000000003</v>
      </c>
      <c r="V629" s="6">
        <v>0</v>
      </c>
      <c r="W629" s="6">
        <v>3423.88</v>
      </c>
      <c r="AI629" s="2">
        <v>603544</v>
      </c>
      <c r="AJ629" s="2">
        <v>81231</v>
      </c>
      <c r="AK629" s="2">
        <v>26943.93</v>
      </c>
      <c r="AL629" s="2">
        <v>3626.38</v>
      </c>
      <c r="AM629" s="5">
        <v>6114.06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41086.49</v>
      </c>
      <c r="AT629" s="12">
        <v>36684.370000000003</v>
      </c>
      <c r="AU629" s="2">
        <v>0</v>
      </c>
      <c r="AV629" s="5">
        <v>3423.88</v>
      </c>
      <c r="BL629" s="1" t="s">
        <v>90</v>
      </c>
    </row>
    <row r="630" spans="1:64" x14ac:dyDescent="0.3">
      <c r="A630" t="s">
        <v>1393</v>
      </c>
      <c r="B630" s="1" t="s">
        <v>1393</v>
      </c>
      <c r="C630" s="9" t="s">
        <v>1394</v>
      </c>
      <c r="D630" s="1" t="s">
        <v>95</v>
      </c>
      <c r="E630" s="1" t="s">
        <v>135</v>
      </c>
      <c r="F630" s="10" t="s">
        <v>136</v>
      </c>
      <c r="G630" s="1">
        <v>0</v>
      </c>
      <c r="H630" s="1">
        <v>0.05</v>
      </c>
      <c r="I630" s="8">
        <v>45397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577353.29999999993</v>
      </c>
      <c r="P630" s="6">
        <v>30114.6</v>
      </c>
      <c r="Q630" s="6">
        <v>25774.7</v>
      </c>
      <c r="R630" s="6">
        <v>1344.4</v>
      </c>
      <c r="S630" s="7">
        <v>0</v>
      </c>
      <c r="T630" s="11">
        <v>30373.39</v>
      </c>
      <c r="U630" s="6">
        <v>27119.100000000002</v>
      </c>
      <c r="V630" s="6">
        <v>0</v>
      </c>
      <c r="W630" s="6">
        <v>3037.34</v>
      </c>
      <c r="AI630" s="2">
        <v>0</v>
      </c>
      <c r="AJ630" s="2">
        <v>0</v>
      </c>
      <c r="AK630" s="2">
        <v>0</v>
      </c>
      <c r="AL630" s="2">
        <v>0</v>
      </c>
      <c r="AM630" s="5">
        <v>0</v>
      </c>
      <c r="AN630" s="12">
        <v>577353.29999999993</v>
      </c>
      <c r="AO630" s="2">
        <v>30114.6</v>
      </c>
      <c r="AP630" s="2">
        <v>25774.7</v>
      </c>
      <c r="AQ630" s="2">
        <v>1344.4</v>
      </c>
      <c r="AR630" s="5">
        <v>0</v>
      </c>
      <c r="AS630" s="2">
        <v>30373.39</v>
      </c>
      <c r="AT630" s="12">
        <v>27119.100000000002</v>
      </c>
      <c r="AU630" s="2">
        <v>0</v>
      </c>
      <c r="AV630" s="5">
        <v>3037.34</v>
      </c>
      <c r="BL630" s="1" t="s">
        <v>137</v>
      </c>
    </row>
    <row r="631" spans="1:64" x14ac:dyDescent="0.3">
      <c r="A631" t="s">
        <v>1395</v>
      </c>
      <c r="B631" s="1" t="s">
        <v>1395</v>
      </c>
      <c r="C631" s="9" t="s">
        <v>1396</v>
      </c>
      <c r="D631" s="1" t="s">
        <v>95</v>
      </c>
      <c r="E631" s="1" t="s">
        <v>128</v>
      </c>
      <c r="F631" s="10" t="s">
        <v>309</v>
      </c>
      <c r="G631" s="1">
        <v>0</v>
      </c>
      <c r="H631" s="1">
        <v>0.05</v>
      </c>
      <c r="I631" s="8">
        <v>45367</v>
      </c>
      <c r="J631" s="6">
        <v>459319</v>
      </c>
      <c r="K631" s="6">
        <v>15377</v>
      </c>
      <c r="L631" s="6">
        <v>20505.310000000001</v>
      </c>
      <c r="M631" s="6">
        <v>686.47</v>
      </c>
      <c r="N631" s="7">
        <v>4238.3599999999997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28481.759999999998</v>
      </c>
      <c r="U631" s="6">
        <v>25430.140000000003</v>
      </c>
      <c r="V631" s="6">
        <v>0</v>
      </c>
      <c r="W631" s="6">
        <v>2373.48</v>
      </c>
      <c r="AI631" s="2">
        <v>459319</v>
      </c>
      <c r="AJ631" s="2">
        <v>15377</v>
      </c>
      <c r="AK631" s="2">
        <v>20505.310000000001</v>
      </c>
      <c r="AL631" s="2">
        <v>686.47</v>
      </c>
      <c r="AM631" s="5">
        <v>4238.3599999999997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28481.759999999998</v>
      </c>
      <c r="AT631" s="12">
        <v>25430.140000000003</v>
      </c>
      <c r="AU631" s="2">
        <v>0</v>
      </c>
      <c r="AV631" s="5">
        <v>2373.48</v>
      </c>
      <c r="BL631" s="1" t="s">
        <v>130</v>
      </c>
    </row>
    <row r="632" spans="1:64" x14ac:dyDescent="0.3">
      <c r="A632" t="s">
        <v>1395</v>
      </c>
      <c r="B632" s="1" t="s">
        <v>1397</v>
      </c>
      <c r="C632" s="9" t="s">
        <v>1398</v>
      </c>
      <c r="D632" s="1" t="s">
        <v>95</v>
      </c>
      <c r="E632" s="1" t="s">
        <v>128</v>
      </c>
      <c r="F632" s="10" t="s">
        <v>309</v>
      </c>
      <c r="G632" s="1">
        <v>0</v>
      </c>
      <c r="H632" s="1">
        <v>0.05</v>
      </c>
      <c r="I632" s="8">
        <v>45367</v>
      </c>
      <c r="J632" s="6">
        <v>333694</v>
      </c>
      <c r="K632" s="6">
        <v>16104</v>
      </c>
      <c r="L632" s="6">
        <v>14897.05</v>
      </c>
      <c r="M632" s="6">
        <v>718.93</v>
      </c>
      <c r="N632" s="7">
        <v>3123.2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20987.88</v>
      </c>
      <c r="U632" s="6">
        <v>18739.18</v>
      </c>
      <c r="V632" s="6">
        <v>0</v>
      </c>
      <c r="W632" s="6">
        <v>1748.99</v>
      </c>
      <c r="AI632" s="2">
        <v>333694</v>
      </c>
      <c r="AJ632" s="2">
        <v>16104</v>
      </c>
      <c r="AK632" s="2">
        <v>14897.05</v>
      </c>
      <c r="AL632" s="2">
        <v>718.93</v>
      </c>
      <c r="AM632" s="5">
        <v>3123.2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20987.88</v>
      </c>
      <c r="AT632" s="12">
        <v>18739.18</v>
      </c>
      <c r="AU632" s="2">
        <v>0</v>
      </c>
      <c r="AV632" s="5">
        <v>1748.99</v>
      </c>
      <c r="BL632" s="1" t="s">
        <v>130</v>
      </c>
    </row>
    <row r="633" spans="1:64" x14ac:dyDescent="0.3">
      <c r="A633" t="s">
        <v>1395</v>
      </c>
      <c r="B633" s="1" t="s">
        <v>1399</v>
      </c>
      <c r="C633" s="9" t="s">
        <v>1400</v>
      </c>
      <c r="D633" s="1" t="s">
        <v>95</v>
      </c>
      <c r="E633" s="1" t="s">
        <v>128</v>
      </c>
      <c r="F633" s="10" t="s">
        <v>309</v>
      </c>
      <c r="G633" s="1">
        <v>0</v>
      </c>
      <c r="H633" s="1">
        <v>0.05</v>
      </c>
      <c r="I633" s="8">
        <v>45367</v>
      </c>
      <c r="J633" s="6">
        <v>274130</v>
      </c>
      <c r="K633" s="6">
        <v>9288</v>
      </c>
      <c r="L633" s="6">
        <v>12237.95</v>
      </c>
      <c r="M633" s="6">
        <v>414.64</v>
      </c>
      <c r="N633" s="7">
        <v>2530.52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17005.080000000002</v>
      </c>
      <c r="U633" s="6">
        <v>15183.11</v>
      </c>
      <c r="V633" s="6">
        <v>0</v>
      </c>
      <c r="W633" s="6">
        <v>1417.09</v>
      </c>
      <c r="AI633" s="2">
        <v>274130</v>
      </c>
      <c r="AJ633" s="2">
        <v>9288</v>
      </c>
      <c r="AK633" s="2">
        <v>12237.95</v>
      </c>
      <c r="AL633" s="2">
        <v>414.64</v>
      </c>
      <c r="AM633" s="5">
        <v>2530.52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17005.080000000002</v>
      </c>
      <c r="AT633" s="12">
        <v>15183.11</v>
      </c>
      <c r="AU633" s="2">
        <v>0</v>
      </c>
      <c r="AV633" s="5">
        <v>1417.09</v>
      </c>
      <c r="BL633" s="1" t="s">
        <v>130</v>
      </c>
    </row>
    <row r="634" spans="1:64" x14ac:dyDescent="0.3">
      <c r="A634" t="s">
        <v>1395</v>
      </c>
      <c r="B634" s="1" t="s">
        <v>1401</v>
      </c>
      <c r="C634" s="9" t="s">
        <v>1402</v>
      </c>
      <c r="D634" s="1" t="s">
        <v>95</v>
      </c>
      <c r="E634" s="1" t="s">
        <v>128</v>
      </c>
      <c r="F634" s="10" t="s">
        <v>309</v>
      </c>
      <c r="G634" s="1">
        <v>0</v>
      </c>
      <c r="H634" s="1">
        <v>0.05</v>
      </c>
      <c r="I634" s="8">
        <v>45481</v>
      </c>
      <c r="J634" s="6">
        <v>185687</v>
      </c>
      <c r="K634" s="6">
        <v>1150</v>
      </c>
      <c r="L634" s="6">
        <v>8289.6</v>
      </c>
      <c r="M634" s="6">
        <v>51.34</v>
      </c>
      <c r="N634" s="7">
        <v>1668.19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11210.23</v>
      </c>
      <c r="U634" s="6">
        <v>10009.130000000001</v>
      </c>
      <c r="V634" s="6">
        <v>0</v>
      </c>
      <c r="W634" s="6">
        <v>934.18</v>
      </c>
      <c r="AI634" s="2">
        <v>185687</v>
      </c>
      <c r="AJ634" s="2">
        <v>1150</v>
      </c>
      <c r="AK634" s="2">
        <v>8289.6</v>
      </c>
      <c r="AL634" s="2">
        <v>51.34</v>
      </c>
      <c r="AM634" s="5">
        <v>1668.19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11210.23</v>
      </c>
      <c r="AT634" s="12">
        <v>10009.130000000001</v>
      </c>
      <c r="AU634" s="2">
        <v>0</v>
      </c>
      <c r="AV634" s="5">
        <v>934.18</v>
      </c>
      <c r="BL634" s="1" t="s">
        <v>130</v>
      </c>
    </row>
    <row r="635" spans="1:64" x14ac:dyDescent="0.3">
      <c r="A635" t="s">
        <v>1405</v>
      </c>
      <c r="B635" s="1" t="s">
        <v>1405</v>
      </c>
      <c r="C635" s="9" t="s">
        <v>1406</v>
      </c>
      <c r="D635" s="1" t="s">
        <v>95</v>
      </c>
      <c r="E635" s="1" t="s">
        <v>135</v>
      </c>
      <c r="F635" s="10" t="s">
        <v>435</v>
      </c>
      <c r="G635" s="1">
        <v>0</v>
      </c>
      <c r="H635" s="1">
        <v>0.05</v>
      </c>
      <c r="I635" s="8">
        <v>45439</v>
      </c>
      <c r="J635" s="6">
        <v>1111259</v>
      </c>
      <c r="K635" s="6">
        <v>135909</v>
      </c>
      <c r="L635" s="6">
        <v>49609.78</v>
      </c>
      <c r="M635" s="6">
        <v>6067.37</v>
      </c>
      <c r="N635" s="7">
        <v>11135.43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74830.09</v>
      </c>
      <c r="U635" s="6">
        <v>66812.58</v>
      </c>
      <c r="V635" s="6">
        <v>0</v>
      </c>
      <c r="W635" s="6">
        <v>6235.84</v>
      </c>
      <c r="AI635" s="2">
        <v>1111259</v>
      </c>
      <c r="AJ635" s="2">
        <v>135909</v>
      </c>
      <c r="AK635" s="2">
        <v>49609.78</v>
      </c>
      <c r="AL635" s="2">
        <v>6067.37</v>
      </c>
      <c r="AM635" s="5">
        <v>11135.43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74830.09</v>
      </c>
      <c r="AT635" s="12">
        <v>66812.58</v>
      </c>
      <c r="AU635" s="2">
        <v>0</v>
      </c>
      <c r="AV635" s="5">
        <v>6235.84</v>
      </c>
      <c r="BL635" s="1" t="s">
        <v>302</v>
      </c>
    </row>
    <row r="636" spans="1:64" x14ac:dyDescent="0.3">
      <c r="A636" t="s">
        <v>1405</v>
      </c>
      <c r="B636" s="1" t="s">
        <v>1407</v>
      </c>
      <c r="C636" s="9" t="s">
        <v>1408</v>
      </c>
      <c r="D636" s="1" t="s">
        <v>95</v>
      </c>
      <c r="E636" s="1" t="s">
        <v>135</v>
      </c>
      <c r="F636" s="10" t="s">
        <v>435</v>
      </c>
      <c r="G636" s="1">
        <v>0</v>
      </c>
      <c r="H636" s="1">
        <v>0.05</v>
      </c>
      <c r="I636" s="8">
        <v>45502</v>
      </c>
      <c r="J636" s="6">
        <v>153922</v>
      </c>
      <c r="K636" s="6">
        <v>28290</v>
      </c>
      <c r="L636" s="6">
        <v>6871.52</v>
      </c>
      <c r="M636" s="6">
        <v>1262.95</v>
      </c>
      <c r="N636" s="7">
        <v>1626.89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10932.72</v>
      </c>
      <c r="U636" s="6">
        <v>9761.36</v>
      </c>
      <c r="V636" s="6">
        <v>0</v>
      </c>
      <c r="W636" s="6">
        <v>911.06</v>
      </c>
      <c r="AI636" s="2">
        <v>153922</v>
      </c>
      <c r="AJ636" s="2">
        <v>28290</v>
      </c>
      <c r="AK636" s="2">
        <v>6871.52</v>
      </c>
      <c r="AL636" s="2">
        <v>1262.95</v>
      </c>
      <c r="AM636" s="5">
        <v>1626.89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10932.72</v>
      </c>
      <c r="AT636" s="12">
        <v>9761.36</v>
      </c>
      <c r="AU636" s="2">
        <v>0</v>
      </c>
      <c r="AV636" s="5">
        <v>911.06</v>
      </c>
      <c r="BL636" s="1" t="s">
        <v>302</v>
      </c>
    </row>
    <row r="637" spans="1:64" x14ac:dyDescent="0.3">
      <c r="A637" t="s">
        <v>1409</v>
      </c>
      <c r="B637" s="1" t="s">
        <v>1409</v>
      </c>
      <c r="C637" s="9" t="s">
        <v>1410</v>
      </c>
      <c r="D637" s="1" t="s">
        <v>95</v>
      </c>
      <c r="E637" s="1" t="s">
        <v>128</v>
      </c>
      <c r="F637" s="10" t="s">
        <v>129</v>
      </c>
      <c r="G637" s="1">
        <v>0</v>
      </c>
      <c r="H637" s="1">
        <v>0.05</v>
      </c>
      <c r="I637" s="8">
        <v>0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0</v>
      </c>
      <c r="AJ637" s="2">
        <v>0</v>
      </c>
      <c r="AK637" s="2">
        <v>0</v>
      </c>
      <c r="AL637" s="2">
        <v>0</v>
      </c>
      <c r="AM637" s="5">
        <v>0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0</v>
      </c>
      <c r="AT637" s="12">
        <v>0</v>
      </c>
      <c r="AU637" s="2">
        <v>0</v>
      </c>
      <c r="AV637" s="5">
        <v>0</v>
      </c>
      <c r="BL637" s="1" t="s">
        <v>130</v>
      </c>
    </row>
    <row r="638" spans="1:64" x14ac:dyDescent="0.3">
      <c r="A638" t="s">
        <v>1411</v>
      </c>
      <c r="B638" s="1" t="s">
        <v>1411</v>
      </c>
      <c r="C638" s="9" t="s">
        <v>1412</v>
      </c>
      <c r="D638" s="1" t="s">
        <v>95</v>
      </c>
      <c r="E638" s="1" t="s">
        <v>135</v>
      </c>
      <c r="F638" s="10" t="s">
        <v>348</v>
      </c>
      <c r="G638" s="1">
        <v>0</v>
      </c>
      <c r="H638" s="1">
        <v>0.05</v>
      </c>
      <c r="I638" s="8">
        <v>45430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557723.70000000007</v>
      </c>
      <c r="P638" s="6">
        <v>26141.399999999998</v>
      </c>
      <c r="Q638" s="6">
        <v>24898.38</v>
      </c>
      <c r="R638" s="6">
        <v>1167.03</v>
      </c>
      <c r="S638" s="7">
        <v>0</v>
      </c>
      <c r="T638" s="11">
        <v>29193.26</v>
      </c>
      <c r="U638" s="6">
        <v>26065.41</v>
      </c>
      <c r="V638" s="6">
        <v>0</v>
      </c>
      <c r="W638" s="6">
        <v>2919.33</v>
      </c>
      <c r="AI638" s="2">
        <v>0</v>
      </c>
      <c r="AJ638" s="2">
        <v>0</v>
      </c>
      <c r="AK638" s="2">
        <v>0</v>
      </c>
      <c r="AL638" s="2">
        <v>0</v>
      </c>
      <c r="AM638" s="5">
        <v>0</v>
      </c>
      <c r="AN638" s="12">
        <v>557723.70000000007</v>
      </c>
      <c r="AO638" s="2">
        <v>26141.399999999998</v>
      </c>
      <c r="AP638" s="2">
        <v>24898.38</v>
      </c>
      <c r="AQ638" s="2">
        <v>1167.03</v>
      </c>
      <c r="AR638" s="5">
        <v>0</v>
      </c>
      <c r="AS638" s="2">
        <v>29193.26</v>
      </c>
      <c r="AT638" s="12">
        <v>26065.41</v>
      </c>
      <c r="AU638" s="2">
        <v>0</v>
      </c>
      <c r="AV638" s="5">
        <v>2919.33</v>
      </c>
      <c r="BL638" s="1" t="s">
        <v>137</v>
      </c>
    </row>
    <row r="639" spans="1:64" x14ac:dyDescent="0.3">
      <c r="A639" t="s">
        <v>1411</v>
      </c>
      <c r="B639" s="1" t="s">
        <v>1413</v>
      </c>
      <c r="C639" s="9" t="s">
        <v>1414</v>
      </c>
      <c r="D639" s="1" t="s">
        <v>95</v>
      </c>
      <c r="E639" s="1" t="s">
        <v>135</v>
      </c>
      <c r="F639" s="10" t="s">
        <v>348</v>
      </c>
      <c r="G639" s="1">
        <v>0</v>
      </c>
      <c r="H639" s="1">
        <v>0.05</v>
      </c>
      <c r="I639" s="8">
        <v>45643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530074.19999999995</v>
      </c>
      <c r="P639" s="6">
        <v>14361.900000000001</v>
      </c>
      <c r="Q639" s="6">
        <v>23664.03</v>
      </c>
      <c r="R639" s="6">
        <v>641.16</v>
      </c>
      <c r="S639" s="7">
        <v>0</v>
      </c>
      <c r="T639" s="11">
        <v>27221.81</v>
      </c>
      <c r="U639" s="6">
        <v>24305.19</v>
      </c>
      <c r="V639" s="6">
        <v>0</v>
      </c>
      <c r="W639" s="6">
        <v>2722.18</v>
      </c>
      <c r="AI639" s="2">
        <v>0</v>
      </c>
      <c r="AJ639" s="2">
        <v>0</v>
      </c>
      <c r="AK639" s="2">
        <v>0</v>
      </c>
      <c r="AL639" s="2">
        <v>0</v>
      </c>
      <c r="AM639" s="5">
        <v>0</v>
      </c>
      <c r="AN639" s="12">
        <v>530074.19999999995</v>
      </c>
      <c r="AO639" s="2">
        <v>14361.900000000001</v>
      </c>
      <c r="AP639" s="2">
        <v>23664.03</v>
      </c>
      <c r="AQ639" s="2">
        <v>641.16</v>
      </c>
      <c r="AR639" s="5">
        <v>0</v>
      </c>
      <c r="AS639" s="2">
        <v>27221.81</v>
      </c>
      <c r="AT639" s="12">
        <v>24305.19</v>
      </c>
      <c r="AU639" s="2">
        <v>0</v>
      </c>
      <c r="AV639" s="5">
        <v>2722.18</v>
      </c>
      <c r="BL639" s="1" t="s">
        <v>137</v>
      </c>
    </row>
    <row r="640" spans="1:64" x14ac:dyDescent="0.3">
      <c r="A640" t="s">
        <v>1415</v>
      </c>
      <c r="B640" s="1" t="s">
        <v>1415</v>
      </c>
      <c r="C640" s="9" t="s">
        <v>1416</v>
      </c>
      <c r="D640" s="1" t="s">
        <v>95</v>
      </c>
      <c r="E640" s="1" t="s">
        <v>128</v>
      </c>
      <c r="F640" s="10" t="s">
        <v>129</v>
      </c>
      <c r="G640" s="1">
        <v>0</v>
      </c>
      <c r="H640" s="1">
        <v>0.05</v>
      </c>
      <c r="I640" s="8">
        <v>45559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712953.9</v>
      </c>
      <c r="P640" s="6">
        <v>33530.1</v>
      </c>
      <c r="Q640" s="6">
        <v>31828.3</v>
      </c>
      <c r="R640" s="6">
        <v>1496.87</v>
      </c>
      <c r="S640" s="7">
        <v>0</v>
      </c>
      <c r="T640" s="11">
        <v>37324.19</v>
      </c>
      <c r="U640" s="6">
        <v>33325.17</v>
      </c>
      <c r="V640" s="6">
        <v>0</v>
      </c>
      <c r="W640" s="6">
        <v>3732.42</v>
      </c>
      <c r="AI640" s="2">
        <v>0</v>
      </c>
      <c r="AJ640" s="2">
        <v>0</v>
      </c>
      <c r="AK640" s="2">
        <v>0</v>
      </c>
      <c r="AL640" s="2">
        <v>0</v>
      </c>
      <c r="AM640" s="5">
        <v>0</v>
      </c>
      <c r="AN640" s="12">
        <v>712953.9</v>
      </c>
      <c r="AO640" s="2">
        <v>33530.1</v>
      </c>
      <c r="AP640" s="2">
        <v>31828.3</v>
      </c>
      <c r="AQ640" s="2">
        <v>1496.87</v>
      </c>
      <c r="AR640" s="5">
        <v>0</v>
      </c>
      <c r="AS640" s="2">
        <v>37324.19</v>
      </c>
      <c r="AT640" s="12">
        <v>33325.17</v>
      </c>
      <c r="AU640" s="2">
        <v>0</v>
      </c>
      <c r="AV640" s="5">
        <v>3732.42</v>
      </c>
      <c r="BL640" s="1" t="s">
        <v>130</v>
      </c>
    </row>
    <row r="641" spans="1:64" x14ac:dyDescent="0.3">
      <c r="A641" t="s">
        <v>1417</v>
      </c>
      <c r="B641" s="1" t="s">
        <v>1417</v>
      </c>
      <c r="C641" s="9" t="s">
        <v>1418</v>
      </c>
      <c r="D641" s="1" t="s">
        <v>95</v>
      </c>
      <c r="E641" s="1" t="s">
        <v>135</v>
      </c>
      <c r="F641" s="10" t="s">
        <v>136</v>
      </c>
      <c r="G641" s="1">
        <v>0</v>
      </c>
      <c r="H641" s="1">
        <v>0.05</v>
      </c>
      <c r="I641" s="8">
        <v>45539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374454.3</v>
      </c>
      <c r="P641" s="6">
        <v>17610.899999999998</v>
      </c>
      <c r="Q641" s="6">
        <v>16716.71</v>
      </c>
      <c r="R641" s="6">
        <v>786.2</v>
      </c>
      <c r="S641" s="7">
        <v>0</v>
      </c>
      <c r="T641" s="11">
        <v>19603.259999999998</v>
      </c>
      <c r="U641" s="6">
        <v>17502.91</v>
      </c>
      <c r="V641" s="6">
        <v>0</v>
      </c>
      <c r="W641" s="6">
        <v>1960.33</v>
      </c>
      <c r="AI641" s="2">
        <v>0</v>
      </c>
      <c r="AJ641" s="2">
        <v>0</v>
      </c>
      <c r="AK641" s="2">
        <v>0</v>
      </c>
      <c r="AL641" s="2">
        <v>0</v>
      </c>
      <c r="AM641" s="5">
        <v>0</v>
      </c>
      <c r="AN641" s="12">
        <v>374454.3</v>
      </c>
      <c r="AO641" s="2">
        <v>17610.899999999998</v>
      </c>
      <c r="AP641" s="2">
        <v>16716.71</v>
      </c>
      <c r="AQ641" s="2">
        <v>786.2</v>
      </c>
      <c r="AR641" s="5">
        <v>0</v>
      </c>
      <c r="AS641" s="2">
        <v>19603.259999999998</v>
      </c>
      <c r="AT641" s="12">
        <v>17502.91</v>
      </c>
      <c r="AU641" s="2">
        <v>0</v>
      </c>
      <c r="AV641" s="5">
        <v>1960.33</v>
      </c>
      <c r="BL641" s="1" t="s">
        <v>137</v>
      </c>
    </row>
    <row r="642" spans="1:64" x14ac:dyDescent="0.3">
      <c r="A642" t="s">
        <v>1419</v>
      </c>
      <c r="B642" s="1" t="s">
        <v>1419</v>
      </c>
      <c r="C642" s="9" t="s">
        <v>1420</v>
      </c>
      <c r="D642" s="1" t="s">
        <v>95</v>
      </c>
      <c r="E642" s="1" t="s">
        <v>88</v>
      </c>
      <c r="F642" s="10" t="s">
        <v>89</v>
      </c>
      <c r="G642" s="1">
        <v>0</v>
      </c>
      <c r="H642" s="1">
        <v>0</v>
      </c>
      <c r="I642" s="8">
        <v>45621</v>
      </c>
      <c r="J642" s="6">
        <v>585076</v>
      </c>
      <c r="K642" s="6">
        <v>159298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3721.87</v>
      </c>
      <c r="AI642" s="2">
        <v>585076</v>
      </c>
      <c r="AJ642" s="2">
        <v>159298</v>
      </c>
      <c r="AK642" s="2">
        <v>0</v>
      </c>
      <c r="AL642" s="2">
        <v>0</v>
      </c>
      <c r="AM642" s="5">
        <v>0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0</v>
      </c>
      <c r="AT642" s="12">
        <v>0</v>
      </c>
      <c r="AU642" s="2">
        <v>0</v>
      </c>
      <c r="AV642" s="5">
        <v>3721.87</v>
      </c>
      <c r="BL642" s="1" t="s">
        <v>90</v>
      </c>
    </row>
    <row r="643" spans="1:64" x14ac:dyDescent="0.3">
      <c r="A643" t="s">
        <v>1421</v>
      </c>
      <c r="B643" s="1" t="s">
        <v>1421</v>
      </c>
      <c r="C643" s="9" t="s">
        <v>1422</v>
      </c>
      <c r="D643" s="1" t="s">
        <v>95</v>
      </c>
      <c r="E643" s="1" t="s">
        <v>128</v>
      </c>
      <c r="F643" s="10" t="s">
        <v>129</v>
      </c>
      <c r="G643" s="1">
        <v>0</v>
      </c>
      <c r="H643" s="1">
        <v>0.05</v>
      </c>
      <c r="I643" s="8">
        <v>45488</v>
      </c>
      <c r="J643" s="6">
        <v>157308</v>
      </c>
      <c r="K643" s="6">
        <v>6830</v>
      </c>
      <c r="L643" s="6">
        <v>7022.68</v>
      </c>
      <c r="M643" s="6">
        <v>304.91000000000003</v>
      </c>
      <c r="N643" s="7">
        <v>1465.52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9848.2800000000007</v>
      </c>
      <c r="U643" s="6">
        <v>8793.11</v>
      </c>
      <c r="V643" s="6">
        <v>0</v>
      </c>
      <c r="W643" s="6">
        <v>820.69</v>
      </c>
      <c r="AI643" s="2">
        <v>157308</v>
      </c>
      <c r="AJ643" s="2">
        <v>6830</v>
      </c>
      <c r="AK643" s="2">
        <v>7022.68</v>
      </c>
      <c r="AL643" s="2">
        <v>304.91000000000003</v>
      </c>
      <c r="AM643" s="5">
        <v>1465.52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9848.2800000000007</v>
      </c>
      <c r="AT643" s="12">
        <v>8793.11</v>
      </c>
      <c r="AU643" s="2">
        <v>0</v>
      </c>
      <c r="AV643" s="5">
        <v>820.69</v>
      </c>
      <c r="BL643" s="1" t="s">
        <v>130</v>
      </c>
    </row>
    <row r="644" spans="1:64" x14ac:dyDescent="0.3">
      <c r="A644" t="s">
        <v>1421</v>
      </c>
      <c r="B644" s="1" t="s">
        <v>1423</v>
      </c>
      <c r="C644" s="9" t="s">
        <v>1424</v>
      </c>
      <c r="D644" s="1" t="s">
        <v>95</v>
      </c>
      <c r="E644" s="1" t="s">
        <v>128</v>
      </c>
      <c r="F644" s="10" t="s">
        <v>129</v>
      </c>
      <c r="G644" s="1">
        <v>0</v>
      </c>
      <c r="H644" s="1">
        <v>0.05</v>
      </c>
      <c r="I644" s="8">
        <v>45600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BL644" s="1" t="s">
        <v>130</v>
      </c>
    </row>
    <row r="645" spans="1:64" x14ac:dyDescent="0.3">
      <c r="A645" t="s">
        <v>1425</v>
      </c>
      <c r="B645" s="1" t="s">
        <v>1425</v>
      </c>
      <c r="C645" s="9" t="s">
        <v>1426</v>
      </c>
      <c r="D645" s="1" t="s">
        <v>95</v>
      </c>
      <c r="E645" s="1" t="s">
        <v>88</v>
      </c>
      <c r="F645" s="10" t="s">
        <v>441</v>
      </c>
      <c r="G645" s="1">
        <v>0</v>
      </c>
      <c r="H645" s="1">
        <v>0.05</v>
      </c>
      <c r="I645" s="8">
        <v>45751</v>
      </c>
      <c r="J645" s="6">
        <v>257402</v>
      </c>
      <c r="K645" s="6">
        <v>43963</v>
      </c>
      <c r="L645" s="6">
        <v>10342.040000000001</v>
      </c>
      <c r="M645" s="6">
        <v>1766.37</v>
      </c>
      <c r="N645" s="7">
        <v>2690.76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16575.07</v>
      </c>
      <c r="U645" s="6">
        <v>14799.17</v>
      </c>
      <c r="V645" s="6">
        <v>0</v>
      </c>
      <c r="W645" s="6">
        <v>1506.82</v>
      </c>
      <c r="AI645" s="2">
        <v>257402</v>
      </c>
      <c r="AJ645" s="2">
        <v>43963</v>
      </c>
      <c r="AK645" s="2">
        <v>10342.040000000001</v>
      </c>
      <c r="AL645" s="2">
        <v>1766.37</v>
      </c>
      <c r="AM645" s="5">
        <v>2690.76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16575.07</v>
      </c>
      <c r="AT645" s="12">
        <v>14799.17</v>
      </c>
      <c r="AU645" s="2">
        <v>0</v>
      </c>
      <c r="AV645" s="5">
        <v>1506.82</v>
      </c>
      <c r="BL645" s="1" t="s">
        <v>90</v>
      </c>
    </row>
    <row r="646" spans="1:64" x14ac:dyDescent="0.3">
      <c r="A646" t="s">
        <v>1427</v>
      </c>
      <c r="B646" s="1" t="s">
        <v>1427</v>
      </c>
      <c r="C646" s="9" t="s">
        <v>1428</v>
      </c>
      <c r="D646" s="1" t="s">
        <v>95</v>
      </c>
      <c r="E646" s="1" t="s">
        <v>135</v>
      </c>
      <c r="F646" s="10" t="s">
        <v>193</v>
      </c>
      <c r="G646" s="1">
        <v>0</v>
      </c>
      <c r="H646" s="1">
        <v>0.05</v>
      </c>
      <c r="I646" s="8">
        <v>45616</v>
      </c>
      <c r="J646" s="6">
        <v>651641</v>
      </c>
      <c r="K646" s="6">
        <v>32170</v>
      </c>
      <c r="L646" s="6">
        <v>29091.119999999999</v>
      </c>
      <c r="M646" s="6">
        <v>1436.16</v>
      </c>
      <c r="N646" s="7">
        <v>6105.46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41028.67</v>
      </c>
      <c r="U646" s="6">
        <v>36632.74</v>
      </c>
      <c r="V646" s="6">
        <v>0</v>
      </c>
      <c r="W646" s="6">
        <v>3419.06</v>
      </c>
      <c r="AI646" s="2">
        <v>651641</v>
      </c>
      <c r="AJ646" s="2">
        <v>32170</v>
      </c>
      <c r="AK646" s="2">
        <v>29091.119999999999</v>
      </c>
      <c r="AL646" s="2">
        <v>1436.16</v>
      </c>
      <c r="AM646" s="5">
        <v>6105.46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41028.67</v>
      </c>
      <c r="AT646" s="12">
        <v>36632.74</v>
      </c>
      <c r="AU646" s="2">
        <v>0</v>
      </c>
      <c r="AV646" s="5">
        <v>3419.06</v>
      </c>
      <c r="BL646" s="1" t="s">
        <v>137</v>
      </c>
    </row>
    <row r="647" spans="1:64" x14ac:dyDescent="0.3">
      <c r="A647" t="s">
        <v>1429</v>
      </c>
      <c r="B647" s="1" t="s">
        <v>1429</v>
      </c>
      <c r="C647" s="9" t="s">
        <v>1430</v>
      </c>
      <c r="D647" s="1" t="s">
        <v>95</v>
      </c>
      <c r="E647" s="1" t="s">
        <v>88</v>
      </c>
      <c r="F647" s="10" t="s">
        <v>218</v>
      </c>
      <c r="G647" s="1">
        <v>0</v>
      </c>
      <c r="H647" s="1">
        <v>0.05</v>
      </c>
      <c r="I647" s="8">
        <v>45553</v>
      </c>
      <c r="J647" s="6">
        <v>315790</v>
      </c>
      <c r="K647" s="6">
        <v>148763</v>
      </c>
      <c r="L647" s="6">
        <v>14097.77</v>
      </c>
      <c r="M647" s="6">
        <v>6641.21</v>
      </c>
      <c r="N647" s="7">
        <v>4147.79</v>
      </c>
      <c r="O647" s="6">
        <v>232813.62</v>
      </c>
      <c r="P647" s="6">
        <v>23172.93</v>
      </c>
      <c r="Q647" s="6">
        <v>10393.459999999999</v>
      </c>
      <c r="R647" s="6">
        <v>1034.51</v>
      </c>
      <c r="S647" s="7">
        <v>0</v>
      </c>
      <c r="T647" s="11">
        <v>40672.51</v>
      </c>
      <c r="U647" s="6">
        <v>36314.74</v>
      </c>
      <c r="V647" s="6">
        <v>0</v>
      </c>
      <c r="W647" s="6">
        <v>3602.7</v>
      </c>
      <c r="AI647" s="2">
        <v>315790</v>
      </c>
      <c r="AJ647" s="2">
        <v>148763</v>
      </c>
      <c r="AK647" s="2">
        <v>14097.77</v>
      </c>
      <c r="AL647" s="2">
        <v>6641.21</v>
      </c>
      <c r="AM647" s="5">
        <v>4147.79</v>
      </c>
      <c r="AN647" s="12">
        <v>232813.62</v>
      </c>
      <c r="AO647" s="2">
        <v>23172.93</v>
      </c>
      <c r="AP647" s="2">
        <v>10393.459999999999</v>
      </c>
      <c r="AQ647" s="2">
        <v>1034.51</v>
      </c>
      <c r="AR647" s="5">
        <v>0</v>
      </c>
      <c r="AS647" s="2">
        <v>40672.51</v>
      </c>
      <c r="AT647" s="12">
        <v>36314.74</v>
      </c>
      <c r="AU647" s="2">
        <v>0</v>
      </c>
      <c r="AV647" s="5">
        <v>3602.7</v>
      </c>
      <c r="BL647" s="1" t="s">
        <v>90</v>
      </c>
    </row>
    <row r="648" spans="1:64" x14ac:dyDescent="0.3">
      <c r="A648" t="s">
        <v>1431</v>
      </c>
      <c r="B648" s="1" t="s">
        <v>1431</v>
      </c>
      <c r="C648" s="9" t="s">
        <v>1432</v>
      </c>
      <c r="D648" s="1" t="s">
        <v>95</v>
      </c>
      <c r="E648" s="1" t="s">
        <v>135</v>
      </c>
      <c r="F648" s="10" t="s">
        <v>485</v>
      </c>
      <c r="G648" s="1">
        <v>0</v>
      </c>
      <c r="H648" s="1">
        <v>0.05</v>
      </c>
      <c r="I648" s="8">
        <v>45639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521541.29999999993</v>
      </c>
      <c r="P648" s="6">
        <v>23415.600000000002</v>
      </c>
      <c r="Q648" s="6">
        <v>23283.09</v>
      </c>
      <c r="R648" s="6">
        <v>1045.3399999999999</v>
      </c>
      <c r="S648" s="7">
        <v>0</v>
      </c>
      <c r="T648" s="11">
        <v>27247.84</v>
      </c>
      <c r="U648" s="6">
        <v>24328.43</v>
      </c>
      <c r="V648" s="6">
        <v>0</v>
      </c>
      <c r="W648" s="6">
        <v>2724.78</v>
      </c>
      <c r="AI648" s="2">
        <v>0</v>
      </c>
      <c r="AJ648" s="2">
        <v>0</v>
      </c>
      <c r="AK648" s="2">
        <v>0</v>
      </c>
      <c r="AL648" s="2">
        <v>0</v>
      </c>
      <c r="AM648" s="5">
        <v>0</v>
      </c>
      <c r="AN648" s="12">
        <v>521541.29999999993</v>
      </c>
      <c r="AO648" s="2">
        <v>23415.600000000002</v>
      </c>
      <c r="AP648" s="2">
        <v>23283.09</v>
      </c>
      <c r="AQ648" s="2">
        <v>1045.3399999999999</v>
      </c>
      <c r="AR648" s="5">
        <v>0</v>
      </c>
      <c r="AS648" s="2">
        <v>27247.84</v>
      </c>
      <c r="AT648" s="12">
        <v>24328.43</v>
      </c>
      <c r="AU648" s="2">
        <v>0</v>
      </c>
      <c r="AV648" s="5">
        <v>2724.78</v>
      </c>
      <c r="BL648" s="1" t="s">
        <v>302</v>
      </c>
    </row>
    <row r="649" spans="1:64" x14ac:dyDescent="0.3">
      <c r="A649" t="s">
        <v>1433</v>
      </c>
      <c r="B649" s="1" t="s">
        <v>1433</v>
      </c>
      <c r="C649" s="9" t="s">
        <v>1434</v>
      </c>
      <c r="D649" s="1" t="s">
        <v>95</v>
      </c>
      <c r="E649" s="1" t="s">
        <v>128</v>
      </c>
      <c r="F649" s="10" t="s">
        <v>309</v>
      </c>
      <c r="G649" s="1">
        <v>0</v>
      </c>
      <c r="H649" s="1">
        <v>0.05</v>
      </c>
      <c r="I649" s="8">
        <v>45665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513378.30000000005</v>
      </c>
      <c r="P649" s="6">
        <v>26823.300000000003</v>
      </c>
      <c r="Q649" s="6">
        <v>22918.68</v>
      </c>
      <c r="R649" s="6">
        <v>1197.47</v>
      </c>
      <c r="S649" s="7">
        <v>0</v>
      </c>
      <c r="T649" s="11">
        <v>27010.09</v>
      </c>
      <c r="U649" s="6">
        <v>24116.15</v>
      </c>
      <c r="V649" s="6">
        <v>0</v>
      </c>
      <c r="W649" s="6">
        <v>2701.01</v>
      </c>
      <c r="AI649" s="2">
        <v>0</v>
      </c>
      <c r="AJ649" s="2">
        <v>0</v>
      </c>
      <c r="AK649" s="2">
        <v>0</v>
      </c>
      <c r="AL649" s="2">
        <v>0</v>
      </c>
      <c r="AM649" s="5">
        <v>0</v>
      </c>
      <c r="AN649" s="12">
        <v>513378.30000000005</v>
      </c>
      <c r="AO649" s="2">
        <v>26823.300000000003</v>
      </c>
      <c r="AP649" s="2">
        <v>22918.68</v>
      </c>
      <c r="AQ649" s="2">
        <v>1197.47</v>
      </c>
      <c r="AR649" s="5">
        <v>0</v>
      </c>
      <c r="AS649" s="2">
        <v>27010.09</v>
      </c>
      <c r="AT649" s="12">
        <v>24116.15</v>
      </c>
      <c r="AU649" s="2">
        <v>0</v>
      </c>
      <c r="AV649" s="5">
        <v>2701.01</v>
      </c>
      <c r="BL649" s="1" t="s">
        <v>130</v>
      </c>
    </row>
    <row r="650" spans="1:64" x14ac:dyDescent="0.3">
      <c r="A650" t="s">
        <v>1435</v>
      </c>
      <c r="B650" s="1" t="s">
        <v>1435</v>
      </c>
      <c r="C650" s="9" t="s">
        <v>1436</v>
      </c>
      <c r="D650" s="1" t="s">
        <v>95</v>
      </c>
      <c r="E650" s="1" t="s">
        <v>88</v>
      </c>
      <c r="F650" s="10" t="s">
        <v>472</v>
      </c>
      <c r="G650" s="1">
        <v>0</v>
      </c>
      <c r="H650" s="1">
        <v>0</v>
      </c>
      <c r="I650" s="8">
        <v>45586</v>
      </c>
      <c r="J650" s="6">
        <v>1088010.5</v>
      </c>
      <c r="K650" s="6">
        <v>291919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6899.65</v>
      </c>
      <c r="AI650" s="2">
        <v>1088010.5</v>
      </c>
      <c r="AJ650" s="2">
        <v>291919</v>
      </c>
      <c r="AK650" s="2">
        <v>0</v>
      </c>
      <c r="AL650" s="2">
        <v>0</v>
      </c>
      <c r="AM650" s="5">
        <v>0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0</v>
      </c>
      <c r="AT650" s="12">
        <v>0</v>
      </c>
      <c r="AU650" s="2">
        <v>0</v>
      </c>
      <c r="AV650" s="5">
        <v>6899.65</v>
      </c>
      <c r="BL650" s="1" t="s">
        <v>90</v>
      </c>
    </row>
    <row r="651" spans="1:64" x14ac:dyDescent="0.3">
      <c r="A651" t="s">
        <v>1437</v>
      </c>
      <c r="B651" s="1" t="s">
        <v>1437</v>
      </c>
      <c r="C651" s="9" t="s">
        <v>1438</v>
      </c>
      <c r="D651" s="1" t="s">
        <v>95</v>
      </c>
      <c r="E651" s="1" t="s">
        <v>135</v>
      </c>
      <c r="F651" s="10" t="s">
        <v>435</v>
      </c>
      <c r="G651" s="1">
        <v>0</v>
      </c>
      <c r="H651" s="1">
        <v>0.05</v>
      </c>
      <c r="I651" s="8">
        <v>45589</v>
      </c>
      <c r="J651" s="6">
        <v>701766</v>
      </c>
      <c r="K651" s="6">
        <v>75770</v>
      </c>
      <c r="L651" s="6">
        <v>31328.84</v>
      </c>
      <c r="M651" s="6">
        <v>3382.59</v>
      </c>
      <c r="N651" s="7">
        <v>6942.29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46652.17</v>
      </c>
      <c r="U651" s="6">
        <v>41653.72</v>
      </c>
      <c r="V651" s="6">
        <v>0</v>
      </c>
      <c r="W651" s="6">
        <v>3887.68</v>
      </c>
      <c r="AI651" s="2">
        <v>701766</v>
      </c>
      <c r="AJ651" s="2">
        <v>75770</v>
      </c>
      <c r="AK651" s="2">
        <v>31328.84</v>
      </c>
      <c r="AL651" s="2">
        <v>3382.59</v>
      </c>
      <c r="AM651" s="5">
        <v>6942.29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46652.17</v>
      </c>
      <c r="AT651" s="12">
        <v>41653.72</v>
      </c>
      <c r="AU651" s="2">
        <v>0</v>
      </c>
      <c r="AV651" s="5">
        <v>3887.68</v>
      </c>
      <c r="BL651" s="1" t="s">
        <v>302</v>
      </c>
    </row>
    <row r="652" spans="1:64" x14ac:dyDescent="0.3">
      <c r="A652" t="s">
        <v>1439</v>
      </c>
      <c r="B652" s="1" t="s">
        <v>1439</v>
      </c>
      <c r="C652" s="9" t="s">
        <v>1440</v>
      </c>
      <c r="D652" s="1" t="s">
        <v>95</v>
      </c>
      <c r="E652" s="1" t="s">
        <v>88</v>
      </c>
      <c r="F652" s="10" t="s">
        <v>1348</v>
      </c>
      <c r="G652" s="1">
        <v>0</v>
      </c>
      <c r="H652" s="1">
        <v>0.05</v>
      </c>
      <c r="I652" s="8">
        <v>45596</v>
      </c>
      <c r="J652" s="6">
        <v>183844</v>
      </c>
      <c r="K652" s="6">
        <v>23460</v>
      </c>
      <c r="L652" s="6">
        <v>8207.32</v>
      </c>
      <c r="M652" s="6">
        <v>1047.32</v>
      </c>
      <c r="N652" s="7">
        <v>1850.93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12438.24</v>
      </c>
      <c r="U652" s="6">
        <v>11105.57</v>
      </c>
      <c r="V652" s="6">
        <v>0</v>
      </c>
      <c r="W652" s="6">
        <v>1036.52</v>
      </c>
      <c r="AI652" s="2">
        <v>183844</v>
      </c>
      <c r="AJ652" s="2">
        <v>23460</v>
      </c>
      <c r="AK652" s="2">
        <v>8207.32</v>
      </c>
      <c r="AL652" s="2">
        <v>1047.32</v>
      </c>
      <c r="AM652" s="5">
        <v>1850.93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12438.24</v>
      </c>
      <c r="AT652" s="12">
        <v>11105.57</v>
      </c>
      <c r="AU652" s="2">
        <v>0</v>
      </c>
      <c r="AV652" s="5">
        <v>1036.52</v>
      </c>
      <c r="BL652" s="1" t="s">
        <v>90</v>
      </c>
    </row>
    <row r="653" spans="1:64" x14ac:dyDescent="0.3">
      <c r="A653" t="s">
        <v>1441</v>
      </c>
      <c r="B653" s="1" t="s">
        <v>1441</v>
      </c>
      <c r="C653" s="9" t="s">
        <v>1442</v>
      </c>
      <c r="D653" s="1" t="s">
        <v>95</v>
      </c>
      <c r="E653" s="1" t="s">
        <v>88</v>
      </c>
      <c r="F653" s="10" t="s">
        <v>1443</v>
      </c>
      <c r="G653" s="1">
        <v>0</v>
      </c>
      <c r="H653" s="1">
        <v>0.05</v>
      </c>
      <c r="I653" s="8">
        <v>45596</v>
      </c>
      <c r="J653" s="6">
        <v>85286.39</v>
      </c>
      <c r="K653" s="6">
        <v>13520</v>
      </c>
      <c r="L653" s="6">
        <v>3807.43</v>
      </c>
      <c r="M653" s="6">
        <v>603.57000000000005</v>
      </c>
      <c r="N653" s="7">
        <v>882.2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5928.38</v>
      </c>
      <c r="U653" s="6">
        <v>5293.2</v>
      </c>
      <c r="V653" s="6">
        <v>0</v>
      </c>
      <c r="W653" s="6">
        <v>494.03</v>
      </c>
      <c r="AI653" s="2">
        <v>85286.39</v>
      </c>
      <c r="AJ653" s="2">
        <v>13520</v>
      </c>
      <c r="AK653" s="2">
        <v>3807.43</v>
      </c>
      <c r="AL653" s="2">
        <v>603.57000000000005</v>
      </c>
      <c r="AM653" s="5">
        <v>882.2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5928.38</v>
      </c>
      <c r="AT653" s="12">
        <v>5293.2</v>
      </c>
      <c r="AU653" s="2">
        <v>0</v>
      </c>
      <c r="AV653" s="5">
        <v>494.03</v>
      </c>
      <c r="BL653" s="1" t="s">
        <v>90</v>
      </c>
    </row>
    <row r="654" spans="1:64" x14ac:dyDescent="0.3">
      <c r="A654" t="s">
        <v>1441</v>
      </c>
      <c r="B654" s="1" t="s">
        <v>1444</v>
      </c>
      <c r="C654" s="9" t="s">
        <v>1445</v>
      </c>
      <c r="D654" s="1" t="s">
        <v>95</v>
      </c>
      <c r="E654" s="1" t="s">
        <v>88</v>
      </c>
      <c r="F654" s="10" t="s">
        <v>1348</v>
      </c>
      <c r="G654" s="1">
        <v>0</v>
      </c>
      <c r="H654" s="1">
        <v>0.05</v>
      </c>
      <c r="I654" s="8">
        <v>45634</v>
      </c>
      <c r="J654" s="6">
        <v>64148.5</v>
      </c>
      <c r="K654" s="6">
        <v>10275</v>
      </c>
      <c r="L654" s="6">
        <v>2863.77</v>
      </c>
      <c r="M654" s="6">
        <v>458.71</v>
      </c>
      <c r="N654" s="7">
        <v>664.5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4465.42</v>
      </c>
      <c r="U654" s="6">
        <v>3986.98</v>
      </c>
      <c r="V654" s="6">
        <v>0</v>
      </c>
      <c r="W654" s="6">
        <v>372.12</v>
      </c>
      <c r="AI654" s="2">
        <v>64148.5</v>
      </c>
      <c r="AJ654" s="2">
        <v>10275</v>
      </c>
      <c r="AK654" s="2">
        <v>2863.77</v>
      </c>
      <c r="AL654" s="2">
        <v>458.71</v>
      </c>
      <c r="AM654" s="5">
        <v>664.5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4465.42</v>
      </c>
      <c r="AT654" s="12">
        <v>3986.98</v>
      </c>
      <c r="AU654" s="2">
        <v>0</v>
      </c>
      <c r="AV654" s="5">
        <v>372.12</v>
      </c>
      <c r="BL654" s="1" t="s">
        <v>90</v>
      </c>
    </row>
    <row r="655" spans="1:64" x14ac:dyDescent="0.3">
      <c r="A655" t="s">
        <v>1446</v>
      </c>
      <c r="B655" s="1" t="s">
        <v>1446</v>
      </c>
      <c r="C655" s="9" t="s">
        <v>1447</v>
      </c>
      <c r="D655" s="1" t="s">
        <v>95</v>
      </c>
      <c r="E655" s="1" t="s">
        <v>128</v>
      </c>
      <c r="F655" s="10" t="s">
        <v>401</v>
      </c>
      <c r="G655" s="1">
        <v>0</v>
      </c>
      <c r="H655" s="1">
        <v>0.05</v>
      </c>
      <c r="I655" s="8">
        <v>45026</v>
      </c>
      <c r="J655" s="6">
        <v>643586</v>
      </c>
      <c r="K655" s="6">
        <v>10776</v>
      </c>
      <c r="L655" s="6">
        <v>28731.52</v>
      </c>
      <c r="M655" s="6">
        <v>481.07</v>
      </c>
      <c r="N655" s="7">
        <v>5842.52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39261.72</v>
      </c>
      <c r="U655" s="6">
        <v>35055.11</v>
      </c>
      <c r="V655" s="6">
        <v>0</v>
      </c>
      <c r="W655" s="6">
        <v>3271.81</v>
      </c>
      <c r="AI655" s="2">
        <v>643586</v>
      </c>
      <c r="AJ655" s="2">
        <v>10776</v>
      </c>
      <c r="AK655" s="2">
        <v>28731.52</v>
      </c>
      <c r="AL655" s="2">
        <v>481.07</v>
      </c>
      <c r="AM655" s="5">
        <v>5842.52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39261.72</v>
      </c>
      <c r="AT655" s="12">
        <v>35055.11</v>
      </c>
      <c r="AU655" s="2">
        <v>0</v>
      </c>
      <c r="AV655" s="5">
        <v>3271.81</v>
      </c>
      <c r="BL655" s="1" t="s">
        <v>130</v>
      </c>
    </row>
    <row r="656" spans="1:64" x14ac:dyDescent="0.3">
      <c r="A656" t="s">
        <v>1448</v>
      </c>
      <c r="B656" s="1" t="s">
        <v>1448</v>
      </c>
      <c r="C656" s="9" t="s">
        <v>1449</v>
      </c>
      <c r="D656" s="1" t="s">
        <v>95</v>
      </c>
      <c r="E656" s="1" t="s">
        <v>88</v>
      </c>
      <c r="F656" s="10" t="s">
        <v>432</v>
      </c>
      <c r="G656" s="1">
        <v>0</v>
      </c>
      <c r="H656" s="1">
        <v>0.05</v>
      </c>
      <c r="I656" s="8">
        <v>45730</v>
      </c>
      <c r="J656" s="6">
        <v>723409</v>
      </c>
      <c r="K656" s="6">
        <v>100570</v>
      </c>
      <c r="L656" s="6">
        <v>32295.040000000001</v>
      </c>
      <c r="M656" s="6">
        <v>4489.7299999999996</v>
      </c>
      <c r="N656" s="7">
        <v>7356.96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49438.74</v>
      </c>
      <c r="U656" s="6">
        <v>44141.73</v>
      </c>
      <c r="V656" s="6">
        <v>0</v>
      </c>
      <c r="W656" s="6">
        <v>4119.8999999999996</v>
      </c>
      <c r="AI656" s="2">
        <v>723409</v>
      </c>
      <c r="AJ656" s="2">
        <v>100570</v>
      </c>
      <c r="AK656" s="2">
        <v>32295.040000000001</v>
      </c>
      <c r="AL656" s="2">
        <v>4489.7299999999996</v>
      </c>
      <c r="AM656" s="5">
        <v>7356.96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49438.74</v>
      </c>
      <c r="AT656" s="12">
        <v>44141.73</v>
      </c>
      <c r="AU656" s="2">
        <v>0</v>
      </c>
      <c r="AV656" s="5">
        <v>4119.8999999999996</v>
      </c>
      <c r="BL656" s="1" t="s">
        <v>90</v>
      </c>
    </row>
    <row r="657" spans="1:64" x14ac:dyDescent="0.3">
      <c r="A657" t="s">
        <v>1448</v>
      </c>
      <c r="B657" s="1" t="s">
        <v>1450</v>
      </c>
      <c r="C657" s="9" t="s">
        <v>626</v>
      </c>
      <c r="D657" s="1" t="s">
        <v>95</v>
      </c>
      <c r="E657" s="1" t="s">
        <v>88</v>
      </c>
      <c r="F657" s="10" t="s">
        <v>432</v>
      </c>
      <c r="G657" s="1">
        <v>0</v>
      </c>
      <c r="H657" s="1">
        <v>0.05</v>
      </c>
      <c r="I657" s="8">
        <v>0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0</v>
      </c>
      <c r="AJ657" s="2">
        <v>0</v>
      </c>
      <c r="AK657" s="2">
        <v>0</v>
      </c>
      <c r="AL657" s="2">
        <v>0</v>
      </c>
      <c r="AM657" s="5">
        <v>0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0</v>
      </c>
      <c r="AT657" s="12">
        <v>0</v>
      </c>
      <c r="AU657" s="2">
        <v>0</v>
      </c>
      <c r="AV657" s="5">
        <v>0</v>
      </c>
      <c r="BL657" s="1" t="s">
        <v>90</v>
      </c>
    </row>
    <row r="658" spans="1:64" x14ac:dyDescent="0.3">
      <c r="A658" t="s">
        <v>1451</v>
      </c>
      <c r="B658" s="1" t="s">
        <v>1451</v>
      </c>
      <c r="C658" s="9" t="s">
        <v>1452</v>
      </c>
      <c r="D658" s="1" t="s">
        <v>95</v>
      </c>
      <c r="E658" s="1" t="s">
        <v>88</v>
      </c>
      <c r="F658" s="10" t="s">
        <v>545</v>
      </c>
      <c r="G658" s="1">
        <v>0</v>
      </c>
      <c r="H658" s="1">
        <v>0.05</v>
      </c>
      <c r="I658" s="8">
        <v>0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0</v>
      </c>
      <c r="AJ658" s="2">
        <v>0</v>
      </c>
      <c r="AK658" s="2">
        <v>0</v>
      </c>
      <c r="AL658" s="2">
        <v>0</v>
      </c>
      <c r="AM658" s="5">
        <v>0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0</v>
      </c>
      <c r="AT658" s="12">
        <v>0</v>
      </c>
      <c r="AU658" s="2">
        <v>0</v>
      </c>
      <c r="AV658" s="5">
        <v>0</v>
      </c>
      <c r="BL658" s="1" t="s">
        <v>546</v>
      </c>
    </row>
    <row r="659" spans="1:64" x14ac:dyDescent="0.3">
      <c r="A659" t="s">
        <v>1453</v>
      </c>
      <c r="B659" s="1" t="s">
        <v>1453</v>
      </c>
      <c r="C659" s="9" t="s">
        <v>1454</v>
      </c>
      <c r="D659" s="1" t="s">
        <v>95</v>
      </c>
      <c r="E659" s="1" t="s">
        <v>135</v>
      </c>
      <c r="F659" s="10" t="s">
        <v>435</v>
      </c>
      <c r="G659" s="1">
        <v>0</v>
      </c>
      <c r="H659" s="1">
        <v>0.05</v>
      </c>
      <c r="I659" s="8">
        <v>44925</v>
      </c>
      <c r="J659" s="6">
        <v>230040</v>
      </c>
      <c r="K659" s="6">
        <v>59971</v>
      </c>
      <c r="L659" s="6">
        <v>10269.64</v>
      </c>
      <c r="M659" s="6">
        <v>2677.28</v>
      </c>
      <c r="N659" s="7">
        <v>2589.38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17400.66</v>
      </c>
      <c r="U659" s="6">
        <v>15536.3</v>
      </c>
      <c r="V659" s="6">
        <v>0</v>
      </c>
      <c r="W659" s="6">
        <v>1450.06</v>
      </c>
      <c r="AI659" s="2">
        <v>230040</v>
      </c>
      <c r="AJ659" s="2">
        <v>59971</v>
      </c>
      <c r="AK659" s="2">
        <v>10269.64</v>
      </c>
      <c r="AL659" s="2">
        <v>2677.28</v>
      </c>
      <c r="AM659" s="5">
        <v>2589.38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17400.66</v>
      </c>
      <c r="AT659" s="12">
        <v>15536.3</v>
      </c>
      <c r="AU659" s="2">
        <v>0</v>
      </c>
      <c r="AV659" s="5">
        <v>1450.06</v>
      </c>
      <c r="BL659" s="1" t="s">
        <v>137</v>
      </c>
    </row>
    <row r="660" spans="1:64" x14ac:dyDescent="0.3">
      <c r="A660" t="s">
        <v>1455</v>
      </c>
      <c r="B660" s="1" t="s">
        <v>1455</v>
      </c>
      <c r="C660" s="9" t="s">
        <v>1456</v>
      </c>
      <c r="D660" s="1" t="s">
        <v>95</v>
      </c>
      <c r="E660" s="1" t="s">
        <v>88</v>
      </c>
      <c r="F660" s="10" t="s">
        <v>472</v>
      </c>
      <c r="G660" s="1">
        <v>0</v>
      </c>
      <c r="H660" s="1">
        <v>0</v>
      </c>
      <c r="I660" s="8">
        <v>0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0</v>
      </c>
      <c r="AJ660" s="2">
        <v>0</v>
      </c>
      <c r="AK660" s="2">
        <v>0</v>
      </c>
      <c r="AL660" s="2">
        <v>0</v>
      </c>
      <c r="AM660" s="5">
        <v>0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0</v>
      </c>
      <c r="AT660" s="12">
        <v>0</v>
      </c>
      <c r="AU660" s="2">
        <v>0</v>
      </c>
      <c r="AV660" s="5">
        <v>0</v>
      </c>
      <c r="BL660" s="1" t="s">
        <v>90</v>
      </c>
    </row>
    <row r="661" spans="1:64" x14ac:dyDescent="0.3">
      <c r="A661" t="s">
        <v>1457</v>
      </c>
      <c r="B661" s="1" t="s">
        <v>1457</v>
      </c>
      <c r="C661" s="9" t="s">
        <v>1458</v>
      </c>
      <c r="D661" s="1" t="s">
        <v>95</v>
      </c>
      <c r="E661" s="1" t="s">
        <v>128</v>
      </c>
      <c r="F661" s="10" t="s">
        <v>129</v>
      </c>
      <c r="G661" s="1">
        <v>0</v>
      </c>
      <c r="H661" s="1">
        <v>0.05</v>
      </c>
      <c r="I661" s="8">
        <v>0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0</v>
      </c>
      <c r="U661" s="6">
        <v>0</v>
      </c>
      <c r="V661" s="6">
        <v>0</v>
      </c>
      <c r="W661" s="6">
        <v>0</v>
      </c>
      <c r="AI661" s="2">
        <v>0</v>
      </c>
      <c r="AJ661" s="2">
        <v>0</v>
      </c>
      <c r="AK661" s="2">
        <v>0</v>
      </c>
      <c r="AL661" s="2">
        <v>0</v>
      </c>
      <c r="AM661" s="5">
        <v>0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0</v>
      </c>
      <c r="AT661" s="12">
        <v>0</v>
      </c>
      <c r="AU661" s="2">
        <v>0</v>
      </c>
      <c r="AV661" s="5">
        <v>0</v>
      </c>
      <c r="BL661" s="1" t="s">
        <v>130</v>
      </c>
    </row>
    <row r="662" spans="1:64" x14ac:dyDescent="0.3">
      <c r="A662" t="s">
        <v>1459</v>
      </c>
      <c r="B662" s="1" t="s">
        <v>1459</v>
      </c>
      <c r="C662" s="9" t="s">
        <v>1460</v>
      </c>
      <c r="D662" s="1" t="s">
        <v>95</v>
      </c>
      <c r="E662" s="1" t="s">
        <v>135</v>
      </c>
      <c r="F662" s="10" t="s">
        <v>193</v>
      </c>
      <c r="G662" s="1">
        <v>0</v>
      </c>
      <c r="H662" s="1">
        <v>0.05</v>
      </c>
      <c r="I662" s="8">
        <v>0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0</v>
      </c>
      <c r="AJ662" s="2">
        <v>0</v>
      </c>
      <c r="AK662" s="2">
        <v>0</v>
      </c>
      <c r="AL662" s="2">
        <v>0</v>
      </c>
      <c r="AM662" s="5">
        <v>0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0</v>
      </c>
      <c r="AT662" s="12">
        <v>0</v>
      </c>
      <c r="AU662" s="2">
        <v>0</v>
      </c>
      <c r="AV662" s="5">
        <v>0</v>
      </c>
      <c r="BL662" s="1" t="s">
        <v>137</v>
      </c>
    </row>
    <row r="663" spans="1:64" x14ac:dyDescent="0.3">
      <c r="A663" t="s">
        <v>1461</v>
      </c>
      <c r="B663" s="1" t="s">
        <v>1461</v>
      </c>
      <c r="C663" s="9" t="s">
        <v>1462</v>
      </c>
      <c r="D663" s="1" t="s">
        <v>95</v>
      </c>
      <c r="E663" s="1" t="s">
        <v>88</v>
      </c>
      <c r="F663" s="10" t="s">
        <v>472</v>
      </c>
      <c r="G663" s="1">
        <v>0</v>
      </c>
      <c r="H663" s="1">
        <v>0.02</v>
      </c>
      <c r="I663" s="8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0</v>
      </c>
      <c r="AJ663" s="2">
        <v>0</v>
      </c>
      <c r="AK663" s="2">
        <v>0</v>
      </c>
      <c r="AL663" s="2">
        <v>0</v>
      </c>
      <c r="AM663" s="5">
        <v>0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0</v>
      </c>
      <c r="AT663" s="12">
        <v>0</v>
      </c>
      <c r="AU663" s="2">
        <v>0</v>
      </c>
      <c r="AV663" s="5">
        <v>0</v>
      </c>
      <c r="BL663" s="1" t="s">
        <v>90</v>
      </c>
    </row>
    <row r="664" spans="1:64" x14ac:dyDescent="0.3">
      <c r="A664" t="s">
        <v>1463</v>
      </c>
      <c r="B664" s="1" t="s">
        <v>1463</v>
      </c>
      <c r="C664" s="9" t="s">
        <v>1464</v>
      </c>
      <c r="D664" s="1" t="s">
        <v>95</v>
      </c>
      <c r="E664" s="1" t="s">
        <v>88</v>
      </c>
      <c r="F664" s="10" t="s">
        <v>472</v>
      </c>
      <c r="G664" s="1">
        <v>0</v>
      </c>
      <c r="H664" s="1">
        <v>0.02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BL664" s="1" t="s">
        <v>90</v>
      </c>
    </row>
    <row r="665" spans="1:64" x14ac:dyDescent="0.3">
      <c r="A665" t="s">
        <v>1465</v>
      </c>
      <c r="B665" s="1" t="s">
        <v>1465</v>
      </c>
      <c r="C665" s="9" t="s">
        <v>1466</v>
      </c>
      <c r="D665" s="1" t="s">
        <v>95</v>
      </c>
      <c r="E665" s="1" t="s">
        <v>88</v>
      </c>
      <c r="F665" s="10" t="s">
        <v>1170</v>
      </c>
      <c r="G665" s="1">
        <v>0</v>
      </c>
      <c r="H665" s="1">
        <v>0.05</v>
      </c>
      <c r="I665" s="8">
        <v>45755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595800.24</v>
      </c>
      <c r="P665" s="6">
        <v>74573.759999999995</v>
      </c>
      <c r="Q665" s="6">
        <v>20391.97</v>
      </c>
      <c r="R665" s="6">
        <v>2552.37</v>
      </c>
      <c r="S665" s="7">
        <v>0</v>
      </c>
      <c r="T665" s="11">
        <v>25697.66</v>
      </c>
      <c r="U665" s="6">
        <v>22944.34</v>
      </c>
      <c r="V665" s="6">
        <v>0</v>
      </c>
      <c r="W665" s="6">
        <v>3351.87</v>
      </c>
      <c r="AI665" s="2">
        <v>0</v>
      </c>
      <c r="AJ665" s="2">
        <v>0</v>
      </c>
      <c r="AK665" s="2">
        <v>0</v>
      </c>
      <c r="AL665" s="2">
        <v>0</v>
      </c>
      <c r="AM665" s="5">
        <v>0</v>
      </c>
      <c r="AN665" s="12">
        <v>595800.24</v>
      </c>
      <c r="AO665" s="2">
        <v>74573.759999999995</v>
      </c>
      <c r="AP665" s="2">
        <v>20391.97</v>
      </c>
      <c r="AQ665" s="2">
        <v>2552.37</v>
      </c>
      <c r="AR665" s="5">
        <v>0</v>
      </c>
      <c r="AS665" s="2">
        <v>25697.66</v>
      </c>
      <c r="AT665" s="12">
        <v>22944.34</v>
      </c>
      <c r="AU665" s="2">
        <v>0</v>
      </c>
      <c r="AV665" s="5">
        <v>3351.87</v>
      </c>
      <c r="BL665" s="1" t="s">
        <v>90</v>
      </c>
    </row>
    <row r="666" spans="1:64" x14ac:dyDescent="0.3">
      <c r="A666" t="s">
        <v>1465</v>
      </c>
      <c r="B666" s="1" t="s">
        <v>1467</v>
      </c>
      <c r="C666" s="9" t="s">
        <v>1468</v>
      </c>
      <c r="D666" s="1" t="s">
        <v>95</v>
      </c>
      <c r="E666" s="1" t="s">
        <v>88</v>
      </c>
      <c r="F666" s="10" t="s">
        <v>1170</v>
      </c>
      <c r="G666" s="1">
        <v>0</v>
      </c>
      <c r="H666" s="1">
        <v>0.05</v>
      </c>
      <c r="I666" s="8">
        <v>45755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257618.39999999997</v>
      </c>
      <c r="P666" s="6">
        <v>154040.88</v>
      </c>
      <c r="Q666" s="6">
        <v>8817.2900000000009</v>
      </c>
      <c r="R666" s="6">
        <v>5272.23</v>
      </c>
      <c r="S666" s="7">
        <v>0</v>
      </c>
      <c r="T666" s="11">
        <v>15780.26</v>
      </c>
      <c r="U666" s="6">
        <v>14089.52</v>
      </c>
      <c r="V666" s="6">
        <v>0</v>
      </c>
      <c r="W666" s="6">
        <v>2058.3000000000002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257618.39999999997</v>
      </c>
      <c r="AO666" s="2">
        <v>154040.88</v>
      </c>
      <c r="AP666" s="2">
        <v>8817.2900000000009</v>
      </c>
      <c r="AQ666" s="2">
        <v>5272.23</v>
      </c>
      <c r="AR666" s="5">
        <v>0</v>
      </c>
      <c r="AS666" s="2">
        <v>15780.26</v>
      </c>
      <c r="AT666" s="12">
        <v>14089.52</v>
      </c>
      <c r="AU666" s="2">
        <v>0</v>
      </c>
      <c r="AV666" s="5">
        <v>2058.3000000000002</v>
      </c>
      <c r="BL666" s="1" t="s">
        <v>90</v>
      </c>
    </row>
  </sheetData>
  <sortState xmlns:xlrd2="http://schemas.microsoft.com/office/spreadsheetml/2017/richdata2" ref="A6:BL666">
    <sortCondition ref="D1"/>
    <sortCondition ref="A1"/>
  </sortState>
  <mergeCells count="75">
    <mergeCell ref="F2:F5"/>
    <mergeCell ref="A2:A5"/>
    <mergeCell ref="B2:B5"/>
    <mergeCell ref="C2:C5"/>
    <mergeCell ref="D2:D5"/>
    <mergeCell ref="E2:E5"/>
    <mergeCell ref="G2:I2"/>
    <mergeCell ref="J2:S2"/>
    <mergeCell ref="T2:AG2"/>
    <mergeCell ref="AI2:AV2"/>
    <mergeCell ref="AH2:AH5"/>
    <mergeCell ref="G3:G5"/>
    <mergeCell ref="H3:H5"/>
    <mergeCell ref="I3:I5"/>
    <mergeCell ref="J3:N3"/>
    <mergeCell ref="O3:S3"/>
    <mergeCell ref="O4:O5"/>
    <mergeCell ref="P4:P5"/>
    <mergeCell ref="Q4:Q5"/>
    <mergeCell ref="R4:R5"/>
    <mergeCell ref="S4:S5"/>
    <mergeCell ref="AL4:AL5"/>
    <mergeCell ref="AM4:AM5"/>
    <mergeCell ref="AN4:AN5"/>
    <mergeCell ref="AO4:AO5"/>
    <mergeCell ref="T3:T5"/>
    <mergeCell ref="U3:U5"/>
    <mergeCell ref="V3:V5"/>
    <mergeCell ref="W3:W5"/>
    <mergeCell ref="X3:X5"/>
    <mergeCell ref="Y3:Y5"/>
    <mergeCell ref="AA3:AA5"/>
    <mergeCell ref="AB3:AB5"/>
    <mergeCell ref="AD3:AD5"/>
    <mergeCell ref="AE3:AE5"/>
    <mergeCell ref="AI3:AM3"/>
    <mergeCell ref="AN3:AR3"/>
    <mergeCell ref="AI4:AI5"/>
    <mergeCell ref="AJ4:AJ5"/>
    <mergeCell ref="AK4:AK5"/>
    <mergeCell ref="Z3:Z5"/>
    <mergeCell ref="AC3:AC5"/>
    <mergeCell ref="AF3:AF5"/>
    <mergeCell ref="AG3:AG5"/>
    <mergeCell ref="J4:J5"/>
    <mergeCell ref="K4:K5"/>
    <mergeCell ref="L4:L5"/>
    <mergeCell ref="M4:M5"/>
    <mergeCell ref="N4:N5"/>
    <mergeCell ref="AP4:AP5"/>
    <mergeCell ref="AQ4:AQ5"/>
    <mergeCell ref="AR4:AR5"/>
    <mergeCell ref="AX4:AX5"/>
    <mergeCell ref="AY4:AY5"/>
    <mergeCell ref="AS3:AS5"/>
    <mergeCell ref="AT3:AT5"/>
    <mergeCell ref="AU3:AU5"/>
    <mergeCell ref="AV3:AV5"/>
    <mergeCell ref="AW2:AW5"/>
    <mergeCell ref="BL3:BL5"/>
    <mergeCell ref="AZ4:AZ5"/>
    <mergeCell ref="BA4:BA5"/>
    <mergeCell ref="AX2:BK2"/>
    <mergeCell ref="AX3:BB3"/>
    <mergeCell ref="BC3:BG3"/>
    <mergeCell ref="BH3:BH5"/>
    <mergeCell ref="BI3:BI5"/>
    <mergeCell ref="BJ3:BJ5"/>
    <mergeCell ref="BK3:BK5"/>
    <mergeCell ref="BG4:BG5"/>
    <mergeCell ref="BC4:BC5"/>
    <mergeCell ref="BD4:BD5"/>
    <mergeCell ref="BE4:BE5"/>
    <mergeCell ref="BF4:BF5"/>
    <mergeCell ref="BB4:BB5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93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1002766.75</v>
      </c>
      <c r="K6" s="6">
        <v>358457</v>
      </c>
      <c r="L6" s="6">
        <v>17906.55</v>
      </c>
      <c r="M6" s="6">
        <v>6401.0199999999995</v>
      </c>
      <c r="N6" s="7">
        <v>12153.779999999999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40836.71</v>
      </c>
      <c r="U6" s="6">
        <v>36461.35</v>
      </c>
      <c r="V6" s="6">
        <v>729.23</v>
      </c>
      <c r="W6" s="6">
        <v>0</v>
      </c>
      <c r="X6" s="46">
        <v>45784</v>
      </c>
      <c r="Y6" s="1">
        <v>25111403</v>
      </c>
      <c r="AA6" s="1">
        <v>279913</v>
      </c>
      <c r="AC6" s="46">
        <v>45777</v>
      </c>
      <c r="AD6" s="1">
        <v>1</v>
      </c>
      <c r="AI6" s="2">
        <v>1002766.75</v>
      </c>
      <c r="AJ6" s="2">
        <v>358457</v>
      </c>
      <c r="AK6" s="2">
        <v>17906.55</v>
      </c>
      <c r="AL6" s="2">
        <v>6401.0199999999995</v>
      </c>
      <c r="AM6" s="5">
        <v>12153.779999999999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40836.71</v>
      </c>
      <c r="AT6" s="12">
        <v>36461.35</v>
      </c>
      <c r="AU6" s="2">
        <v>729.23</v>
      </c>
      <c r="AV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865606</v>
      </c>
      <c r="K7" s="6">
        <v>167742</v>
      </c>
      <c r="L7" s="6">
        <v>15457.25</v>
      </c>
      <c r="M7" s="6">
        <v>2995.39</v>
      </c>
      <c r="N7" s="7">
        <v>9226.32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31000.44</v>
      </c>
      <c r="U7" s="6">
        <v>27678.959999999999</v>
      </c>
      <c r="V7" s="6">
        <v>553.58000000000004</v>
      </c>
      <c r="X7" s="46">
        <v>45784</v>
      </c>
      <c r="Y7" s="1">
        <v>25111404</v>
      </c>
      <c r="AA7" s="1">
        <v>279914</v>
      </c>
      <c r="AC7" s="46">
        <v>45777</v>
      </c>
      <c r="AD7" s="1">
        <v>2</v>
      </c>
      <c r="AI7" s="2">
        <v>865606</v>
      </c>
      <c r="AJ7" s="2">
        <v>167742</v>
      </c>
      <c r="AK7" s="2">
        <v>15457.25</v>
      </c>
      <c r="AL7" s="2">
        <v>2995.39</v>
      </c>
      <c r="AM7" s="5">
        <v>9226.32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31000.44</v>
      </c>
      <c r="AT7" s="12">
        <v>27678.959999999999</v>
      </c>
      <c r="AU7" s="2">
        <v>553.58000000000004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1309409</v>
      </c>
      <c r="K8" s="6">
        <v>432907</v>
      </c>
      <c r="L8" s="6">
        <v>23382.3</v>
      </c>
      <c r="M8" s="6">
        <v>7730.48</v>
      </c>
      <c r="N8" s="7">
        <v>15556.390000000001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52269.47</v>
      </c>
      <c r="U8" s="6">
        <v>46669.17</v>
      </c>
      <c r="V8" s="6">
        <v>933.38</v>
      </c>
      <c r="W8" s="6">
        <v>0</v>
      </c>
      <c r="X8" s="46">
        <v>45784</v>
      </c>
      <c r="Y8" s="1">
        <v>25111405</v>
      </c>
      <c r="AA8" s="1">
        <v>279915</v>
      </c>
      <c r="AC8" s="46">
        <v>45777</v>
      </c>
      <c r="AD8" s="1">
        <v>3</v>
      </c>
      <c r="AI8" s="2">
        <v>1309409</v>
      </c>
      <c r="AJ8" s="2">
        <v>432907</v>
      </c>
      <c r="AK8" s="2">
        <v>23382.3</v>
      </c>
      <c r="AL8" s="2">
        <v>7730.48</v>
      </c>
      <c r="AM8" s="5">
        <v>15556.390000000001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52269.47</v>
      </c>
      <c r="AT8" s="12">
        <v>46669.17</v>
      </c>
      <c r="AU8" s="2">
        <v>933.38</v>
      </c>
      <c r="AV8" s="5">
        <v>0</v>
      </c>
      <c r="BL8" s="1" t="s">
        <v>90</v>
      </c>
    </row>
    <row r="9" spans="1:64" x14ac:dyDescent="0.3">
      <c r="A9" t="s">
        <v>158</v>
      </c>
      <c r="B9" s="1" t="s">
        <v>158</v>
      </c>
      <c r="C9" s="9" t="s">
        <v>159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642167.5</v>
      </c>
      <c r="K9" s="6">
        <v>227994</v>
      </c>
      <c r="L9" s="6">
        <v>11467.279999999999</v>
      </c>
      <c r="M9" s="6">
        <v>4071.3199999999997</v>
      </c>
      <c r="N9" s="7">
        <v>7769.3000000000011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26104.85</v>
      </c>
      <c r="U9" s="6">
        <v>23307.899999999998</v>
      </c>
      <c r="V9" s="6">
        <v>466.15999999999997</v>
      </c>
      <c r="W9" s="6">
        <v>0</v>
      </c>
      <c r="X9" s="46">
        <v>45784</v>
      </c>
      <c r="Y9" s="1">
        <v>25111406</v>
      </c>
      <c r="AA9" s="1">
        <v>279916</v>
      </c>
      <c r="AC9" s="46">
        <v>45777</v>
      </c>
      <c r="AD9" s="1">
        <v>4</v>
      </c>
      <c r="AI9" s="2">
        <v>642167.5</v>
      </c>
      <c r="AJ9" s="2">
        <v>227994</v>
      </c>
      <c r="AK9" s="2">
        <v>11467.279999999999</v>
      </c>
      <c r="AL9" s="2">
        <v>4071.3199999999997</v>
      </c>
      <c r="AM9" s="5">
        <v>7769.3000000000011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26104.85</v>
      </c>
      <c r="AT9" s="12">
        <v>23307.899999999998</v>
      </c>
      <c r="AU9" s="2">
        <v>466.15999999999997</v>
      </c>
      <c r="AV9" s="5">
        <v>0</v>
      </c>
      <c r="BL9" s="1" t="s">
        <v>90</v>
      </c>
    </row>
    <row r="10" spans="1:64" x14ac:dyDescent="0.3">
      <c r="A10" t="s">
        <v>219</v>
      </c>
      <c r="B10" s="1" t="s">
        <v>219</v>
      </c>
      <c r="C10" s="9" t="s">
        <v>220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47085</v>
      </c>
      <c r="K10" s="6">
        <v>14951</v>
      </c>
      <c r="L10" s="6">
        <v>840.8</v>
      </c>
      <c r="M10" s="6">
        <v>266.98</v>
      </c>
      <c r="N10" s="7">
        <v>553.89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1861.07</v>
      </c>
      <c r="U10" s="6">
        <v>1661.67</v>
      </c>
      <c r="V10" s="6">
        <v>33.229999999999997</v>
      </c>
      <c r="W10" s="6">
        <v>0</v>
      </c>
      <c r="X10" s="46">
        <v>45784</v>
      </c>
      <c r="Y10" s="1">
        <v>25111407</v>
      </c>
      <c r="AA10" s="1">
        <v>279917</v>
      </c>
      <c r="AC10" s="46">
        <v>45777</v>
      </c>
      <c r="AD10" s="1">
        <v>5</v>
      </c>
      <c r="AI10" s="2">
        <v>47085</v>
      </c>
      <c r="AJ10" s="2">
        <v>14951</v>
      </c>
      <c r="AK10" s="2">
        <v>840.8</v>
      </c>
      <c r="AL10" s="2">
        <v>266.98</v>
      </c>
      <c r="AM10" s="5">
        <v>553.89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1861.07</v>
      </c>
      <c r="AT10" s="12">
        <v>1661.67</v>
      </c>
      <c r="AU10" s="2">
        <v>33.229999999999997</v>
      </c>
      <c r="AV10" s="5">
        <v>0</v>
      </c>
      <c r="BL10" s="1" t="s">
        <v>90</v>
      </c>
    </row>
    <row r="11" spans="1:64" x14ac:dyDescent="0.3">
      <c r="A11" t="s">
        <v>223</v>
      </c>
      <c r="B11" s="1" t="s">
        <v>223</v>
      </c>
      <c r="C11" s="9" t="s">
        <v>224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1237883.54</v>
      </c>
      <c r="K11" s="6">
        <v>244121.11</v>
      </c>
      <c r="L11" s="6">
        <v>22105.059999999998</v>
      </c>
      <c r="M11" s="6">
        <v>4359.3</v>
      </c>
      <c r="N11" s="7">
        <v>13232.18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44460.12</v>
      </c>
      <c r="U11" s="6">
        <v>39696.54</v>
      </c>
      <c r="V11" s="6">
        <v>793.93000000000006</v>
      </c>
      <c r="W11" s="6">
        <v>0</v>
      </c>
      <c r="X11" s="46">
        <v>45784</v>
      </c>
      <c r="Y11" s="1">
        <v>25111408</v>
      </c>
      <c r="AA11" s="1">
        <v>279918</v>
      </c>
      <c r="AC11" s="46">
        <v>45777</v>
      </c>
      <c r="AD11" s="1">
        <v>6</v>
      </c>
      <c r="AI11" s="2">
        <v>1237883.54</v>
      </c>
      <c r="AJ11" s="2">
        <v>244121.11</v>
      </c>
      <c r="AK11" s="2">
        <v>22105.059999999998</v>
      </c>
      <c r="AL11" s="2">
        <v>4359.3</v>
      </c>
      <c r="AM11" s="5">
        <v>13232.18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44460.12</v>
      </c>
      <c r="AT11" s="12">
        <v>39696.54</v>
      </c>
      <c r="AU11" s="2">
        <v>793.93000000000006</v>
      </c>
      <c r="AV11" s="5">
        <v>0</v>
      </c>
      <c r="BL11" s="1" t="s">
        <v>90</v>
      </c>
    </row>
    <row r="12" spans="1:64" x14ac:dyDescent="0.3">
      <c r="A12" t="s">
        <v>239</v>
      </c>
      <c r="B12" s="1" t="s">
        <v>239</v>
      </c>
      <c r="C12" s="9" t="s">
        <v>240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756340.8</v>
      </c>
      <c r="K12" s="6">
        <v>387570</v>
      </c>
      <c r="L12" s="6">
        <v>13506.09</v>
      </c>
      <c r="M12" s="6">
        <v>6920.89</v>
      </c>
      <c r="N12" s="7">
        <v>10213.5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34317.339999999997</v>
      </c>
      <c r="U12" s="6">
        <v>30640.48</v>
      </c>
      <c r="V12" s="6">
        <v>612.81999999999994</v>
      </c>
      <c r="W12" s="6">
        <v>0</v>
      </c>
      <c r="X12" s="46">
        <v>45784</v>
      </c>
      <c r="Y12" s="1">
        <v>25111409</v>
      </c>
      <c r="AA12" s="1">
        <v>279919</v>
      </c>
      <c r="AC12" s="46">
        <v>45777</v>
      </c>
      <c r="AD12" s="1">
        <v>7</v>
      </c>
      <c r="AI12" s="2">
        <v>756340.8</v>
      </c>
      <c r="AJ12" s="2">
        <v>387570</v>
      </c>
      <c r="AK12" s="2">
        <v>13506.09</v>
      </c>
      <c r="AL12" s="2">
        <v>6920.89</v>
      </c>
      <c r="AM12" s="5">
        <v>10213.5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34317.339999999997</v>
      </c>
      <c r="AT12" s="12">
        <v>30640.48</v>
      </c>
      <c r="AU12" s="2">
        <v>612.81999999999994</v>
      </c>
      <c r="AV12" s="5">
        <v>0</v>
      </c>
      <c r="BL12" s="1" t="s">
        <v>90</v>
      </c>
    </row>
    <row r="13" spans="1:64" x14ac:dyDescent="0.3">
      <c r="A13" t="s">
        <v>261</v>
      </c>
      <c r="B13" s="1" t="s">
        <v>261</v>
      </c>
      <c r="C13" s="9" t="s">
        <v>262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482110</v>
      </c>
      <c r="K13" s="6">
        <v>146248</v>
      </c>
      <c r="L13" s="6">
        <v>8609.11</v>
      </c>
      <c r="M13" s="6">
        <v>2611.5700000000002</v>
      </c>
      <c r="N13" s="7">
        <v>5610.34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18850.740000000002</v>
      </c>
      <c r="U13" s="6">
        <v>16831.02</v>
      </c>
      <c r="V13" s="6">
        <v>336.62</v>
      </c>
      <c r="W13" s="6">
        <v>0</v>
      </c>
      <c r="X13" s="46">
        <v>45784</v>
      </c>
      <c r="Y13" s="1">
        <v>25111410</v>
      </c>
      <c r="AA13" s="1">
        <v>279920</v>
      </c>
      <c r="AC13" s="46">
        <v>45777</v>
      </c>
      <c r="AD13" s="1">
        <v>8</v>
      </c>
      <c r="AI13" s="2">
        <v>482110</v>
      </c>
      <c r="AJ13" s="2">
        <v>146248</v>
      </c>
      <c r="AK13" s="2">
        <v>8609.11</v>
      </c>
      <c r="AL13" s="2">
        <v>2611.5700000000002</v>
      </c>
      <c r="AM13" s="5">
        <v>5610.34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18850.740000000002</v>
      </c>
      <c r="AT13" s="12">
        <v>16831.02</v>
      </c>
      <c r="AU13" s="2">
        <v>336.62</v>
      </c>
      <c r="AV13" s="5">
        <v>0</v>
      </c>
      <c r="BL13" s="1" t="s">
        <v>90</v>
      </c>
    </row>
    <row r="14" spans="1:64" x14ac:dyDescent="0.3">
      <c r="A14" t="s">
        <v>274</v>
      </c>
      <c r="B14" s="1" t="s">
        <v>274</v>
      </c>
      <c r="C14" s="9" t="s">
        <v>275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604795.29</v>
      </c>
      <c r="K14" s="6">
        <v>263939.75</v>
      </c>
      <c r="L14" s="6">
        <v>12219.21</v>
      </c>
      <c r="M14" s="6">
        <v>5043.0300000000007</v>
      </c>
      <c r="N14" s="7">
        <v>7756.57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28021.07</v>
      </c>
      <c r="U14" s="6">
        <v>25018.81</v>
      </c>
      <c r="V14" s="6">
        <v>500.37</v>
      </c>
      <c r="W14" s="6">
        <v>0</v>
      </c>
      <c r="X14" s="46">
        <v>45784</v>
      </c>
      <c r="Y14" s="1">
        <v>25111411</v>
      </c>
      <c r="AA14" s="1">
        <v>279921</v>
      </c>
      <c r="AC14" s="46">
        <v>45777</v>
      </c>
      <c r="AD14" s="1">
        <v>9</v>
      </c>
      <c r="AI14" s="2">
        <v>604795.29</v>
      </c>
      <c r="AJ14" s="2">
        <v>263939.75</v>
      </c>
      <c r="AK14" s="2">
        <v>12219.21</v>
      </c>
      <c r="AL14" s="2">
        <v>5043.0300000000007</v>
      </c>
      <c r="AM14" s="5">
        <v>7756.57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28021.07</v>
      </c>
      <c r="AT14" s="12">
        <v>25018.81</v>
      </c>
      <c r="AU14" s="2">
        <v>500.37</v>
      </c>
      <c r="AV14" s="5">
        <v>0</v>
      </c>
      <c r="BL14" s="1" t="s">
        <v>90</v>
      </c>
    </row>
    <row r="15" spans="1:64" x14ac:dyDescent="0.3">
      <c r="A15" t="s">
        <v>292</v>
      </c>
      <c r="B15" s="1" t="s">
        <v>292</v>
      </c>
      <c r="C15" s="9" t="s">
        <v>293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1104000.8799999999</v>
      </c>
      <c r="K15" s="6">
        <v>365545.87</v>
      </c>
      <c r="L15" s="6">
        <v>19714.310000000001</v>
      </c>
      <c r="M15" s="6">
        <v>6527.61</v>
      </c>
      <c r="N15" s="7">
        <v>13120.960000000001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44086.43</v>
      </c>
      <c r="U15" s="6">
        <v>39362.879999999997</v>
      </c>
      <c r="V15" s="6">
        <v>787.26</v>
      </c>
      <c r="W15" s="6">
        <v>0</v>
      </c>
      <c r="X15" s="46">
        <v>45784</v>
      </c>
      <c r="Y15" s="1">
        <v>25111412</v>
      </c>
      <c r="AA15" s="1">
        <v>279922</v>
      </c>
      <c r="AC15" s="46">
        <v>45777</v>
      </c>
      <c r="AD15" s="1">
        <v>10</v>
      </c>
      <c r="AI15" s="2">
        <v>1104000.8799999999</v>
      </c>
      <c r="AJ15" s="2">
        <v>365545.87</v>
      </c>
      <c r="AK15" s="2">
        <v>19714.310000000001</v>
      </c>
      <c r="AL15" s="2">
        <v>6527.61</v>
      </c>
      <c r="AM15" s="5">
        <v>13120.960000000001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44086.43</v>
      </c>
      <c r="AT15" s="12">
        <v>39362.879999999997</v>
      </c>
      <c r="AU15" s="2">
        <v>787.26</v>
      </c>
      <c r="AV15" s="5">
        <v>0</v>
      </c>
      <c r="BL15" s="1" t="s">
        <v>90</v>
      </c>
    </row>
    <row r="16" spans="1:64" x14ac:dyDescent="0.3">
      <c r="A16" t="s">
        <v>395</v>
      </c>
      <c r="B16" s="1" t="s">
        <v>395</v>
      </c>
      <c r="C16" s="9" t="s">
        <v>396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1046861.3999999999</v>
      </c>
      <c r="K16" s="6">
        <v>305485</v>
      </c>
      <c r="L16" s="6">
        <v>18693.96</v>
      </c>
      <c r="M16" s="6">
        <v>5455.09</v>
      </c>
      <c r="N16" s="7">
        <v>12074.52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40570.400000000001</v>
      </c>
      <c r="U16" s="6">
        <v>36223.57</v>
      </c>
      <c r="V16" s="6">
        <v>724.47</v>
      </c>
      <c r="W16" s="6">
        <v>0</v>
      </c>
      <c r="X16" s="46">
        <v>45784</v>
      </c>
      <c r="Y16" s="1">
        <v>25111413</v>
      </c>
      <c r="AA16" s="1">
        <v>279923</v>
      </c>
      <c r="AC16" s="46">
        <v>45777</v>
      </c>
      <c r="AD16" s="1">
        <v>11</v>
      </c>
      <c r="AI16" s="2">
        <v>1046861.3999999999</v>
      </c>
      <c r="AJ16" s="2">
        <v>305485</v>
      </c>
      <c r="AK16" s="2">
        <v>18693.96</v>
      </c>
      <c r="AL16" s="2">
        <v>5455.09</v>
      </c>
      <c r="AM16" s="5">
        <v>12074.52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40570.400000000001</v>
      </c>
      <c r="AT16" s="12">
        <v>36223.57</v>
      </c>
      <c r="AU16" s="2">
        <v>724.47</v>
      </c>
      <c r="AV16" s="5">
        <v>0</v>
      </c>
      <c r="BL16" s="1" t="s">
        <v>90</v>
      </c>
    </row>
    <row r="17" spans="1:64" x14ac:dyDescent="0.3">
      <c r="A17" t="s">
        <v>494</v>
      </c>
      <c r="B17" s="1" t="s">
        <v>494</v>
      </c>
      <c r="C17" s="9" t="s">
        <v>495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1173875.45</v>
      </c>
      <c r="K17" s="6">
        <v>460988.55</v>
      </c>
      <c r="L17" s="6">
        <v>20962.07</v>
      </c>
      <c r="M17" s="6">
        <v>8231.93</v>
      </c>
      <c r="N17" s="7">
        <v>14597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49045.919999999998</v>
      </c>
      <c r="U17" s="6">
        <v>43791</v>
      </c>
      <c r="V17" s="6">
        <v>875.82</v>
      </c>
      <c r="W17" s="6">
        <v>0</v>
      </c>
      <c r="X17" s="46">
        <v>45784</v>
      </c>
      <c r="Y17" s="1">
        <v>25111414</v>
      </c>
      <c r="AA17" s="1">
        <v>279924</v>
      </c>
      <c r="AC17" s="46">
        <v>45777</v>
      </c>
      <c r="AD17" s="1">
        <v>12</v>
      </c>
      <c r="AI17" s="2">
        <v>1173875.45</v>
      </c>
      <c r="AJ17" s="2">
        <v>460988.55</v>
      </c>
      <c r="AK17" s="2">
        <v>20962.07</v>
      </c>
      <c r="AL17" s="2">
        <v>8231.93</v>
      </c>
      <c r="AM17" s="5">
        <v>14597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49045.919999999998</v>
      </c>
      <c r="AT17" s="12">
        <v>43791</v>
      </c>
      <c r="AU17" s="2">
        <v>875.82</v>
      </c>
      <c r="AV17" s="5">
        <v>0</v>
      </c>
      <c r="BL17" s="1" t="s">
        <v>90</v>
      </c>
    </row>
    <row r="18" spans="1:64" x14ac:dyDescent="0.3">
      <c r="A18" t="s">
        <v>642</v>
      </c>
      <c r="B18" s="1" t="s">
        <v>642</v>
      </c>
      <c r="C18" s="9" t="s">
        <v>643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364154.75</v>
      </c>
      <c r="K18" s="6">
        <v>70148</v>
      </c>
      <c r="L18" s="6">
        <v>6502.77</v>
      </c>
      <c r="M18" s="6">
        <v>1252.6400000000001</v>
      </c>
      <c r="N18" s="7">
        <v>3877.71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13029.09</v>
      </c>
      <c r="U18" s="6">
        <v>11633.12</v>
      </c>
      <c r="V18" s="6">
        <v>232.66</v>
      </c>
      <c r="X18" s="46">
        <v>45784</v>
      </c>
      <c r="Y18" s="1">
        <v>25111415</v>
      </c>
      <c r="AA18" s="1">
        <v>279925</v>
      </c>
      <c r="AC18" s="46">
        <v>45777</v>
      </c>
      <c r="AD18" s="1">
        <v>13</v>
      </c>
      <c r="AI18" s="2">
        <v>364154.75</v>
      </c>
      <c r="AJ18" s="2">
        <v>70148</v>
      </c>
      <c r="AK18" s="2">
        <v>6502.77</v>
      </c>
      <c r="AL18" s="2">
        <v>1252.6400000000001</v>
      </c>
      <c r="AM18" s="5">
        <v>3877.71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13029.09</v>
      </c>
      <c r="AT18" s="12">
        <v>11633.12</v>
      </c>
      <c r="AU18" s="2">
        <v>232.66</v>
      </c>
      <c r="BL18" s="1" t="s">
        <v>90</v>
      </c>
    </row>
    <row r="19" spans="1:64" x14ac:dyDescent="0.3">
      <c r="A19" t="s">
        <v>744</v>
      </c>
      <c r="B19" s="1" t="s">
        <v>744</v>
      </c>
      <c r="C19" s="9" t="s">
        <v>745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865319.29</v>
      </c>
      <c r="K19" s="6">
        <v>189358</v>
      </c>
      <c r="L19" s="6">
        <v>15452.140000000001</v>
      </c>
      <c r="M19" s="6">
        <v>3381.39</v>
      </c>
      <c r="N19" s="7">
        <v>9416.7599999999984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31640.32</v>
      </c>
      <c r="U19" s="6">
        <v>28250.29</v>
      </c>
      <c r="V19" s="6">
        <v>565</v>
      </c>
      <c r="W19" s="6">
        <v>0</v>
      </c>
      <c r="X19" s="46">
        <v>45784</v>
      </c>
      <c r="Y19" s="1">
        <v>25111416</v>
      </c>
      <c r="AA19" s="1">
        <v>279926</v>
      </c>
      <c r="AC19" s="46">
        <v>45777</v>
      </c>
      <c r="AD19" s="1">
        <v>14</v>
      </c>
      <c r="AI19" s="2">
        <v>865319.29</v>
      </c>
      <c r="AJ19" s="2">
        <v>189358</v>
      </c>
      <c r="AK19" s="2">
        <v>15452.140000000001</v>
      </c>
      <c r="AL19" s="2">
        <v>3381.39</v>
      </c>
      <c r="AM19" s="5">
        <v>9416.7599999999984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31640.32</v>
      </c>
      <c r="AT19" s="12">
        <v>28250.29</v>
      </c>
      <c r="AU19" s="2">
        <v>565</v>
      </c>
      <c r="AV19" s="5">
        <v>0</v>
      </c>
      <c r="BL19" s="1" t="s">
        <v>90</v>
      </c>
    </row>
    <row r="20" spans="1:64" x14ac:dyDescent="0.3">
      <c r="A20" t="s">
        <v>748</v>
      </c>
      <c r="B20" s="1" t="s">
        <v>748</v>
      </c>
      <c r="C20" s="9" t="s">
        <v>749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736781</v>
      </c>
      <c r="K20" s="6">
        <v>227673</v>
      </c>
      <c r="L20" s="6">
        <v>13156.8</v>
      </c>
      <c r="M20" s="6">
        <v>4065.59</v>
      </c>
      <c r="N20" s="7">
        <v>8611.2000000000007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28933.62</v>
      </c>
      <c r="U20" s="6">
        <v>25833.59</v>
      </c>
      <c r="V20" s="6">
        <v>516.66999999999996</v>
      </c>
      <c r="X20" s="46">
        <v>45784</v>
      </c>
      <c r="Y20" s="1">
        <v>25111417</v>
      </c>
      <c r="AA20" s="1">
        <v>279927</v>
      </c>
      <c r="AC20" s="46">
        <v>45777</v>
      </c>
      <c r="AD20" s="1">
        <v>15</v>
      </c>
      <c r="AI20" s="2">
        <v>736781</v>
      </c>
      <c r="AJ20" s="2">
        <v>227673</v>
      </c>
      <c r="AK20" s="2">
        <v>13156.8</v>
      </c>
      <c r="AL20" s="2">
        <v>4065.59</v>
      </c>
      <c r="AM20" s="5">
        <v>8611.2000000000007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28933.62</v>
      </c>
      <c r="AT20" s="12">
        <v>25833.59</v>
      </c>
      <c r="AU20" s="2">
        <v>516.66999999999996</v>
      </c>
      <c r="BL20" s="1" t="s">
        <v>90</v>
      </c>
    </row>
    <row r="21" spans="1:64" x14ac:dyDescent="0.3">
      <c r="A21" t="s">
        <v>777</v>
      </c>
      <c r="B21" s="1" t="s">
        <v>777</v>
      </c>
      <c r="C21" s="9" t="s">
        <v>778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534112</v>
      </c>
      <c r="K21" s="6">
        <v>171639</v>
      </c>
      <c r="L21" s="6">
        <v>9537.7200000000012</v>
      </c>
      <c r="M21" s="6">
        <v>3064.9799999999996</v>
      </c>
      <c r="N21" s="7">
        <v>6301.35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21172.54</v>
      </c>
      <c r="U21" s="6">
        <v>18904.050000000003</v>
      </c>
      <c r="V21" s="6">
        <v>378.08000000000004</v>
      </c>
      <c r="W21" s="6">
        <v>0</v>
      </c>
      <c r="X21" s="46">
        <v>45784</v>
      </c>
      <c r="Y21" s="1">
        <v>25111418</v>
      </c>
      <c r="AA21" s="1">
        <v>279928</v>
      </c>
      <c r="AC21" s="46">
        <v>45777</v>
      </c>
      <c r="AD21" s="1">
        <v>16</v>
      </c>
      <c r="AI21" s="2">
        <v>534112</v>
      </c>
      <c r="AJ21" s="2">
        <v>171639</v>
      </c>
      <c r="AK21" s="2">
        <v>9537.7200000000012</v>
      </c>
      <c r="AL21" s="2">
        <v>3064.9799999999996</v>
      </c>
      <c r="AM21" s="5">
        <v>6301.35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21172.54</v>
      </c>
      <c r="AT21" s="12">
        <v>18904.050000000003</v>
      </c>
      <c r="AU21" s="2">
        <v>378.08000000000004</v>
      </c>
      <c r="AV21" s="5">
        <v>0</v>
      </c>
      <c r="BL21" s="1" t="s">
        <v>90</v>
      </c>
    </row>
    <row r="22" spans="1:64" x14ac:dyDescent="0.3">
      <c r="A22" t="s">
        <v>800</v>
      </c>
      <c r="B22" s="1" t="s">
        <v>800</v>
      </c>
      <c r="C22" s="9" t="s">
        <v>801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560548</v>
      </c>
      <c r="K22" s="6">
        <v>168807</v>
      </c>
      <c r="L22" s="6">
        <v>10009.790000000001</v>
      </c>
      <c r="M22" s="6">
        <v>3014.41</v>
      </c>
      <c r="N22" s="7">
        <v>6512.09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21880.639999999999</v>
      </c>
      <c r="U22" s="6">
        <v>19536.29</v>
      </c>
      <c r="V22" s="6">
        <v>390.73</v>
      </c>
      <c r="W22" s="6">
        <v>0</v>
      </c>
      <c r="X22" s="46">
        <v>45784</v>
      </c>
      <c r="Y22" s="1">
        <v>25111419</v>
      </c>
      <c r="AA22" s="1">
        <v>279929</v>
      </c>
      <c r="AC22" s="46">
        <v>45777</v>
      </c>
      <c r="AD22" s="1">
        <v>17</v>
      </c>
      <c r="AI22" s="2">
        <v>560548</v>
      </c>
      <c r="AJ22" s="2">
        <v>168807</v>
      </c>
      <c r="AK22" s="2">
        <v>10009.790000000001</v>
      </c>
      <c r="AL22" s="2">
        <v>3014.41</v>
      </c>
      <c r="AM22" s="5">
        <v>6512.09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21880.639999999999</v>
      </c>
      <c r="AT22" s="12">
        <v>19536.29</v>
      </c>
      <c r="AU22" s="2">
        <v>390.73</v>
      </c>
      <c r="AV22" s="5">
        <v>0</v>
      </c>
      <c r="BL22" s="1" t="s">
        <v>90</v>
      </c>
    </row>
    <row r="23" spans="1:64" x14ac:dyDescent="0.3">
      <c r="A23" t="s">
        <v>849</v>
      </c>
      <c r="B23" s="1" t="s">
        <v>849</v>
      </c>
      <c r="C23" s="9" t="s">
        <v>850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437323.5</v>
      </c>
      <c r="K23" s="6">
        <v>282356.5</v>
      </c>
      <c r="L23" s="6">
        <v>7809.35</v>
      </c>
      <c r="M23" s="6">
        <v>5042.08</v>
      </c>
      <c r="N23" s="7">
        <v>6425.71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21590.400000000001</v>
      </c>
      <c r="U23" s="6">
        <v>19277.14</v>
      </c>
      <c r="V23" s="6">
        <v>385.54</v>
      </c>
      <c r="X23" s="46">
        <v>45784</v>
      </c>
      <c r="Y23" s="1">
        <v>25111420</v>
      </c>
      <c r="AA23" s="1">
        <v>279930</v>
      </c>
      <c r="AC23" s="46">
        <v>45777</v>
      </c>
      <c r="AD23" s="1">
        <v>18</v>
      </c>
      <c r="AI23" s="2">
        <v>437323.5</v>
      </c>
      <c r="AJ23" s="2">
        <v>282356.5</v>
      </c>
      <c r="AK23" s="2">
        <v>7809.35</v>
      </c>
      <c r="AL23" s="2">
        <v>5042.08</v>
      </c>
      <c r="AM23" s="5">
        <v>6425.71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21590.400000000001</v>
      </c>
      <c r="AT23" s="12">
        <v>19277.14</v>
      </c>
      <c r="AU23" s="2">
        <v>385.54</v>
      </c>
      <c r="BL23" s="1" t="s">
        <v>90</v>
      </c>
    </row>
    <row r="24" spans="1:64" x14ac:dyDescent="0.3">
      <c r="A24" t="s">
        <v>860</v>
      </c>
      <c r="B24" s="1" t="s">
        <v>860</v>
      </c>
      <c r="C24" s="9" t="s">
        <v>861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1044874.09</v>
      </c>
      <c r="K24" s="6">
        <v>155729</v>
      </c>
      <c r="L24" s="6">
        <v>18658.46</v>
      </c>
      <c r="M24" s="6">
        <v>2780.87</v>
      </c>
      <c r="N24" s="7">
        <v>10719.67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36018.080000000002</v>
      </c>
      <c r="U24" s="6">
        <v>32159</v>
      </c>
      <c r="V24" s="6">
        <v>643.17999999999995</v>
      </c>
      <c r="X24" s="46">
        <v>45784</v>
      </c>
      <c r="Y24" s="1">
        <v>25111421</v>
      </c>
      <c r="AA24" s="1">
        <v>279931</v>
      </c>
      <c r="AC24" s="46">
        <v>45777</v>
      </c>
      <c r="AD24" s="1">
        <v>19</v>
      </c>
      <c r="AI24" s="2">
        <v>1044874.09</v>
      </c>
      <c r="AJ24" s="2">
        <v>155729</v>
      </c>
      <c r="AK24" s="2">
        <v>18658.46</v>
      </c>
      <c r="AL24" s="2">
        <v>2780.87</v>
      </c>
      <c r="AM24" s="5">
        <v>10719.67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36018.080000000002</v>
      </c>
      <c r="AT24" s="12">
        <v>32159</v>
      </c>
      <c r="AU24" s="2">
        <v>643.17999999999995</v>
      </c>
      <c r="BL24" s="1" t="s">
        <v>90</v>
      </c>
    </row>
    <row r="25" spans="1:64" x14ac:dyDescent="0.3">
      <c r="A25" t="s">
        <v>1084</v>
      </c>
      <c r="B25" s="1" t="s">
        <v>1084</v>
      </c>
      <c r="C25" s="9" t="s">
        <v>1085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401488</v>
      </c>
      <c r="K25" s="6">
        <v>95943</v>
      </c>
      <c r="L25" s="6">
        <v>7169.43</v>
      </c>
      <c r="M25" s="6">
        <v>1713.2600000000002</v>
      </c>
      <c r="N25" s="7">
        <v>4441.3500000000004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14922.92</v>
      </c>
      <c r="U25" s="6">
        <v>13324.04</v>
      </c>
      <c r="V25" s="6">
        <v>266.48</v>
      </c>
      <c r="W25" s="6">
        <v>0</v>
      </c>
      <c r="X25" s="46">
        <v>45784</v>
      </c>
      <c r="Y25" s="1">
        <v>25111422</v>
      </c>
      <c r="AA25" s="1">
        <v>279932</v>
      </c>
      <c r="AC25" s="46">
        <v>45777</v>
      </c>
      <c r="AD25" s="1">
        <v>20</v>
      </c>
      <c r="AI25" s="2">
        <v>401488</v>
      </c>
      <c r="AJ25" s="2">
        <v>95943</v>
      </c>
      <c r="AK25" s="2">
        <v>7169.43</v>
      </c>
      <c r="AL25" s="2">
        <v>1713.2600000000002</v>
      </c>
      <c r="AM25" s="5">
        <v>4441.3500000000004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14922.92</v>
      </c>
      <c r="AT25" s="12">
        <v>13324.04</v>
      </c>
      <c r="AU25" s="2">
        <v>266.48</v>
      </c>
      <c r="AV25" s="5">
        <v>0</v>
      </c>
      <c r="BL25" s="1" t="s">
        <v>90</v>
      </c>
    </row>
    <row r="26" spans="1:64" x14ac:dyDescent="0.3">
      <c r="A26" t="s">
        <v>1227</v>
      </c>
      <c r="B26" s="1" t="s">
        <v>1227</v>
      </c>
      <c r="C26" s="9" t="s">
        <v>1228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291713.40000000002</v>
      </c>
      <c r="K26" s="6">
        <v>34564</v>
      </c>
      <c r="L26" s="6">
        <v>5209.17</v>
      </c>
      <c r="M26" s="6">
        <v>617.21</v>
      </c>
      <c r="N26" s="7">
        <v>2913.19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9788.32</v>
      </c>
      <c r="U26" s="6">
        <v>8739.57</v>
      </c>
      <c r="V26" s="6">
        <v>174.79</v>
      </c>
      <c r="X26" s="46">
        <v>45784</v>
      </c>
      <c r="Y26" s="1">
        <v>25111423</v>
      </c>
      <c r="AA26" s="1">
        <v>279933</v>
      </c>
      <c r="AC26" s="46">
        <v>45777</v>
      </c>
      <c r="AD26" s="1">
        <v>21</v>
      </c>
      <c r="AI26" s="2">
        <v>291713.40000000002</v>
      </c>
      <c r="AJ26" s="2">
        <v>34564</v>
      </c>
      <c r="AK26" s="2">
        <v>5209.17</v>
      </c>
      <c r="AL26" s="2">
        <v>617.21</v>
      </c>
      <c r="AM26" s="5">
        <v>2913.19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9788.32</v>
      </c>
      <c r="AT26" s="12">
        <v>8739.57</v>
      </c>
      <c r="AU26" s="2">
        <v>174.79</v>
      </c>
      <c r="BL26" s="1" t="s">
        <v>90</v>
      </c>
    </row>
    <row r="27" spans="1:64" x14ac:dyDescent="0.3">
      <c r="A27" t="s">
        <v>329</v>
      </c>
      <c r="B27" s="1" t="s">
        <v>329</v>
      </c>
      <c r="C27" s="9" t="s">
        <v>330</v>
      </c>
      <c r="D27" s="1" t="s">
        <v>41</v>
      </c>
      <c r="E27" s="1" t="s">
        <v>128</v>
      </c>
      <c r="F27" s="10" t="s">
        <v>331</v>
      </c>
      <c r="G27" s="1">
        <v>3.5000000000000003E-2</v>
      </c>
      <c r="H27" s="1">
        <v>0.02</v>
      </c>
      <c r="I27" s="8">
        <v>45136</v>
      </c>
      <c r="J27" s="6">
        <v>1141473.8999999999</v>
      </c>
      <c r="K27" s="6">
        <v>152393</v>
      </c>
      <c r="L27" s="6">
        <v>20383.46</v>
      </c>
      <c r="M27" s="6">
        <v>2721.31</v>
      </c>
      <c r="N27" s="7">
        <v>11552.380000000001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38816.01</v>
      </c>
      <c r="U27" s="6">
        <v>34657.15</v>
      </c>
      <c r="V27" s="6">
        <v>693.15</v>
      </c>
      <c r="W27" s="6">
        <v>0</v>
      </c>
      <c r="X27" s="46">
        <v>45784</v>
      </c>
      <c r="Y27" s="1">
        <v>25111424</v>
      </c>
      <c r="AA27" s="1">
        <v>279934</v>
      </c>
      <c r="AC27" s="46">
        <v>45777</v>
      </c>
      <c r="AD27" s="1">
        <v>1</v>
      </c>
      <c r="AI27" s="2">
        <v>1141473.8999999999</v>
      </c>
      <c r="AJ27" s="2">
        <v>152393</v>
      </c>
      <c r="AK27" s="2">
        <v>20383.46</v>
      </c>
      <c r="AL27" s="2">
        <v>2721.31</v>
      </c>
      <c r="AM27" s="5">
        <v>11552.380000000001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38816.01</v>
      </c>
      <c r="AT27" s="12">
        <v>34657.15</v>
      </c>
      <c r="AU27" s="2">
        <v>693.15</v>
      </c>
      <c r="AV27" s="5">
        <v>0</v>
      </c>
      <c r="BL27" s="1" t="s">
        <v>130</v>
      </c>
    </row>
    <row r="28" spans="1:64" x14ac:dyDescent="0.3">
      <c r="A28" t="s">
        <v>370</v>
      </c>
      <c r="B28" s="1" t="s">
        <v>370</v>
      </c>
      <c r="C28" s="9" t="s">
        <v>371</v>
      </c>
      <c r="D28" s="1" t="s">
        <v>41</v>
      </c>
      <c r="E28" s="1" t="s">
        <v>128</v>
      </c>
      <c r="F28" s="10" t="s">
        <v>372</v>
      </c>
      <c r="G28" s="1">
        <v>3.5000000000000003E-2</v>
      </c>
      <c r="H28" s="1">
        <v>0.02</v>
      </c>
      <c r="I28" s="8">
        <v>44741</v>
      </c>
      <c r="J28" s="6">
        <v>1848087.8</v>
      </c>
      <c r="K28" s="6">
        <v>126758.11</v>
      </c>
      <c r="L28" s="6">
        <v>33001.56</v>
      </c>
      <c r="M28" s="6">
        <v>2263.5299999999997</v>
      </c>
      <c r="N28" s="7">
        <v>17632.54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59245.35</v>
      </c>
      <c r="U28" s="6">
        <v>52897.63</v>
      </c>
      <c r="V28" s="6">
        <v>1057.9499999999998</v>
      </c>
      <c r="W28" s="6">
        <v>0</v>
      </c>
      <c r="X28" s="46">
        <v>45784</v>
      </c>
      <c r="Y28" s="1">
        <v>25111425</v>
      </c>
      <c r="AA28" s="1">
        <v>279935</v>
      </c>
      <c r="AC28" s="46">
        <v>45777</v>
      </c>
      <c r="AD28" s="1">
        <v>2</v>
      </c>
      <c r="AI28" s="2">
        <v>1848087.8</v>
      </c>
      <c r="AJ28" s="2">
        <v>126758.11</v>
      </c>
      <c r="AK28" s="2">
        <v>33001.56</v>
      </c>
      <c r="AL28" s="2">
        <v>2263.5299999999997</v>
      </c>
      <c r="AM28" s="5">
        <v>17632.54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59245.35</v>
      </c>
      <c r="AT28" s="12">
        <v>52897.63</v>
      </c>
      <c r="AU28" s="2">
        <v>1057.9499999999998</v>
      </c>
      <c r="AV28" s="5">
        <v>0</v>
      </c>
      <c r="BL28" s="1" t="s">
        <v>130</v>
      </c>
    </row>
    <row r="29" spans="1:64" x14ac:dyDescent="0.3">
      <c r="A29" t="s">
        <v>386</v>
      </c>
      <c r="B29" s="1" t="s">
        <v>386</v>
      </c>
      <c r="C29" s="9" t="s">
        <v>387</v>
      </c>
      <c r="D29" s="1" t="s">
        <v>41</v>
      </c>
      <c r="E29" s="1" t="s">
        <v>128</v>
      </c>
      <c r="F29" s="10" t="s">
        <v>372</v>
      </c>
      <c r="G29" s="1">
        <v>3.5000000000000003E-2</v>
      </c>
      <c r="H29" s="1">
        <v>0.02</v>
      </c>
      <c r="I29" s="8">
        <v>44835</v>
      </c>
      <c r="J29" s="6">
        <v>1424431.2999999998</v>
      </c>
      <c r="K29" s="6">
        <v>89189.2</v>
      </c>
      <c r="L29" s="6">
        <v>25436.280000000002</v>
      </c>
      <c r="M29" s="6">
        <v>1592.6599999999999</v>
      </c>
      <c r="N29" s="7">
        <v>13514.460000000001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45408.61</v>
      </c>
      <c r="U29" s="6">
        <v>40543.4</v>
      </c>
      <c r="V29" s="6">
        <v>810.87000000000012</v>
      </c>
      <c r="W29" s="6">
        <v>0</v>
      </c>
      <c r="X29" s="46">
        <v>45784</v>
      </c>
      <c r="Y29" s="1">
        <v>25111426</v>
      </c>
      <c r="AA29" s="1">
        <v>279936</v>
      </c>
      <c r="AC29" s="46">
        <v>45777</v>
      </c>
      <c r="AD29" s="1">
        <v>3</v>
      </c>
      <c r="AI29" s="2">
        <v>1424431.2999999998</v>
      </c>
      <c r="AJ29" s="2">
        <v>89189.2</v>
      </c>
      <c r="AK29" s="2">
        <v>25436.280000000002</v>
      </c>
      <c r="AL29" s="2">
        <v>1592.6599999999999</v>
      </c>
      <c r="AM29" s="5">
        <v>13514.460000000001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45408.61</v>
      </c>
      <c r="AT29" s="12">
        <v>40543.4</v>
      </c>
      <c r="AU29" s="2">
        <v>810.87000000000012</v>
      </c>
      <c r="AV29" s="5">
        <v>0</v>
      </c>
      <c r="BL29" s="1" t="s">
        <v>130</v>
      </c>
    </row>
    <row r="30" spans="1:64" x14ac:dyDescent="0.3">
      <c r="A30" t="s">
        <v>460</v>
      </c>
      <c r="B30" s="1" t="s">
        <v>460</v>
      </c>
      <c r="C30" s="9" t="s">
        <v>461</v>
      </c>
      <c r="D30" s="1" t="s">
        <v>41</v>
      </c>
      <c r="E30" s="1" t="s">
        <v>135</v>
      </c>
      <c r="F30" s="10" t="s">
        <v>462</v>
      </c>
      <c r="G30" s="1">
        <v>3.5000000000000003E-2</v>
      </c>
      <c r="H30" s="1">
        <v>0.02</v>
      </c>
      <c r="I30" s="8">
        <v>45315</v>
      </c>
      <c r="J30" s="6">
        <v>892955.05</v>
      </c>
      <c r="K30" s="6">
        <v>103010</v>
      </c>
      <c r="L30" s="6">
        <v>15945.630000000001</v>
      </c>
      <c r="M30" s="6">
        <v>1839.46</v>
      </c>
      <c r="N30" s="7">
        <v>8892.5400000000009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29878.95</v>
      </c>
      <c r="U30" s="6">
        <v>26677.63</v>
      </c>
      <c r="V30" s="6">
        <v>533.54999999999995</v>
      </c>
      <c r="W30" s="6">
        <v>0</v>
      </c>
      <c r="X30" s="46">
        <v>45784</v>
      </c>
      <c r="Y30" s="1">
        <v>25111427</v>
      </c>
      <c r="AA30" s="1">
        <v>279937</v>
      </c>
      <c r="AC30" s="46">
        <v>45777</v>
      </c>
      <c r="AD30" s="1">
        <v>4</v>
      </c>
      <c r="AI30" s="2">
        <v>892955.05</v>
      </c>
      <c r="AJ30" s="2">
        <v>103010</v>
      </c>
      <c r="AK30" s="2">
        <v>15945.630000000001</v>
      </c>
      <c r="AL30" s="2">
        <v>1839.46</v>
      </c>
      <c r="AM30" s="5">
        <v>8892.5400000000009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29878.95</v>
      </c>
      <c r="AT30" s="12">
        <v>26677.63</v>
      </c>
      <c r="AU30" s="2">
        <v>533.54999999999995</v>
      </c>
      <c r="AV30" s="5">
        <v>0</v>
      </c>
      <c r="BL30" s="1" t="s">
        <v>302</v>
      </c>
    </row>
    <row r="31" spans="1:64" x14ac:dyDescent="0.3">
      <c r="A31" t="s">
        <v>490</v>
      </c>
      <c r="B31" s="1" t="s">
        <v>490</v>
      </c>
      <c r="C31" s="9" t="s">
        <v>491</v>
      </c>
      <c r="D31" s="1" t="s">
        <v>41</v>
      </c>
      <c r="E31" s="1" t="s">
        <v>135</v>
      </c>
      <c r="F31" s="10" t="s">
        <v>462</v>
      </c>
      <c r="G31" s="1">
        <v>0</v>
      </c>
      <c r="H31" s="1">
        <v>0.02</v>
      </c>
      <c r="I31" s="8">
        <v>45387</v>
      </c>
      <c r="J31" s="6">
        <v>595349.1</v>
      </c>
      <c r="K31" s="6">
        <v>107173</v>
      </c>
      <c r="L31" s="6">
        <v>10631.23</v>
      </c>
      <c r="M31" s="6">
        <v>1913.8</v>
      </c>
      <c r="N31" s="7">
        <v>6272.52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21075.66</v>
      </c>
      <c r="U31" s="6">
        <v>18817.55</v>
      </c>
      <c r="V31" s="6">
        <v>376.34999999999997</v>
      </c>
      <c r="W31" s="6">
        <v>0</v>
      </c>
      <c r="X31" s="46">
        <v>45784</v>
      </c>
      <c r="Y31" s="1">
        <v>25111428</v>
      </c>
      <c r="AA31" s="1">
        <v>279938</v>
      </c>
      <c r="AC31" s="46">
        <v>45777</v>
      </c>
      <c r="AD31" s="1">
        <v>5</v>
      </c>
      <c r="AI31" s="2">
        <v>595349.1</v>
      </c>
      <c r="AJ31" s="2">
        <v>107173</v>
      </c>
      <c r="AK31" s="2">
        <v>10631.23</v>
      </c>
      <c r="AL31" s="2">
        <v>1913.8</v>
      </c>
      <c r="AM31" s="5">
        <v>6272.52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21075.66</v>
      </c>
      <c r="AT31" s="12">
        <v>18817.55</v>
      </c>
      <c r="AU31" s="2">
        <v>376.34999999999997</v>
      </c>
      <c r="AV31" s="5">
        <v>0</v>
      </c>
      <c r="BL31" s="1" t="s">
        <v>302</v>
      </c>
    </row>
    <row r="32" spans="1:64" x14ac:dyDescent="0.3">
      <c r="A32" t="s">
        <v>524</v>
      </c>
      <c r="B32" s="1" t="s">
        <v>524</v>
      </c>
      <c r="C32" s="9" t="s">
        <v>525</v>
      </c>
      <c r="D32" s="1" t="s">
        <v>41</v>
      </c>
      <c r="E32" s="1" t="s">
        <v>128</v>
      </c>
      <c r="F32" s="10" t="s">
        <v>372</v>
      </c>
      <c r="G32" s="1">
        <v>3.5000000000000003E-2</v>
      </c>
      <c r="H32" s="1">
        <v>0.02</v>
      </c>
      <c r="I32" s="8">
        <v>45242</v>
      </c>
      <c r="J32" s="6">
        <v>1500825.9500000002</v>
      </c>
      <c r="K32" s="6">
        <v>44239.08</v>
      </c>
      <c r="L32" s="6">
        <v>26800.47</v>
      </c>
      <c r="M32" s="6">
        <v>789.99</v>
      </c>
      <c r="N32" s="7">
        <v>13795.23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46351.97</v>
      </c>
      <c r="U32" s="6">
        <v>41385.689999999995</v>
      </c>
      <c r="V32" s="6">
        <v>827.71999999999991</v>
      </c>
      <c r="W32" s="6">
        <v>0</v>
      </c>
      <c r="X32" s="46">
        <v>45784</v>
      </c>
      <c r="Y32" s="1">
        <v>25111429</v>
      </c>
      <c r="AA32" s="1">
        <v>279939</v>
      </c>
      <c r="AC32" s="46">
        <v>45777</v>
      </c>
      <c r="AD32" s="1">
        <v>6</v>
      </c>
      <c r="AI32" s="2">
        <v>1500825.9500000002</v>
      </c>
      <c r="AJ32" s="2">
        <v>44239.08</v>
      </c>
      <c r="AK32" s="2">
        <v>26800.47</v>
      </c>
      <c r="AL32" s="2">
        <v>789.99</v>
      </c>
      <c r="AM32" s="5">
        <v>13795.23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46351.97</v>
      </c>
      <c r="AT32" s="12">
        <v>41385.689999999995</v>
      </c>
      <c r="AU32" s="2">
        <v>827.71999999999991</v>
      </c>
      <c r="AV32" s="5">
        <v>0</v>
      </c>
      <c r="BL32" s="1" t="s">
        <v>130</v>
      </c>
    </row>
    <row r="33" spans="1:64" x14ac:dyDescent="0.3">
      <c r="A33" t="s">
        <v>627</v>
      </c>
      <c r="B33" s="1" t="s">
        <v>627</v>
      </c>
      <c r="C33" s="9" t="s">
        <v>628</v>
      </c>
      <c r="D33" s="1" t="s">
        <v>41</v>
      </c>
      <c r="E33" s="1" t="s">
        <v>135</v>
      </c>
      <c r="F33" s="10" t="s">
        <v>462</v>
      </c>
      <c r="G33" s="1">
        <v>3.5000000000000003E-2</v>
      </c>
      <c r="H33" s="1">
        <v>0.02</v>
      </c>
      <c r="I33" s="8">
        <v>45017</v>
      </c>
      <c r="J33" s="6">
        <v>626733.65</v>
      </c>
      <c r="K33" s="6">
        <v>116196.25</v>
      </c>
      <c r="L33" s="6">
        <v>11191.67</v>
      </c>
      <c r="M33" s="6">
        <v>2074.94</v>
      </c>
      <c r="N33" s="7">
        <v>6633.3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22287.9</v>
      </c>
      <c r="U33" s="6">
        <v>19899.91</v>
      </c>
      <c r="V33" s="6">
        <v>398</v>
      </c>
      <c r="X33" s="46">
        <v>45784</v>
      </c>
      <c r="Y33" s="1">
        <v>25111430</v>
      </c>
      <c r="AA33" s="1">
        <v>279940</v>
      </c>
      <c r="AC33" s="46">
        <v>45777</v>
      </c>
      <c r="AD33" s="1">
        <v>7</v>
      </c>
      <c r="AI33" s="2">
        <v>626733.65</v>
      </c>
      <c r="AJ33" s="2">
        <v>116196.25</v>
      </c>
      <c r="AK33" s="2">
        <v>11191.67</v>
      </c>
      <c r="AL33" s="2">
        <v>2074.94</v>
      </c>
      <c r="AM33" s="5">
        <v>6633.3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22287.9</v>
      </c>
      <c r="AT33" s="12">
        <v>19899.91</v>
      </c>
      <c r="AU33" s="2">
        <v>398</v>
      </c>
      <c r="BL33" s="1" t="s">
        <v>302</v>
      </c>
    </row>
    <row r="34" spans="1:64" x14ac:dyDescent="0.3">
      <c r="A34" t="s">
        <v>656</v>
      </c>
      <c r="B34" s="1" t="s">
        <v>656</v>
      </c>
      <c r="C34" s="9" t="s">
        <v>657</v>
      </c>
      <c r="D34" s="1" t="s">
        <v>41</v>
      </c>
      <c r="E34" s="1" t="s">
        <v>128</v>
      </c>
      <c r="F34" s="10" t="s">
        <v>372</v>
      </c>
      <c r="G34" s="1">
        <v>3.5000000000000003E-2</v>
      </c>
      <c r="H34" s="1">
        <v>0.02</v>
      </c>
      <c r="I34" s="8">
        <v>45276</v>
      </c>
      <c r="J34" s="6">
        <v>829904.33999999985</v>
      </c>
      <c r="K34" s="6">
        <v>59629.85</v>
      </c>
      <c r="L34" s="6">
        <v>14819.72</v>
      </c>
      <c r="M34" s="6">
        <v>1064.82</v>
      </c>
      <c r="N34" s="7">
        <v>7942.27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26686.03</v>
      </c>
      <c r="U34" s="6">
        <v>23826.809999999998</v>
      </c>
      <c r="V34" s="6">
        <v>476.54</v>
      </c>
      <c r="X34" s="46">
        <v>45784</v>
      </c>
      <c r="Y34" s="1">
        <v>25111431</v>
      </c>
      <c r="AA34" s="1">
        <v>279941</v>
      </c>
      <c r="AC34" s="46">
        <v>45777</v>
      </c>
      <c r="AD34" s="1">
        <v>8</v>
      </c>
      <c r="AI34" s="2">
        <v>829904.33999999985</v>
      </c>
      <c r="AJ34" s="2">
        <v>59629.85</v>
      </c>
      <c r="AK34" s="2">
        <v>14819.72</v>
      </c>
      <c r="AL34" s="2">
        <v>1064.82</v>
      </c>
      <c r="AM34" s="5">
        <v>7942.27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26686.03</v>
      </c>
      <c r="AT34" s="12">
        <v>23826.809999999998</v>
      </c>
      <c r="AU34" s="2">
        <v>476.54</v>
      </c>
      <c r="BL34" s="1" t="s">
        <v>130</v>
      </c>
    </row>
    <row r="35" spans="1:64" x14ac:dyDescent="0.3">
      <c r="A35" t="s">
        <v>662</v>
      </c>
      <c r="B35" s="1" t="s">
        <v>662</v>
      </c>
      <c r="C35" s="9" t="s">
        <v>663</v>
      </c>
      <c r="D35" s="1" t="s">
        <v>41</v>
      </c>
      <c r="E35" s="1" t="s">
        <v>88</v>
      </c>
      <c r="F35" s="10" t="s">
        <v>664</v>
      </c>
      <c r="G35" s="1">
        <v>3.5000000000000003E-2</v>
      </c>
      <c r="H35" s="1">
        <v>0.02</v>
      </c>
      <c r="I35" s="8">
        <v>45342</v>
      </c>
      <c r="J35" s="6">
        <v>625788</v>
      </c>
      <c r="K35" s="6">
        <v>55366</v>
      </c>
      <c r="L35" s="6">
        <v>11174.79</v>
      </c>
      <c r="M35" s="6">
        <v>988.68</v>
      </c>
      <c r="N35" s="7">
        <v>6081.73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20434.62</v>
      </c>
      <c r="U35" s="6">
        <v>18245.2</v>
      </c>
      <c r="V35" s="6">
        <v>364.9</v>
      </c>
      <c r="X35" s="46">
        <v>45784</v>
      </c>
      <c r="Y35" s="1">
        <v>25111432</v>
      </c>
      <c r="AA35" s="1">
        <v>279942</v>
      </c>
      <c r="AC35" s="46">
        <v>45777</v>
      </c>
      <c r="AD35" s="1">
        <v>9</v>
      </c>
      <c r="AI35" s="2">
        <v>625788</v>
      </c>
      <c r="AJ35" s="2">
        <v>55366</v>
      </c>
      <c r="AK35" s="2">
        <v>11174.79</v>
      </c>
      <c r="AL35" s="2">
        <v>988.68</v>
      </c>
      <c r="AM35" s="5">
        <v>6081.73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20434.62</v>
      </c>
      <c r="AT35" s="12">
        <v>18245.2</v>
      </c>
      <c r="AU35" s="2">
        <v>364.9</v>
      </c>
      <c r="BL35" s="1" t="s">
        <v>546</v>
      </c>
    </row>
    <row r="36" spans="1:64" x14ac:dyDescent="0.3">
      <c r="A36" t="s">
        <v>669</v>
      </c>
      <c r="B36" s="1" t="s">
        <v>669</v>
      </c>
      <c r="C36" s="9" t="s">
        <v>670</v>
      </c>
      <c r="D36" s="1" t="s">
        <v>41</v>
      </c>
      <c r="E36" s="1" t="s">
        <v>88</v>
      </c>
      <c r="F36" s="10" t="s">
        <v>671</v>
      </c>
      <c r="G36" s="1">
        <v>0</v>
      </c>
      <c r="H36" s="1">
        <v>0.02</v>
      </c>
      <c r="I36" s="8">
        <v>45620</v>
      </c>
      <c r="J36" s="6">
        <v>316121</v>
      </c>
      <c r="K36" s="6">
        <v>51218</v>
      </c>
      <c r="L36" s="6">
        <v>5645.02</v>
      </c>
      <c r="M36" s="6">
        <v>914.61</v>
      </c>
      <c r="N36" s="7">
        <v>3279.81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11020.17</v>
      </c>
      <c r="U36" s="6">
        <v>9839.44</v>
      </c>
      <c r="V36" s="6">
        <v>196.79</v>
      </c>
      <c r="X36" s="46">
        <v>45784</v>
      </c>
      <c r="Y36" s="1">
        <v>25111433</v>
      </c>
      <c r="AA36" s="1">
        <v>279943</v>
      </c>
      <c r="AC36" s="46">
        <v>45777</v>
      </c>
      <c r="AD36" s="1">
        <v>10</v>
      </c>
      <c r="AI36" s="2">
        <v>316121</v>
      </c>
      <c r="AJ36" s="2">
        <v>51218</v>
      </c>
      <c r="AK36" s="2">
        <v>5645.02</v>
      </c>
      <c r="AL36" s="2">
        <v>914.61</v>
      </c>
      <c r="AM36" s="5">
        <v>3279.81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11020.17</v>
      </c>
      <c r="AT36" s="12">
        <v>9839.44</v>
      </c>
      <c r="AU36" s="2">
        <v>196.79</v>
      </c>
      <c r="BL36" s="1" t="s">
        <v>90</v>
      </c>
    </row>
    <row r="37" spans="1:64" x14ac:dyDescent="0.3">
      <c r="A37" t="s">
        <v>676</v>
      </c>
      <c r="B37" s="1" t="s">
        <v>676</v>
      </c>
      <c r="C37" s="9" t="s">
        <v>677</v>
      </c>
      <c r="D37" s="1" t="s">
        <v>41</v>
      </c>
      <c r="E37" s="1" t="s">
        <v>88</v>
      </c>
      <c r="F37" s="10" t="s">
        <v>664</v>
      </c>
      <c r="G37" s="1">
        <v>0</v>
      </c>
      <c r="H37" s="1">
        <v>0.02</v>
      </c>
      <c r="I37" s="8">
        <v>45683</v>
      </c>
      <c r="J37" s="6">
        <v>502485</v>
      </c>
      <c r="K37" s="6">
        <v>91400</v>
      </c>
      <c r="L37" s="6">
        <v>8972.9500000000007</v>
      </c>
      <c r="M37" s="6">
        <v>1632.14</v>
      </c>
      <c r="N37" s="7">
        <v>5302.54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17816.55</v>
      </c>
      <c r="U37" s="6">
        <v>15907.630000000001</v>
      </c>
      <c r="V37" s="6">
        <v>318.14999999999998</v>
      </c>
      <c r="X37" s="46">
        <v>45784</v>
      </c>
      <c r="Y37" s="1">
        <v>25111434</v>
      </c>
      <c r="AA37" s="1">
        <v>279944</v>
      </c>
      <c r="AC37" s="46">
        <v>45777</v>
      </c>
      <c r="AD37" s="1">
        <v>11</v>
      </c>
      <c r="AI37" s="2">
        <v>502485</v>
      </c>
      <c r="AJ37" s="2">
        <v>91400</v>
      </c>
      <c r="AK37" s="2">
        <v>8972.9500000000007</v>
      </c>
      <c r="AL37" s="2">
        <v>1632.14</v>
      </c>
      <c r="AM37" s="5">
        <v>5302.54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17816.55</v>
      </c>
      <c r="AT37" s="12">
        <v>15907.630000000001</v>
      </c>
      <c r="AU37" s="2">
        <v>318.14999999999998</v>
      </c>
      <c r="BL37" s="1" t="s">
        <v>546</v>
      </c>
    </row>
    <row r="38" spans="1:64" x14ac:dyDescent="0.3">
      <c r="A38" t="s">
        <v>690</v>
      </c>
      <c r="B38" s="1" t="s">
        <v>690</v>
      </c>
      <c r="C38" s="9" t="s">
        <v>691</v>
      </c>
      <c r="D38" s="1" t="s">
        <v>41</v>
      </c>
      <c r="E38" s="1" t="s">
        <v>88</v>
      </c>
      <c r="F38" s="10" t="s">
        <v>664</v>
      </c>
      <c r="G38" s="1">
        <v>0</v>
      </c>
      <c r="H38" s="1">
        <v>0.02</v>
      </c>
      <c r="I38" s="8">
        <v>44013</v>
      </c>
      <c r="J38" s="6">
        <v>402048</v>
      </c>
      <c r="K38" s="6">
        <v>88964</v>
      </c>
      <c r="L38" s="6">
        <v>7179.43</v>
      </c>
      <c r="M38" s="6">
        <v>1588.64</v>
      </c>
      <c r="N38" s="7">
        <v>4384.04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14730.36</v>
      </c>
      <c r="U38" s="6">
        <v>13152.11</v>
      </c>
      <c r="V38" s="6">
        <v>263.04000000000002</v>
      </c>
      <c r="X38" s="46">
        <v>45784</v>
      </c>
      <c r="Y38" s="1">
        <v>25111435</v>
      </c>
      <c r="AA38" s="1">
        <v>279945</v>
      </c>
      <c r="AC38" s="46">
        <v>45777</v>
      </c>
      <c r="AD38" s="1">
        <v>12</v>
      </c>
      <c r="AI38" s="2">
        <v>402048</v>
      </c>
      <c r="AJ38" s="2">
        <v>88964</v>
      </c>
      <c r="AK38" s="2">
        <v>7179.43</v>
      </c>
      <c r="AL38" s="2">
        <v>1588.64</v>
      </c>
      <c r="AM38" s="5">
        <v>4384.04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14730.36</v>
      </c>
      <c r="AT38" s="12">
        <v>13152.11</v>
      </c>
      <c r="AU38" s="2">
        <v>263.04000000000002</v>
      </c>
      <c r="BL38" s="1" t="s">
        <v>546</v>
      </c>
    </row>
    <row r="39" spans="1:64" x14ac:dyDescent="0.3">
      <c r="A39" t="s">
        <v>692</v>
      </c>
      <c r="B39" s="1" t="s">
        <v>692</v>
      </c>
      <c r="C39" s="9" t="s">
        <v>693</v>
      </c>
      <c r="D39" s="1" t="s">
        <v>41</v>
      </c>
      <c r="E39" s="1" t="s">
        <v>128</v>
      </c>
      <c r="F39" s="10" t="s">
        <v>372</v>
      </c>
      <c r="G39" s="1">
        <v>3.5000000000000003E-2</v>
      </c>
      <c r="H39" s="1">
        <v>0.02</v>
      </c>
      <c r="I39" s="8">
        <v>44011</v>
      </c>
      <c r="J39" s="6">
        <v>902778</v>
      </c>
      <c r="K39" s="6">
        <v>161237</v>
      </c>
      <c r="L39" s="6">
        <v>16121.04</v>
      </c>
      <c r="M39" s="6">
        <v>2879.2400000000002</v>
      </c>
      <c r="N39" s="7">
        <v>9500.1400000000012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31920.47</v>
      </c>
      <c r="U39" s="6">
        <v>28500.42</v>
      </c>
      <c r="V39" s="6">
        <v>570.01</v>
      </c>
      <c r="W39" s="6">
        <v>0</v>
      </c>
      <c r="X39" s="46">
        <v>45784</v>
      </c>
      <c r="Y39" s="1">
        <v>25111436</v>
      </c>
      <c r="AA39" s="1">
        <v>279946</v>
      </c>
      <c r="AC39" s="46">
        <v>45777</v>
      </c>
      <c r="AD39" s="1">
        <v>13</v>
      </c>
      <c r="AI39" s="2">
        <v>902778</v>
      </c>
      <c r="AJ39" s="2">
        <v>161237</v>
      </c>
      <c r="AK39" s="2">
        <v>16121.04</v>
      </c>
      <c r="AL39" s="2">
        <v>2879.2400000000002</v>
      </c>
      <c r="AM39" s="5">
        <v>9500.1400000000012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31920.47</v>
      </c>
      <c r="AT39" s="12">
        <v>28500.42</v>
      </c>
      <c r="AU39" s="2">
        <v>570.01</v>
      </c>
      <c r="AV39" s="5">
        <v>0</v>
      </c>
      <c r="BL39" s="1" t="s">
        <v>130</v>
      </c>
    </row>
    <row r="40" spans="1:64" x14ac:dyDescent="0.3">
      <c r="A40" t="s">
        <v>781</v>
      </c>
      <c r="B40" s="1" t="s">
        <v>781</v>
      </c>
      <c r="C40" s="9" t="s">
        <v>782</v>
      </c>
      <c r="D40" s="1" t="s">
        <v>41</v>
      </c>
      <c r="E40" s="1" t="s">
        <v>88</v>
      </c>
      <c r="F40" s="10" t="s">
        <v>664</v>
      </c>
      <c r="G40" s="1">
        <v>0</v>
      </c>
      <c r="H40" s="1">
        <v>0.02</v>
      </c>
      <c r="I40" s="8">
        <v>44647</v>
      </c>
      <c r="J40" s="6">
        <v>463347</v>
      </c>
      <c r="K40" s="6">
        <v>93987</v>
      </c>
      <c r="L40" s="6">
        <v>8274.0499999999993</v>
      </c>
      <c r="M40" s="6">
        <v>1678.3400000000001</v>
      </c>
      <c r="N40" s="7">
        <v>4976.2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16720.02</v>
      </c>
      <c r="U40" s="6">
        <v>14928.59</v>
      </c>
      <c r="V40" s="6">
        <v>298.57</v>
      </c>
      <c r="W40" s="6">
        <v>0</v>
      </c>
      <c r="X40" s="46">
        <v>45784</v>
      </c>
      <c r="Y40" s="1">
        <v>25111437</v>
      </c>
      <c r="AA40" s="1">
        <v>279947</v>
      </c>
      <c r="AC40" s="46">
        <v>45777</v>
      </c>
      <c r="AD40" s="1">
        <v>14</v>
      </c>
      <c r="AI40" s="2">
        <v>463347</v>
      </c>
      <c r="AJ40" s="2">
        <v>93987</v>
      </c>
      <c r="AK40" s="2">
        <v>8274.0499999999993</v>
      </c>
      <c r="AL40" s="2">
        <v>1678.3400000000001</v>
      </c>
      <c r="AM40" s="5">
        <v>4976.2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16720.02</v>
      </c>
      <c r="AT40" s="12">
        <v>14928.59</v>
      </c>
      <c r="AU40" s="2">
        <v>298.57</v>
      </c>
      <c r="AV40" s="5">
        <v>0</v>
      </c>
      <c r="BL40" s="1" t="s">
        <v>546</v>
      </c>
    </row>
    <row r="41" spans="1:64" x14ac:dyDescent="0.3">
      <c r="A41" t="s">
        <v>795</v>
      </c>
      <c r="B41" s="1" t="s">
        <v>795</v>
      </c>
      <c r="C41" s="9" t="s">
        <v>796</v>
      </c>
      <c r="D41" s="1" t="s">
        <v>41</v>
      </c>
      <c r="E41" s="1" t="s">
        <v>135</v>
      </c>
      <c r="F41" s="10" t="s">
        <v>797</v>
      </c>
      <c r="G41" s="1">
        <v>0</v>
      </c>
      <c r="H41" s="1">
        <v>0.02</v>
      </c>
      <c r="I41" s="8">
        <v>44804</v>
      </c>
      <c r="J41" s="6">
        <v>277422</v>
      </c>
      <c r="K41" s="6">
        <v>68766</v>
      </c>
      <c r="L41" s="6">
        <v>4953.96</v>
      </c>
      <c r="M41" s="6">
        <v>1227.96</v>
      </c>
      <c r="N41" s="7">
        <v>3090.96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10385.629999999999</v>
      </c>
      <c r="U41" s="6">
        <v>9272.8799999999992</v>
      </c>
      <c r="V41" s="6">
        <v>185.46</v>
      </c>
      <c r="W41" s="6">
        <v>0</v>
      </c>
      <c r="X41" s="46">
        <v>45784</v>
      </c>
      <c r="Y41" s="1">
        <v>25111438</v>
      </c>
      <c r="AA41" s="1">
        <v>279948</v>
      </c>
      <c r="AC41" s="46">
        <v>45777</v>
      </c>
      <c r="AD41" s="1">
        <v>15</v>
      </c>
      <c r="AI41" s="2">
        <v>277422</v>
      </c>
      <c r="AJ41" s="2">
        <v>68766</v>
      </c>
      <c r="AK41" s="2">
        <v>4953.96</v>
      </c>
      <c r="AL41" s="2">
        <v>1227.96</v>
      </c>
      <c r="AM41" s="5">
        <v>3090.96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10385.629999999999</v>
      </c>
      <c r="AT41" s="12">
        <v>9272.8799999999992</v>
      </c>
      <c r="AU41" s="2">
        <v>185.46</v>
      </c>
      <c r="AV41" s="5">
        <v>0</v>
      </c>
      <c r="BL41" s="1" t="s">
        <v>302</v>
      </c>
    </row>
    <row r="42" spans="1:64" x14ac:dyDescent="0.3">
      <c r="A42" t="s">
        <v>816</v>
      </c>
      <c r="B42" s="1" t="s">
        <v>816</v>
      </c>
      <c r="C42" s="9" t="s">
        <v>817</v>
      </c>
      <c r="D42" s="1" t="s">
        <v>41</v>
      </c>
      <c r="E42" s="1" t="s">
        <v>135</v>
      </c>
      <c r="F42" s="10" t="s">
        <v>797</v>
      </c>
      <c r="G42" s="1">
        <v>0</v>
      </c>
      <c r="H42" s="1">
        <v>0.02</v>
      </c>
      <c r="I42" s="8">
        <v>44951</v>
      </c>
      <c r="J42" s="6">
        <v>945253</v>
      </c>
      <c r="K42" s="6">
        <v>151977</v>
      </c>
      <c r="L42" s="6">
        <v>16879.52</v>
      </c>
      <c r="M42" s="6">
        <v>2713.87</v>
      </c>
      <c r="N42" s="7">
        <v>9796.7000000000007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32916.9</v>
      </c>
      <c r="U42" s="6">
        <v>29390.09</v>
      </c>
      <c r="V42" s="6">
        <v>587.79999999999995</v>
      </c>
      <c r="W42" s="6">
        <v>0</v>
      </c>
      <c r="X42" s="46">
        <v>45784</v>
      </c>
      <c r="Y42" s="1">
        <v>25111439</v>
      </c>
      <c r="AA42" s="1">
        <v>279949</v>
      </c>
      <c r="AC42" s="46">
        <v>45777</v>
      </c>
      <c r="AD42" s="1">
        <v>16</v>
      </c>
      <c r="AI42" s="2">
        <v>945253</v>
      </c>
      <c r="AJ42" s="2">
        <v>151977</v>
      </c>
      <c r="AK42" s="2">
        <v>16879.52</v>
      </c>
      <c r="AL42" s="2">
        <v>2713.87</v>
      </c>
      <c r="AM42" s="5">
        <v>9796.7000000000007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32916.9</v>
      </c>
      <c r="AT42" s="12">
        <v>29390.09</v>
      </c>
      <c r="AU42" s="2">
        <v>587.79999999999995</v>
      </c>
      <c r="AV42" s="5">
        <v>0</v>
      </c>
      <c r="BL42" s="1" t="s">
        <v>302</v>
      </c>
    </row>
    <row r="43" spans="1:64" x14ac:dyDescent="0.3">
      <c r="A43" t="s">
        <v>824</v>
      </c>
      <c r="B43" s="1" t="s">
        <v>824</v>
      </c>
      <c r="C43" s="9" t="s">
        <v>825</v>
      </c>
      <c r="D43" s="1" t="s">
        <v>41</v>
      </c>
      <c r="E43" s="1" t="s">
        <v>135</v>
      </c>
      <c r="F43" s="10" t="s">
        <v>826</v>
      </c>
      <c r="G43" s="1">
        <v>0</v>
      </c>
      <c r="H43" s="1">
        <v>0.02</v>
      </c>
      <c r="I43" s="8">
        <v>45075</v>
      </c>
      <c r="J43" s="6">
        <v>494825</v>
      </c>
      <c r="K43" s="6">
        <v>62442</v>
      </c>
      <c r="L43" s="6">
        <v>8836.16</v>
      </c>
      <c r="M43" s="6">
        <v>1115.04</v>
      </c>
      <c r="N43" s="7">
        <v>4975.6000000000004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16718.02</v>
      </c>
      <c r="U43" s="6">
        <v>14926.800000000001</v>
      </c>
      <c r="V43" s="6">
        <v>298.54000000000002</v>
      </c>
      <c r="X43" s="46">
        <v>45784</v>
      </c>
      <c r="Y43" s="1">
        <v>25111440</v>
      </c>
      <c r="AA43" s="1">
        <v>279950</v>
      </c>
      <c r="AC43" s="46">
        <v>45777</v>
      </c>
      <c r="AD43" s="1">
        <v>17</v>
      </c>
      <c r="AI43" s="2">
        <v>494825</v>
      </c>
      <c r="AJ43" s="2">
        <v>62442</v>
      </c>
      <c r="AK43" s="2">
        <v>8836.16</v>
      </c>
      <c r="AL43" s="2">
        <v>1115.04</v>
      </c>
      <c r="AM43" s="5">
        <v>4975.6000000000004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16718.02</v>
      </c>
      <c r="AT43" s="12">
        <v>14926.800000000001</v>
      </c>
      <c r="AU43" s="2">
        <v>298.54000000000002</v>
      </c>
      <c r="BL43" s="1" t="s">
        <v>302</v>
      </c>
    </row>
    <row r="44" spans="1:64" x14ac:dyDescent="0.3">
      <c r="A44" t="s">
        <v>886</v>
      </c>
      <c r="B44" s="1" t="s">
        <v>886</v>
      </c>
      <c r="C44" s="9" t="s">
        <v>887</v>
      </c>
      <c r="D44" s="1" t="s">
        <v>41</v>
      </c>
      <c r="E44" s="1" t="s">
        <v>135</v>
      </c>
      <c r="F44" s="10" t="s">
        <v>797</v>
      </c>
      <c r="G44" s="1">
        <v>0</v>
      </c>
      <c r="H44" s="1">
        <v>0.02</v>
      </c>
      <c r="I44" s="8">
        <v>45278</v>
      </c>
      <c r="J44" s="6">
        <v>665171</v>
      </c>
      <c r="K44" s="6">
        <v>126960</v>
      </c>
      <c r="L44" s="6">
        <v>11878.05</v>
      </c>
      <c r="M44" s="6">
        <v>2267.14</v>
      </c>
      <c r="N44" s="7">
        <v>7072.6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23763.919999999998</v>
      </c>
      <c r="U44" s="6">
        <v>21217.79</v>
      </c>
      <c r="V44" s="6">
        <v>424.36</v>
      </c>
      <c r="X44" s="46">
        <v>45784</v>
      </c>
      <c r="Y44" s="1">
        <v>25111441</v>
      </c>
      <c r="AA44" s="1">
        <v>279951</v>
      </c>
      <c r="AC44" s="46">
        <v>45777</v>
      </c>
      <c r="AD44" s="1">
        <v>18</v>
      </c>
      <c r="AI44" s="2">
        <v>665171</v>
      </c>
      <c r="AJ44" s="2">
        <v>126960</v>
      </c>
      <c r="AK44" s="2">
        <v>11878.05</v>
      </c>
      <c r="AL44" s="2">
        <v>2267.14</v>
      </c>
      <c r="AM44" s="5">
        <v>7072.6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23763.919999999998</v>
      </c>
      <c r="AT44" s="12">
        <v>21217.79</v>
      </c>
      <c r="AU44" s="2">
        <v>424.36</v>
      </c>
      <c r="BL44" s="1" t="s">
        <v>302</v>
      </c>
    </row>
    <row r="45" spans="1:64" x14ac:dyDescent="0.3">
      <c r="A45" t="s">
        <v>898</v>
      </c>
      <c r="B45" s="1" t="s">
        <v>898</v>
      </c>
      <c r="C45" s="9" t="s">
        <v>899</v>
      </c>
      <c r="D45" s="1" t="s">
        <v>41</v>
      </c>
      <c r="E45" s="1" t="s">
        <v>88</v>
      </c>
      <c r="F45" s="10" t="s">
        <v>664</v>
      </c>
      <c r="G45" s="1">
        <v>0</v>
      </c>
      <c r="H45" s="1">
        <v>0.02</v>
      </c>
      <c r="I45" s="8">
        <v>45518</v>
      </c>
      <c r="J45" s="6">
        <v>668757.48</v>
      </c>
      <c r="K45" s="6">
        <v>284665</v>
      </c>
      <c r="L45" s="6">
        <v>11942.099999999999</v>
      </c>
      <c r="M45" s="6">
        <v>5083.3</v>
      </c>
      <c r="N45" s="7">
        <v>8512.7099999999991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28602.68</v>
      </c>
      <c r="U45" s="6">
        <v>25538.11</v>
      </c>
      <c r="V45" s="6">
        <v>510.76</v>
      </c>
      <c r="W45" s="6">
        <v>0</v>
      </c>
      <c r="X45" s="46">
        <v>45784</v>
      </c>
      <c r="Y45" s="1">
        <v>25111442</v>
      </c>
      <c r="AA45" s="1">
        <v>279952</v>
      </c>
      <c r="AC45" s="46">
        <v>45777</v>
      </c>
      <c r="AD45" s="1">
        <v>19</v>
      </c>
      <c r="AI45" s="2">
        <v>668757.48</v>
      </c>
      <c r="AJ45" s="2">
        <v>284665</v>
      </c>
      <c r="AK45" s="2">
        <v>11942.099999999999</v>
      </c>
      <c r="AL45" s="2">
        <v>5083.3</v>
      </c>
      <c r="AM45" s="5">
        <v>8512.7099999999991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28602.68</v>
      </c>
      <c r="AT45" s="12">
        <v>25538.11</v>
      </c>
      <c r="AU45" s="2">
        <v>510.76</v>
      </c>
      <c r="AV45" s="5">
        <v>0</v>
      </c>
      <c r="BL45" s="1" t="s">
        <v>546</v>
      </c>
    </row>
    <row r="46" spans="1:64" x14ac:dyDescent="0.3">
      <c r="A46" t="s">
        <v>908</v>
      </c>
      <c r="B46" s="1" t="s">
        <v>908</v>
      </c>
      <c r="C46" s="9" t="s">
        <v>909</v>
      </c>
      <c r="D46" s="1" t="s">
        <v>41</v>
      </c>
      <c r="E46" s="1" t="s">
        <v>88</v>
      </c>
      <c r="F46" s="10" t="s">
        <v>664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BL46" s="1" t="s">
        <v>546</v>
      </c>
    </row>
    <row r="47" spans="1:64" x14ac:dyDescent="0.3">
      <c r="A47" t="s">
        <v>938</v>
      </c>
      <c r="B47" s="1" t="s">
        <v>938</v>
      </c>
      <c r="C47" s="9" t="s">
        <v>939</v>
      </c>
      <c r="D47" s="1" t="s">
        <v>41</v>
      </c>
      <c r="E47" s="1" t="s">
        <v>88</v>
      </c>
      <c r="F47" s="10" t="s">
        <v>671</v>
      </c>
      <c r="G47" s="1">
        <v>0</v>
      </c>
      <c r="H47" s="1">
        <v>0.02</v>
      </c>
      <c r="I47" s="8">
        <v>45630</v>
      </c>
      <c r="J47" s="6">
        <v>257181</v>
      </c>
      <c r="K47" s="6">
        <v>63166</v>
      </c>
      <c r="L47" s="6">
        <v>4592.5200000000004</v>
      </c>
      <c r="M47" s="6">
        <v>1127.96</v>
      </c>
      <c r="N47" s="7">
        <v>2860.24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9610.41</v>
      </c>
      <c r="U47" s="6">
        <v>8580.7200000000012</v>
      </c>
      <c r="V47" s="6">
        <v>171.61</v>
      </c>
      <c r="W47" s="6">
        <v>0</v>
      </c>
      <c r="X47" s="46">
        <v>45784</v>
      </c>
      <c r="Y47" s="1">
        <v>25111443</v>
      </c>
      <c r="AA47" s="1">
        <v>279953</v>
      </c>
      <c r="AC47" s="46">
        <v>45777</v>
      </c>
      <c r="AD47" s="1">
        <v>20</v>
      </c>
      <c r="AI47" s="2">
        <v>257181</v>
      </c>
      <c r="AJ47" s="2">
        <v>63166</v>
      </c>
      <c r="AK47" s="2">
        <v>4592.5200000000004</v>
      </c>
      <c r="AL47" s="2">
        <v>1127.96</v>
      </c>
      <c r="AM47" s="5">
        <v>2860.24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9610.41</v>
      </c>
      <c r="AT47" s="12">
        <v>8580.7200000000012</v>
      </c>
      <c r="AU47" s="2">
        <v>171.61</v>
      </c>
      <c r="AV47" s="5">
        <v>0</v>
      </c>
      <c r="BL47" s="1" t="s">
        <v>90</v>
      </c>
    </row>
    <row r="48" spans="1:64" x14ac:dyDescent="0.3">
      <c r="A48" t="s">
        <v>944</v>
      </c>
      <c r="B48" s="1" t="s">
        <v>945</v>
      </c>
      <c r="C48" s="9" t="s">
        <v>946</v>
      </c>
      <c r="D48" s="1" t="s">
        <v>41</v>
      </c>
      <c r="E48" s="1" t="s">
        <v>88</v>
      </c>
      <c r="F48" s="10" t="s">
        <v>664</v>
      </c>
      <c r="G48" s="1">
        <v>0</v>
      </c>
      <c r="H48" s="1">
        <v>0.02</v>
      </c>
      <c r="I48" s="8">
        <v>44985</v>
      </c>
      <c r="J48" s="6">
        <v>422690</v>
      </c>
      <c r="K48" s="6">
        <v>64346</v>
      </c>
      <c r="L48" s="6">
        <v>7548.0300000000007</v>
      </c>
      <c r="M48" s="6">
        <v>1149.03</v>
      </c>
      <c r="N48" s="7">
        <v>4348.54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14611.07</v>
      </c>
      <c r="U48" s="6">
        <v>13045.600000000002</v>
      </c>
      <c r="V48" s="6">
        <v>260.90999999999997</v>
      </c>
      <c r="W48" s="6">
        <v>0</v>
      </c>
      <c r="X48" s="46">
        <v>45784</v>
      </c>
      <c r="Y48" s="1">
        <v>25111444</v>
      </c>
      <c r="AA48" s="1">
        <v>279954</v>
      </c>
      <c r="AC48" s="46">
        <v>45777</v>
      </c>
      <c r="AD48" s="1">
        <v>21</v>
      </c>
      <c r="AI48" s="2">
        <v>422690</v>
      </c>
      <c r="AJ48" s="2">
        <v>64346</v>
      </c>
      <c r="AK48" s="2">
        <v>7548.0300000000007</v>
      </c>
      <c r="AL48" s="2">
        <v>1149.03</v>
      </c>
      <c r="AM48" s="5">
        <v>4348.54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14611.07</v>
      </c>
      <c r="AT48" s="12">
        <v>13045.600000000002</v>
      </c>
      <c r="AU48" s="2">
        <v>260.90999999999997</v>
      </c>
      <c r="AV48" s="5">
        <v>0</v>
      </c>
      <c r="BL48" s="1" t="s">
        <v>546</v>
      </c>
    </row>
    <row r="49" spans="1:64" x14ac:dyDescent="0.3">
      <c r="A49" t="s">
        <v>952</v>
      </c>
      <c r="B49" s="1" t="s">
        <v>953</v>
      </c>
      <c r="C49" s="9" t="s">
        <v>954</v>
      </c>
      <c r="D49" s="1" t="s">
        <v>41</v>
      </c>
      <c r="E49" s="1" t="s">
        <v>135</v>
      </c>
      <c r="F49" s="10" t="s">
        <v>826</v>
      </c>
      <c r="G49" s="1">
        <v>3.5000000000000003E-2</v>
      </c>
      <c r="H49" s="1">
        <v>0.02</v>
      </c>
      <c r="I49" s="8">
        <v>45105</v>
      </c>
      <c r="J49" s="6">
        <v>481130</v>
      </c>
      <c r="K49" s="6">
        <v>136499</v>
      </c>
      <c r="L49" s="6">
        <v>8591.61</v>
      </c>
      <c r="M49" s="6">
        <v>2437.48</v>
      </c>
      <c r="N49" s="7">
        <v>5514.55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18528.88</v>
      </c>
      <c r="U49" s="6">
        <v>16543.64</v>
      </c>
      <c r="V49" s="6">
        <v>330.87</v>
      </c>
      <c r="W49" s="6">
        <v>0</v>
      </c>
      <c r="X49" s="46">
        <v>45784</v>
      </c>
      <c r="Y49" s="1">
        <v>25111445</v>
      </c>
      <c r="AA49" s="1">
        <v>279955</v>
      </c>
      <c r="AC49" s="46">
        <v>45777</v>
      </c>
      <c r="AD49" s="1">
        <v>22</v>
      </c>
      <c r="AI49" s="2">
        <v>481130</v>
      </c>
      <c r="AJ49" s="2">
        <v>136499</v>
      </c>
      <c r="AK49" s="2">
        <v>8591.61</v>
      </c>
      <c r="AL49" s="2">
        <v>2437.48</v>
      </c>
      <c r="AM49" s="5">
        <v>5514.55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18528.88</v>
      </c>
      <c r="AT49" s="12">
        <v>16543.64</v>
      </c>
      <c r="AU49" s="2">
        <v>330.87</v>
      </c>
      <c r="AV49" s="5">
        <v>0</v>
      </c>
      <c r="BL49" s="1" t="s">
        <v>302</v>
      </c>
    </row>
    <row r="50" spans="1:64" x14ac:dyDescent="0.3">
      <c r="A50" t="s">
        <v>966</v>
      </c>
      <c r="B50" s="1" t="s">
        <v>966</v>
      </c>
      <c r="C50" s="9" t="s">
        <v>967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45716</v>
      </c>
      <c r="J50" s="6">
        <v>649959</v>
      </c>
      <c r="K50" s="6">
        <v>27018</v>
      </c>
      <c r="L50" s="6">
        <v>11606.41</v>
      </c>
      <c r="M50" s="6">
        <v>482.46</v>
      </c>
      <c r="N50" s="7">
        <v>6044.43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20309.3</v>
      </c>
      <c r="U50" s="6">
        <v>18133.3</v>
      </c>
      <c r="V50" s="6">
        <v>362.65999999999997</v>
      </c>
      <c r="W50" s="6">
        <v>0</v>
      </c>
      <c r="X50" s="46">
        <v>45784</v>
      </c>
      <c r="Y50" s="1">
        <v>25111446</v>
      </c>
      <c r="AA50" s="1">
        <v>279956</v>
      </c>
      <c r="AC50" s="46">
        <v>45777</v>
      </c>
      <c r="AD50" s="1">
        <v>23</v>
      </c>
      <c r="AI50" s="2">
        <v>649959</v>
      </c>
      <c r="AJ50" s="2">
        <v>27018</v>
      </c>
      <c r="AK50" s="2">
        <v>11606.41</v>
      </c>
      <c r="AL50" s="2">
        <v>482.46</v>
      </c>
      <c r="AM50" s="5">
        <v>6044.43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20309.3</v>
      </c>
      <c r="AT50" s="12">
        <v>18133.3</v>
      </c>
      <c r="AU50" s="2">
        <v>362.65999999999997</v>
      </c>
      <c r="AV50" s="5">
        <v>0</v>
      </c>
      <c r="BL50" s="1" t="s">
        <v>130</v>
      </c>
    </row>
    <row r="51" spans="1:64" x14ac:dyDescent="0.3">
      <c r="A51" t="s">
        <v>1021</v>
      </c>
      <c r="B51" s="1" t="s">
        <v>1021</v>
      </c>
      <c r="C51" s="9" t="s">
        <v>1022</v>
      </c>
      <c r="D51" s="1" t="s">
        <v>41</v>
      </c>
      <c r="E51" s="1" t="s">
        <v>128</v>
      </c>
      <c r="F51" s="10" t="s">
        <v>372</v>
      </c>
      <c r="G51" s="1">
        <v>0</v>
      </c>
      <c r="H51" s="1">
        <v>0.02</v>
      </c>
      <c r="I51" s="8">
        <v>44462</v>
      </c>
      <c r="J51" s="6">
        <v>1865224</v>
      </c>
      <c r="K51" s="6">
        <v>92523.1</v>
      </c>
      <c r="L51" s="6">
        <v>33307.58</v>
      </c>
      <c r="M51" s="6">
        <v>1652.2</v>
      </c>
      <c r="N51" s="7">
        <v>17479.88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58732.42</v>
      </c>
      <c r="U51" s="6">
        <v>52439.660000000011</v>
      </c>
      <c r="V51" s="6">
        <v>1048.79</v>
      </c>
      <c r="W51" s="6">
        <v>0</v>
      </c>
      <c r="X51" s="46">
        <v>45784</v>
      </c>
      <c r="Y51" s="1">
        <v>25111447</v>
      </c>
      <c r="AA51" s="1">
        <v>279957</v>
      </c>
      <c r="AC51" s="46">
        <v>45777</v>
      </c>
      <c r="AD51" s="1">
        <v>24</v>
      </c>
      <c r="AI51" s="2">
        <v>1865224</v>
      </c>
      <c r="AJ51" s="2">
        <v>92523.1</v>
      </c>
      <c r="AK51" s="2">
        <v>33307.58</v>
      </c>
      <c r="AL51" s="2">
        <v>1652.2</v>
      </c>
      <c r="AM51" s="5">
        <v>17479.88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58732.42</v>
      </c>
      <c r="AT51" s="12">
        <v>52439.660000000011</v>
      </c>
      <c r="AU51" s="2">
        <v>1048.79</v>
      </c>
      <c r="AV51" s="5">
        <v>0</v>
      </c>
      <c r="BL51" s="1" t="s">
        <v>130</v>
      </c>
    </row>
    <row r="52" spans="1:64" x14ac:dyDescent="0.3">
      <c r="A52" t="s">
        <v>1067</v>
      </c>
      <c r="B52" s="1" t="s">
        <v>1067</v>
      </c>
      <c r="C52" s="9" t="s">
        <v>1068</v>
      </c>
      <c r="D52" s="1" t="s">
        <v>41</v>
      </c>
      <c r="E52" s="1" t="s">
        <v>128</v>
      </c>
      <c r="F52" s="10" t="s">
        <v>331</v>
      </c>
      <c r="G52" s="1">
        <v>0</v>
      </c>
      <c r="H52" s="1">
        <v>0.02</v>
      </c>
      <c r="I52" s="8">
        <v>44729</v>
      </c>
      <c r="J52" s="6">
        <v>301591.25</v>
      </c>
      <c r="K52" s="6">
        <v>27259</v>
      </c>
      <c r="L52" s="6">
        <v>5385.55</v>
      </c>
      <c r="M52" s="6">
        <v>486.77</v>
      </c>
      <c r="N52" s="7">
        <v>2936.16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9865.5</v>
      </c>
      <c r="U52" s="6">
        <v>8808.48</v>
      </c>
      <c r="V52" s="6">
        <v>176.17</v>
      </c>
      <c r="X52" s="46">
        <v>45784</v>
      </c>
      <c r="Y52" s="1">
        <v>25111448</v>
      </c>
      <c r="AA52" s="1">
        <v>279958</v>
      </c>
      <c r="AC52" s="46">
        <v>45777</v>
      </c>
      <c r="AD52" s="1">
        <v>25</v>
      </c>
      <c r="AI52" s="2">
        <v>301591.25</v>
      </c>
      <c r="AJ52" s="2">
        <v>27259</v>
      </c>
      <c r="AK52" s="2">
        <v>5385.55</v>
      </c>
      <c r="AL52" s="2">
        <v>486.77</v>
      </c>
      <c r="AM52" s="5">
        <v>2936.16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9865.5</v>
      </c>
      <c r="AT52" s="12">
        <v>8808.48</v>
      </c>
      <c r="AU52" s="2">
        <v>176.17</v>
      </c>
      <c r="BL52" s="1" t="s">
        <v>130</v>
      </c>
    </row>
    <row r="53" spans="1:64" x14ac:dyDescent="0.3">
      <c r="A53" t="s">
        <v>1120</v>
      </c>
      <c r="B53" s="1" t="s">
        <v>1120</v>
      </c>
      <c r="C53" s="9" t="s">
        <v>1121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BL53" s="1" t="s">
        <v>130</v>
      </c>
    </row>
    <row r="54" spans="1:64" x14ac:dyDescent="0.3">
      <c r="A54" t="s">
        <v>1126</v>
      </c>
      <c r="B54" s="1" t="s">
        <v>1126</v>
      </c>
      <c r="C54" s="9" t="s">
        <v>1127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45016</v>
      </c>
      <c r="J54" s="6">
        <v>958802.38000000012</v>
      </c>
      <c r="K54" s="6">
        <v>42873.71</v>
      </c>
      <c r="L54" s="6">
        <v>17121.46</v>
      </c>
      <c r="M54" s="6">
        <v>765.6</v>
      </c>
      <c r="N54" s="7">
        <v>8943.5500000000011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30050.28</v>
      </c>
      <c r="U54" s="6">
        <v>26830.61</v>
      </c>
      <c r="V54" s="6">
        <v>536.62</v>
      </c>
      <c r="W54" s="6">
        <v>0</v>
      </c>
      <c r="X54" s="46">
        <v>45784</v>
      </c>
      <c r="Y54" s="1">
        <v>25111449</v>
      </c>
      <c r="AA54" s="1">
        <v>279959</v>
      </c>
      <c r="AC54" s="46">
        <v>45777</v>
      </c>
      <c r="AD54" s="1">
        <v>26</v>
      </c>
      <c r="AI54" s="2">
        <v>958802.38000000012</v>
      </c>
      <c r="AJ54" s="2">
        <v>42873.71</v>
      </c>
      <c r="AK54" s="2">
        <v>17121.46</v>
      </c>
      <c r="AL54" s="2">
        <v>765.6</v>
      </c>
      <c r="AM54" s="5">
        <v>8943.5500000000011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30050.28</v>
      </c>
      <c r="AT54" s="12">
        <v>26830.61</v>
      </c>
      <c r="AU54" s="2">
        <v>536.62</v>
      </c>
      <c r="AV54" s="5">
        <v>0</v>
      </c>
      <c r="BL54" s="1" t="s">
        <v>130</v>
      </c>
    </row>
    <row r="55" spans="1:64" x14ac:dyDescent="0.3">
      <c r="A55" t="s">
        <v>1132</v>
      </c>
      <c r="B55" s="1" t="s">
        <v>1132</v>
      </c>
      <c r="C55" s="9" t="s">
        <v>1133</v>
      </c>
      <c r="D55" s="1" t="s">
        <v>41</v>
      </c>
      <c r="E55" s="1" t="s">
        <v>128</v>
      </c>
      <c r="F55" s="10" t="s">
        <v>372</v>
      </c>
      <c r="G55" s="1">
        <v>0</v>
      </c>
      <c r="H55" s="1">
        <v>0.02</v>
      </c>
      <c r="I55" s="8">
        <v>44918</v>
      </c>
      <c r="J55" s="6">
        <v>1432252.89</v>
      </c>
      <c r="K55" s="6">
        <v>194990.51</v>
      </c>
      <c r="L55" s="6">
        <v>25575.94</v>
      </c>
      <c r="M55" s="6">
        <v>3481.97</v>
      </c>
      <c r="N55" s="7">
        <v>14528.96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48817.29</v>
      </c>
      <c r="U55" s="6">
        <v>43586.87</v>
      </c>
      <c r="V55" s="6">
        <v>871.74</v>
      </c>
      <c r="W55" s="6">
        <v>0</v>
      </c>
      <c r="X55" s="46">
        <v>45784</v>
      </c>
      <c r="Y55" s="1">
        <v>25111450</v>
      </c>
      <c r="AA55" s="1">
        <v>279960</v>
      </c>
      <c r="AC55" s="46">
        <v>45777</v>
      </c>
      <c r="AD55" s="1">
        <v>27</v>
      </c>
      <c r="AI55" s="2">
        <v>1432252.89</v>
      </c>
      <c r="AJ55" s="2">
        <v>194990.51</v>
      </c>
      <c r="AK55" s="2">
        <v>25575.94</v>
      </c>
      <c r="AL55" s="2">
        <v>3481.97</v>
      </c>
      <c r="AM55" s="5">
        <v>14528.96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48817.29</v>
      </c>
      <c r="AT55" s="12">
        <v>43586.87</v>
      </c>
      <c r="AU55" s="2">
        <v>871.74</v>
      </c>
      <c r="AV55" s="5">
        <v>0</v>
      </c>
      <c r="BL55" s="1" t="s">
        <v>130</v>
      </c>
    </row>
    <row r="56" spans="1:64" x14ac:dyDescent="0.3">
      <c r="A56" t="s">
        <v>1173</v>
      </c>
      <c r="B56" s="1" t="s">
        <v>1173</v>
      </c>
      <c r="C56" s="9" t="s">
        <v>1174</v>
      </c>
      <c r="D56" s="1" t="s">
        <v>41</v>
      </c>
      <c r="E56" s="1" t="s">
        <v>128</v>
      </c>
      <c r="F56" s="10" t="s">
        <v>372</v>
      </c>
      <c r="G56" s="1">
        <v>0</v>
      </c>
      <c r="H56" s="1">
        <v>0.02</v>
      </c>
      <c r="I56" s="8">
        <v>45077</v>
      </c>
      <c r="J56" s="6">
        <v>294349.04000000004</v>
      </c>
      <c r="K56" s="6">
        <v>14737.25</v>
      </c>
      <c r="L56" s="6">
        <v>5256.23</v>
      </c>
      <c r="M56" s="6">
        <v>263.16000000000003</v>
      </c>
      <c r="N56" s="7">
        <v>2759.7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9272.58</v>
      </c>
      <c r="U56" s="6">
        <v>8279.09</v>
      </c>
      <c r="V56" s="6">
        <v>165.58</v>
      </c>
      <c r="X56" s="46">
        <v>45784</v>
      </c>
      <c r="Y56" s="1">
        <v>25111451</v>
      </c>
      <c r="AA56" s="1">
        <v>279961</v>
      </c>
      <c r="AC56" s="46">
        <v>45777</v>
      </c>
      <c r="AD56" s="1">
        <v>28</v>
      </c>
      <c r="AI56" s="2">
        <v>294349.04000000004</v>
      </c>
      <c r="AJ56" s="2">
        <v>14737.25</v>
      </c>
      <c r="AK56" s="2">
        <v>5256.23</v>
      </c>
      <c r="AL56" s="2">
        <v>263.16000000000003</v>
      </c>
      <c r="AM56" s="5">
        <v>2759.7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9272.58</v>
      </c>
      <c r="AT56" s="12">
        <v>8279.09</v>
      </c>
      <c r="AU56" s="2">
        <v>165.58</v>
      </c>
      <c r="BL56" s="1" t="s">
        <v>130</v>
      </c>
    </row>
    <row r="57" spans="1:64" x14ac:dyDescent="0.3">
      <c r="A57" t="s">
        <v>1185</v>
      </c>
      <c r="B57" s="1" t="s">
        <v>1186</v>
      </c>
      <c r="C57" s="9" t="s">
        <v>1187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44527</v>
      </c>
      <c r="J57" s="6">
        <v>1512451.75</v>
      </c>
      <c r="K57" s="6">
        <v>34704</v>
      </c>
      <c r="L57" s="6">
        <v>27008.06</v>
      </c>
      <c r="M57" s="6">
        <v>619.71999999999991</v>
      </c>
      <c r="N57" s="7">
        <v>13813.900000000001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46414.68</v>
      </c>
      <c r="U57" s="6">
        <v>41441.68</v>
      </c>
      <c r="V57" s="6">
        <v>828.82999999999993</v>
      </c>
      <c r="W57" s="6">
        <v>0</v>
      </c>
      <c r="X57" s="46">
        <v>45784</v>
      </c>
      <c r="Y57" s="1">
        <v>25111452</v>
      </c>
      <c r="AA57" s="1">
        <v>279962</v>
      </c>
      <c r="AC57" s="46">
        <v>45777</v>
      </c>
      <c r="AD57" s="1">
        <v>29</v>
      </c>
      <c r="AI57" s="2">
        <v>1512451.75</v>
      </c>
      <c r="AJ57" s="2">
        <v>34704</v>
      </c>
      <c r="AK57" s="2">
        <v>27008.06</v>
      </c>
      <c r="AL57" s="2">
        <v>619.71999999999991</v>
      </c>
      <c r="AM57" s="5">
        <v>13813.900000000001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46414.68</v>
      </c>
      <c r="AT57" s="12">
        <v>41441.68</v>
      </c>
      <c r="AU57" s="2">
        <v>828.82999999999993</v>
      </c>
      <c r="AV57" s="5">
        <v>0</v>
      </c>
      <c r="BL57" s="1" t="s">
        <v>130</v>
      </c>
    </row>
    <row r="58" spans="1:64" x14ac:dyDescent="0.3">
      <c r="A58" t="s">
        <v>1193</v>
      </c>
      <c r="B58" s="1" t="s">
        <v>1193</v>
      </c>
      <c r="C58" s="9" t="s">
        <v>1194</v>
      </c>
      <c r="D58" s="1" t="s">
        <v>41</v>
      </c>
      <c r="E58" s="1" t="s">
        <v>128</v>
      </c>
      <c r="F58" s="10" t="s">
        <v>331</v>
      </c>
      <c r="G58" s="1">
        <v>0</v>
      </c>
      <c r="H58" s="1">
        <v>0.02</v>
      </c>
      <c r="I58" s="8">
        <v>45034</v>
      </c>
      <c r="J58" s="6">
        <v>566930</v>
      </c>
      <c r="K58" s="6">
        <v>41130</v>
      </c>
      <c r="L58" s="6">
        <v>10123.75</v>
      </c>
      <c r="M58" s="6">
        <v>734.46</v>
      </c>
      <c r="N58" s="7">
        <v>5429.11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18241.8</v>
      </c>
      <c r="U58" s="6">
        <v>16287.32</v>
      </c>
      <c r="V58" s="6">
        <v>325.75</v>
      </c>
      <c r="W58" s="6">
        <v>0</v>
      </c>
      <c r="X58" s="46">
        <v>45784</v>
      </c>
      <c r="Y58" s="1">
        <v>25111453</v>
      </c>
      <c r="AA58" s="1">
        <v>279963</v>
      </c>
      <c r="AC58" s="46">
        <v>45777</v>
      </c>
      <c r="AD58" s="1">
        <v>30</v>
      </c>
      <c r="AI58" s="2">
        <v>566930</v>
      </c>
      <c r="AJ58" s="2">
        <v>41130</v>
      </c>
      <c r="AK58" s="2">
        <v>10123.75</v>
      </c>
      <c r="AL58" s="2">
        <v>734.46</v>
      </c>
      <c r="AM58" s="5">
        <v>5429.11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18241.8</v>
      </c>
      <c r="AT58" s="12">
        <v>16287.32</v>
      </c>
      <c r="AU58" s="2">
        <v>325.75</v>
      </c>
      <c r="AV58" s="5">
        <v>0</v>
      </c>
      <c r="BL58" s="1" t="s">
        <v>130</v>
      </c>
    </row>
    <row r="59" spans="1:64" x14ac:dyDescent="0.3">
      <c r="A59" t="s">
        <v>1199</v>
      </c>
      <c r="B59" s="1" t="s">
        <v>1199</v>
      </c>
      <c r="C59" s="9" t="s">
        <v>1200</v>
      </c>
      <c r="D59" s="1" t="s">
        <v>41</v>
      </c>
      <c r="E59" s="1" t="s">
        <v>135</v>
      </c>
      <c r="F59" s="10" t="s">
        <v>467</v>
      </c>
      <c r="G59" s="1">
        <v>0</v>
      </c>
      <c r="H59" s="1">
        <v>0.02</v>
      </c>
      <c r="I59" s="8">
        <v>45066</v>
      </c>
      <c r="J59" s="6">
        <v>308019.80999999994</v>
      </c>
      <c r="K59" s="6">
        <v>91821.200000000012</v>
      </c>
      <c r="L59" s="6">
        <v>5500.36</v>
      </c>
      <c r="M59" s="6">
        <v>1639.66</v>
      </c>
      <c r="N59" s="7">
        <v>3570.01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11995.23</v>
      </c>
      <c r="U59" s="6">
        <v>10710.029999999999</v>
      </c>
      <c r="V59" s="6">
        <v>214.2</v>
      </c>
      <c r="X59" s="46">
        <v>45784</v>
      </c>
      <c r="Y59" s="1">
        <v>25111454</v>
      </c>
      <c r="AA59" s="1">
        <v>279964</v>
      </c>
      <c r="AC59" s="46">
        <v>45777</v>
      </c>
      <c r="AD59" s="1">
        <v>31</v>
      </c>
      <c r="AI59" s="2">
        <v>308019.80999999994</v>
      </c>
      <c r="AJ59" s="2">
        <v>91821.200000000012</v>
      </c>
      <c r="AK59" s="2">
        <v>5500.36</v>
      </c>
      <c r="AL59" s="2">
        <v>1639.66</v>
      </c>
      <c r="AM59" s="5">
        <v>3570.01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11995.23</v>
      </c>
      <c r="AT59" s="12">
        <v>10710.029999999999</v>
      </c>
      <c r="AU59" s="2">
        <v>214.2</v>
      </c>
      <c r="BL59" s="1" t="s">
        <v>302</v>
      </c>
    </row>
    <row r="60" spans="1:64" x14ac:dyDescent="0.3">
      <c r="A60" t="s">
        <v>1201</v>
      </c>
      <c r="B60" s="1" t="s">
        <v>1201</v>
      </c>
      <c r="C60" s="9" t="s">
        <v>1202</v>
      </c>
      <c r="D60" s="1" t="s">
        <v>41</v>
      </c>
      <c r="E60" s="1" t="s">
        <v>128</v>
      </c>
      <c r="F60" s="10" t="s">
        <v>372</v>
      </c>
      <c r="G60" s="1">
        <v>0</v>
      </c>
      <c r="H60" s="1">
        <v>0.02</v>
      </c>
      <c r="I60" s="8">
        <v>45056</v>
      </c>
      <c r="J60" s="6">
        <v>558836.37</v>
      </c>
      <c r="K60" s="6">
        <v>29843.800000000003</v>
      </c>
      <c r="L60" s="6">
        <v>9979.2199999999993</v>
      </c>
      <c r="M60" s="6">
        <v>532.92999999999995</v>
      </c>
      <c r="N60" s="7">
        <v>5256.07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17660.41</v>
      </c>
      <c r="U60" s="6">
        <v>15768.22</v>
      </c>
      <c r="V60" s="6">
        <v>315.36</v>
      </c>
      <c r="X60" s="46">
        <v>45784</v>
      </c>
      <c r="Y60" s="1">
        <v>25111455</v>
      </c>
      <c r="AA60" s="1">
        <v>279965</v>
      </c>
      <c r="AC60" s="46">
        <v>45777</v>
      </c>
      <c r="AD60" s="1">
        <v>32</v>
      </c>
      <c r="AI60" s="2">
        <v>558836.37</v>
      </c>
      <c r="AJ60" s="2">
        <v>29843.800000000003</v>
      </c>
      <c r="AK60" s="2">
        <v>9979.2199999999993</v>
      </c>
      <c r="AL60" s="2">
        <v>532.92999999999995</v>
      </c>
      <c r="AM60" s="5">
        <v>5256.07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17660.41</v>
      </c>
      <c r="AT60" s="12">
        <v>15768.22</v>
      </c>
      <c r="AU60" s="2">
        <v>315.36</v>
      </c>
      <c r="BL60" s="1" t="s">
        <v>130</v>
      </c>
    </row>
    <row r="61" spans="1:64" x14ac:dyDescent="0.3">
      <c r="A61" t="s">
        <v>1203</v>
      </c>
      <c r="B61" s="1" t="s">
        <v>1203</v>
      </c>
      <c r="C61" s="9" t="s">
        <v>1204</v>
      </c>
      <c r="D61" s="1" t="s">
        <v>41</v>
      </c>
      <c r="E61" s="1" t="s">
        <v>88</v>
      </c>
      <c r="F61" s="10" t="s">
        <v>671</v>
      </c>
      <c r="G61" s="1">
        <v>0</v>
      </c>
      <c r="H61" s="1">
        <v>0.02</v>
      </c>
      <c r="I61" s="8">
        <v>45161</v>
      </c>
      <c r="J61" s="6">
        <v>239598</v>
      </c>
      <c r="K61" s="6">
        <v>81363</v>
      </c>
      <c r="L61" s="6">
        <v>4278.54</v>
      </c>
      <c r="M61" s="6">
        <v>1452.91</v>
      </c>
      <c r="N61" s="7">
        <v>2865.73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9628.84</v>
      </c>
      <c r="U61" s="6">
        <v>8597.18</v>
      </c>
      <c r="V61" s="6">
        <v>171.94</v>
      </c>
      <c r="W61" s="6">
        <v>0</v>
      </c>
      <c r="X61" s="46">
        <v>45784</v>
      </c>
      <c r="Y61" s="1">
        <v>25111456</v>
      </c>
      <c r="AA61" s="1">
        <v>279966</v>
      </c>
      <c r="AC61" s="46">
        <v>45777</v>
      </c>
      <c r="AD61" s="1">
        <v>33</v>
      </c>
      <c r="AI61" s="2">
        <v>239598</v>
      </c>
      <c r="AJ61" s="2">
        <v>81363</v>
      </c>
      <c r="AK61" s="2">
        <v>4278.54</v>
      </c>
      <c r="AL61" s="2">
        <v>1452.91</v>
      </c>
      <c r="AM61" s="5">
        <v>2865.73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9628.84</v>
      </c>
      <c r="AT61" s="12">
        <v>8597.18</v>
      </c>
      <c r="AU61" s="2">
        <v>171.94</v>
      </c>
      <c r="AV61" s="5">
        <v>0</v>
      </c>
      <c r="BL61" s="1" t="s">
        <v>90</v>
      </c>
    </row>
    <row r="62" spans="1:64" x14ac:dyDescent="0.3">
      <c r="A62" t="s">
        <v>1217</v>
      </c>
      <c r="B62" s="1" t="s">
        <v>1217</v>
      </c>
      <c r="C62" s="9" t="s">
        <v>1218</v>
      </c>
      <c r="D62" s="1" t="s">
        <v>41</v>
      </c>
      <c r="E62" s="1" t="s">
        <v>88</v>
      </c>
      <c r="F62" s="10" t="s">
        <v>671</v>
      </c>
      <c r="G62" s="1">
        <v>0</v>
      </c>
      <c r="H62" s="1">
        <v>0.02</v>
      </c>
      <c r="I62" s="8">
        <v>45135</v>
      </c>
      <c r="J62" s="6">
        <v>166920</v>
      </c>
      <c r="K62" s="6">
        <v>59647</v>
      </c>
      <c r="L62" s="6">
        <v>2980.71</v>
      </c>
      <c r="M62" s="6">
        <v>1065.1199999999999</v>
      </c>
      <c r="N62" s="7">
        <v>2022.92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6797</v>
      </c>
      <c r="U62" s="6">
        <v>6068.75</v>
      </c>
      <c r="V62" s="6">
        <v>121.38</v>
      </c>
      <c r="X62" s="46">
        <v>45784</v>
      </c>
      <c r="Y62" s="1">
        <v>25111457</v>
      </c>
      <c r="AA62" s="1">
        <v>279967</v>
      </c>
      <c r="AC62" s="46">
        <v>45777</v>
      </c>
      <c r="AD62" s="1">
        <v>34</v>
      </c>
      <c r="AI62" s="2">
        <v>166920</v>
      </c>
      <c r="AJ62" s="2">
        <v>59647</v>
      </c>
      <c r="AK62" s="2">
        <v>2980.71</v>
      </c>
      <c r="AL62" s="2">
        <v>1065.1199999999999</v>
      </c>
      <c r="AM62" s="5">
        <v>2022.92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6797</v>
      </c>
      <c r="AT62" s="12">
        <v>6068.75</v>
      </c>
      <c r="AU62" s="2">
        <v>121.38</v>
      </c>
      <c r="BL62" s="1" t="s">
        <v>90</v>
      </c>
    </row>
    <row r="63" spans="1:64" x14ac:dyDescent="0.3">
      <c r="A63" t="s">
        <v>1219</v>
      </c>
      <c r="B63" s="1" t="s">
        <v>1219</v>
      </c>
      <c r="C63" s="9" t="s">
        <v>1220</v>
      </c>
      <c r="D63" s="1" t="s">
        <v>41</v>
      </c>
      <c r="E63" s="1" t="s">
        <v>88</v>
      </c>
      <c r="F63" s="10" t="s">
        <v>671</v>
      </c>
      <c r="G63" s="1">
        <v>0</v>
      </c>
      <c r="H63" s="1">
        <v>0.02</v>
      </c>
      <c r="I63" s="8">
        <v>45093</v>
      </c>
      <c r="J63" s="6">
        <v>152091</v>
      </c>
      <c r="K63" s="6">
        <v>29697</v>
      </c>
      <c r="L63" s="6">
        <v>2715.91</v>
      </c>
      <c r="M63" s="6">
        <v>530.29999999999995</v>
      </c>
      <c r="N63" s="7">
        <v>1623.11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5453.64</v>
      </c>
      <c r="U63" s="6">
        <v>4869.32</v>
      </c>
      <c r="V63" s="6">
        <v>97.39</v>
      </c>
      <c r="X63" s="46">
        <v>45784</v>
      </c>
      <c r="Y63" s="1">
        <v>25111458</v>
      </c>
      <c r="AA63" s="1">
        <v>279968</v>
      </c>
      <c r="AC63" s="46">
        <v>45777</v>
      </c>
      <c r="AD63" s="1">
        <v>35</v>
      </c>
      <c r="AI63" s="2">
        <v>152091</v>
      </c>
      <c r="AJ63" s="2">
        <v>29697</v>
      </c>
      <c r="AK63" s="2">
        <v>2715.91</v>
      </c>
      <c r="AL63" s="2">
        <v>530.29999999999995</v>
      </c>
      <c r="AM63" s="5">
        <v>1623.11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5453.64</v>
      </c>
      <c r="AT63" s="12">
        <v>4869.32</v>
      </c>
      <c r="AU63" s="2">
        <v>97.39</v>
      </c>
      <c r="BL63" s="1" t="s">
        <v>90</v>
      </c>
    </row>
    <row r="64" spans="1:64" x14ac:dyDescent="0.3">
      <c r="A64" t="s">
        <v>1268</v>
      </c>
      <c r="B64" s="1" t="s">
        <v>1268</v>
      </c>
      <c r="C64" s="9" t="s">
        <v>1269</v>
      </c>
      <c r="D64" s="1" t="s">
        <v>41</v>
      </c>
      <c r="E64" s="1" t="s">
        <v>135</v>
      </c>
      <c r="F64" s="10" t="s">
        <v>752</v>
      </c>
      <c r="G64" s="1">
        <v>0</v>
      </c>
      <c r="H64" s="1">
        <v>0.02</v>
      </c>
      <c r="I64" s="8">
        <v>45118</v>
      </c>
      <c r="J64" s="6">
        <v>469503</v>
      </c>
      <c r="K64" s="6">
        <v>70245</v>
      </c>
      <c r="L64" s="6">
        <v>8383.98</v>
      </c>
      <c r="M64" s="6">
        <v>1254.3699999999999</v>
      </c>
      <c r="N64" s="7">
        <v>4819.18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16192.43</v>
      </c>
      <c r="U64" s="6">
        <v>14457.529999999999</v>
      </c>
      <c r="V64" s="6">
        <v>289.14999999999998</v>
      </c>
      <c r="W64" s="6">
        <v>0</v>
      </c>
      <c r="X64" s="46">
        <v>45784</v>
      </c>
      <c r="Y64" s="1">
        <v>25111459</v>
      </c>
      <c r="AA64" s="1">
        <v>279969</v>
      </c>
      <c r="AC64" s="46">
        <v>45777</v>
      </c>
      <c r="AD64" s="1">
        <v>36</v>
      </c>
      <c r="AI64" s="2">
        <v>469503</v>
      </c>
      <c r="AJ64" s="2">
        <v>70245</v>
      </c>
      <c r="AK64" s="2">
        <v>8383.98</v>
      </c>
      <c r="AL64" s="2">
        <v>1254.3699999999999</v>
      </c>
      <c r="AM64" s="5">
        <v>4819.18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16192.43</v>
      </c>
      <c r="AT64" s="12">
        <v>14457.529999999999</v>
      </c>
      <c r="AU64" s="2">
        <v>289.14999999999998</v>
      </c>
      <c r="AV64" s="5">
        <v>0</v>
      </c>
      <c r="BL64" s="1" t="s">
        <v>302</v>
      </c>
    </row>
    <row r="65" spans="1:64" x14ac:dyDescent="0.3">
      <c r="A65" t="s">
        <v>1282</v>
      </c>
      <c r="B65" s="1" t="s">
        <v>1282</v>
      </c>
      <c r="C65" s="9" t="s">
        <v>1283</v>
      </c>
      <c r="D65" s="1" t="s">
        <v>41</v>
      </c>
      <c r="E65" s="1" t="s">
        <v>88</v>
      </c>
      <c r="F65" s="10" t="s">
        <v>671</v>
      </c>
      <c r="G65" s="1">
        <v>0</v>
      </c>
      <c r="H65" s="1">
        <v>0.02</v>
      </c>
      <c r="I65" s="8">
        <v>45230</v>
      </c>
      <c r="J65" s="6">
        <v>302539</v>
      </c>
      <c r="K65" s="6">
        <v>70793</v>
      </c>
      <c r="L65" s="6">
        <v>5402.48</v>
      </c>
      <c r="M65" s="6">
        <v>1264.1600000000001</v>
      </c>
      <c r="N65" s="7">
        <v>3333.32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11199.96</v>
      </c>
      <c r="U65" s="6">
        <v>9999.9599999999991</v>
      </c>
      <c r="V65" s="6">
        <v>200</v>
      </c>
      <c r="X65" s="46">
        <v>45784</v>
      </c>
      <c r="Y65" s="1">
        <v>25111460</v>
      </c>
      <c r="AA65" s="1">
        <v>279970</v>
      </c>
      <c r="AC65" s="46">
        <v>45777</v>
      </c>
      <c r="AD65" s="1">
        <v>37</v>
      </c>
      <c r="AI65" s="2">
        <v>302539</v>
      </c>
      <c r="AJ65" s="2">
        <v>70793</v>
      </c>
      <c r="AK65" s="2">
        <v>5402.48</v>
      </c>
      <c r="AL65" s="2">
        <v>1264.1600000000001</v>
      </c>
      <c r="AM65" s="5">
        <v>3333.32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11199.96</v>
      </c>
      <c r="AT65" s="12">
        <v>9999.9599999999991</v>
      </c>
      <c r="AU65" s="2">
        <v>200</v>
      </c>
      <c r="BL65" s="1" t="s">
        <v>90</v>
      </c>
    </row>
    <row r="66" spans="1:64" x14ac:dyDescent="0.3">
      <c r="A66" t="s">
        <v>1308</v>
      </c>
      <c r="B66" s="1" t="s">
        <v>1308</v>
      </c>
      <c r="C66" s="9" t="s">
        <v>1309</v>
      </c>
      <c r="D66" s="1" t="s">
        <v>41</v>
      </c>
      <c r="E66" s="1" t="s">
        <v>128</v>
      </c>
      <c r="F66" s="10" t="s">
        <v>331</v>
      </c>
      <c r="G66" s="1">
        <v>0</v>
      </c>
      <c r="H66" s="1">
        <v>0.02</v>
      </c>
      <c r="I66" s="8">
        <v>45289</v>
      </c>
      <c r="J66" s="6">
        <v>782509.6</v>
      </c>
      <c r="K66" s="6">
        <v>19032</v>
      </c>
      <c r="L66" s="6">
        <v>13973.380000000001</v>
      </c>
      <c r="M66" s="6">
        <v>339.86</v>
      </c>
      <c r="N66" s="7">
        <v>7156.62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24046.240000000002</v>
      </c>
      <c r="U66" s="6">
        <v>21469.86</v>
      </c>
      <c r="V66" s="6">
        <v>429.39</v>
      </c>
      <c r="W66" s="6">
        <v>0</v>
      </c>
      <c r="X66" s="46">
        <v>45784</v>
      </c>
      <c r="Y66" s="1">
        <v>25111461</v>
      </c>
      <c r="AA66" s="1">
        <v>279971</v>
      </c>
      <c r="AC66" s="46">
        <v>45777</v>
      </c>
      <c r="AD66" s="1">
        <v>38</v>
      </c>
      <c r="AI66" s="2">
        <v>782509.6</v>
      </c>
      <c r="AJ66" s="2">
        <v>19032</v>
      </c>
      <c r="AK66" s="2">
        <v>13973.380000000001</v>
      </c>
      <c r="AL66" s="2">
        <v>339.86</v>
      </c>
      <c r="AM66" s="5">
        <v>7156.62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24046.240000000002</v>
      </c>
      <c r="AT66" s="12">
        <v>21469.86</v>
      </c>
      <c r="AU66" s="2">
        <v>429.39</v>
      </c>
      <c r="AV66" s="5">
        <v>0</v>
      </c>
      <c r="BL66" s="1" t="s">
        <v>130</v>
      </c>
    </row>
    <row r="67" spans="1:64" x14ac:dyDescent="0.3">
      <c r="A67" t="s">
        <v>1316</v>
      </c>
      <c r="B67" s="1" t="s">
        <v>1316</v>
      </c>
      <c r="C67" s="9" t="s">
        <v>1317</v>
      </c>
      <c r="D67" s="1" t="s">
        <v>41</v>
      </c>
      <c r="E67" s="1" t="s">
        <v>128</v>
      </c>
      <c r="F67" s="10" t="s">
        <v>331</v>
      </c>
      <c r="G67" s="1">
        <v>0</v>
      </c>
      <c r="H67" s="1">
        <v>0.02</v>
      </c>
      <c r="I67" s="8">
        <v>45219</v>
      </c>
      <c r="J67" s="6">
        <v>235257.25</v>
      </c>
      <c r="K67" s="6">
        <v>23396</v>
      </c>
      <c r="L67" s="6">
        <v>4201.03</v>
      </c>
      <c r="M67" s="6">
        <v>417.79</v>
      </c>
      <c r="N67" s="7">
        <v>2309.4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7759.61</v>
      </c>
      <c r="U67" s="6">
        <v>6928.2199999999993</v>
      </c>
      <c r="V67" s="6">
        <v>138.56</v>
      </c>
      <c r="X67" s="46">
        <v>45784</v>
      </c>
      <c r="Y67" s="1">
        <v>25111462</v>
      </c>
      <c r="AA67" s="1">
        <v>279972</v>
      </c>
      <c r="AC67" s="46">
        <v>45777</v>
      </c>
      <c r="AD67" s="1">
        <v>39</v>
      </c>
      <c r="AI67" s="2">
        <v>235257.25</v>
      </c>
      <c r="AJ67" s="2">
        <v>23396</v>
      </c>
      <c r="AK67" s="2">
        <v>4201.03</v>
      </c>
      <c r="AL67" s="2">
        <v>417.79</v>
      </c>
      <c r="AM67" s="5">
        <v>2309.4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7759.61</v>
      </c>
      <c r="AT67" s="12">
        <v>6928.2199999999993</v>
      </c>
      <c r="AU67" s="2">
        <v>138.56</v>
      </c>
      <c r="BL67" s="1" t="s">
        <v>130</v>
      </c>
    </row>
    <row r="68" spans="1:64" x14ac:dyDescent="0.3">
      <c r="A68" t="s">
        <v>1326</v>
      </c>
      <c r="B68" s="1" t="s">
        <v>1326</v>
      </c>
      <c r="C68" s="9" t="s">
        <v>1327</v>
      </c>
      <c r="D68" s="1" t="s">
        <v>41</v>
      </c>
      <c r="E68" s="1" t="s">
        <v>135</v>
      </c>
      <c r="F68" s="10" t="s">
        <v>467</v>
      </c>
      <c r="G68" s="1">
        <v>0</v>
      </c>
      <c r="H68" s="1">
        <v>0.02</v>
      </c>
      <c r="I68" s="8">
        <v>45254</v>
      </c>
      <c r="J68" s="6">
        <v>847783</v>
      </c>
      <c r="K68" s="6">
        <v>118937</v>
      </c>
      <c r="L68" s="6">
        <v>15138.98</v>
      </c>
      <c r="M68" s="6">
        <v>2123.87</v>
      </c>
      <c r="N68" s="7">
        <v>8631.43</v>
      </c>
      <c r="O68" s="6">
        <v>191711.40000000002</v>
      </c>
      <c r="P68" s="6">
        <v>0</v>
      </c>
      <c r="Q68" s="6">
        <v>798.79</v>
      </c>
      <c r="R68" s="6">
        <v>0</v>
      </c>
      <c r="S68" s="7">
        <v>0</v>
      </c>
      <c r="T68" s="11">
        <v>29896.240000000002</v>
      </c>
      <c r="U68" s="6">
        <v>26693.07</v>
      </c>
      <c r="V68" s="6">
        <v>533.86</v>
      </c>
      <c r="W68" s="6">
        <v>0</v>
      </c>
      <c r="X68" s="46">
        <v>45784</v>
      </c>
      <c r="Y68" s="1">
        <v>25111463</v>
      </c>
      <c r="AA68" s="1">
        <v>279973</v>
      </c>
      <c r="AC68" s="46">
        <v>45777</v>
      </c>
      <c r="AD68" s="1">
        <v>40</v>
      </c>
      <c r="AI68" s="2">
        <v>847783</v>
      </c>
      <c r="AJ68" s="2">
        <v>118937</v>
      </c>
      <c r="AK68" s="2">
        <v>15138.98</v>
      </c>
      <c r="AL68" s="2">
        <v>2123.87</v>
      </c>
      <c r="AM68" s="5">
        <v>8631.43</v>
      </c>
      <c r="AN68" s="12">
        <v>191711.40000000002</v>
      </c>
      <c r="AO68" s="2">
        <v>0</v>
      </c>
      <c r="AP68" s="2">
        <v>798.79</v>
      </c>
      <c r="AQ68" s="2">
        <v>0</v>
      </c>
      <c r="AR68" s="5">
        <v>0</v>
      </c>
      <c r="AS68" s="2">
        <v>29896.240000000002</v>
      </c>
      <c r="AT68" s="12">
        <v>26693.07</v>
      </c>
      <c r="AU68" s="2">
        <v>533.86</v>
      </c>
      <c r="AV68" s="5">
        <v>0</v>
      </c>
      <c r="BL68" s="1" t="s">
        <v>302</v>
      </c>
    </row>
    <row r="69" spans="1:64" x14ac:dyDescent="0.3">
      <c r="A69" t="s">
        <v>1338</v>
      </c>
      <c r="B69" s="1" t="s">
        <v>1339</v>
      </c>
      <c r="C69" s="9" t="s">
        <v>1340</v>
      </c>
      <c r="D69" s="1" t="s">
        <v>41</v>
      </c>
      <c r="E69" s="1" t="s">
        <v>128</v>
      </c>
      <c r="F69" s="10" t="s">
        <v>331</v>
      </c>
      <c r="G69" s="1">
        <v>0</v>
      </c>
      <c r="H69" s="1">
        <v>0.02</v>
      </c>
      <c r="I69" s="8">
        <v>45140</v>
      </c>
      <c r="J69" s="6">
        <v>318727.80000000005</v>
      </c>
      <c r="K69" s="6">
        <v>25088</v>
      </c>
      <c r="L69" s="6">
        <v>5691.57</v>
      </c>
      <c r="M69" s="6">
        <v>448</v>
      </c>
      <c r="N69" s="7">
        <v>3069.7799999999997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10314.469999999999</v>
      </c>
      <c r="U69" s="6">
        <v>9209.35</v>
      </c>
      <c r="V69" s="6">
        <v>184.19</v>
      </c>
      <c r="W69" s="6">
        <v>0</v>
      </c>
      <c r="X69" s="46">
        <v>45784</v>
      </c>
      <c r="Y69" s="1">
        <v>25111464</v>
      </c>
      <c r="AA69" s="1">
        <v>279974</v>
      </c>
      <c r="AC69" s="46">
        <v>45777</v>
      </c>
      <c r="AD69" s="1">
        <v>41</v>
      </c>
      <c r="AI69" s="2">
        <v>318727.80000000005</v>
      </c>
      <c r="AJ69" s="2">
        <v>25088</v>
      </c>
      <c r="AK69" s="2">
        <v>5691.57</v>
      </c>
      <c r="AL69" s="2">
        <v>448</v>
      </c>
      <c r="AM69" s="5">
        <v>3069.7799999999997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10314.469999999999</v>
      </c>
      <c r="AT69" s="12">
        <v>9209.35</v>
      </c>
      <c r="AU69" s="2">
        <v>184.19</v>
      </c>
      <c r="AV69" s="5">
        <v>0</v>
      </c>
      <c r="BL69" s="1" t="s">
        <v>130</v>
      </c>
    </row>
    <row r="70" spans="1:64" x14ac:dyDescent="0.3">
      <c r="A70" t="s">
        <v>1342</v>
      </c>
      <c r="B70" s="1" t="s">
        <v>1342</v>
      </c>
      <c r="C70" s="9" t="s">
        <v>1343</v>
      </c>
      <c r="D70" s="1" t="s">
        <v>41</v>
      </c>
      <c r="E70" s="1" t="s">
        <v>88</v>
      </c>
      <c r="F70" s="10" t="s">
        <v>671</v>
      </c>
      <c r="G70" s="1">
        <v>0</v>
      </c>
      <c r="H70" s="1">
        <v>0.02</v>
      </c>
      <c r="I70" s="8">
        <v>45315</v>
      </c>
      <c r="J70" s="6">
        <v>87597</v>
      </c>
      <c r="K70" s="6">
        <v>21294</v>
      </c>
      <c r="L70" s="6">
        <v>1564.23</v>
      </c>
      <c r="M70" s="6">
        <v>380.25</v>
      </c>
      <c r="N70" s="7">
        <v>972.24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3266.73</v>
      </c>
      <c r="U70" s="6">
        <v>2916.7200000000003</v>
      </c>
      <c r="V70" s="6">
        <v>58.33</v>
      </c>
      <c r="X70" s="46">
        <v>45784</v>
      </c>
      <c r="Y70" s="1">
        <v>25111465</v>
      </c>
      <c r="AA70" s="1">
        <v>279975</v>
      </c>
      <c r="AC70" s="46">
        <v>45777</v>
      </c>
      <c r="AD70" s="1">
        <v>42</v>
      </c>
      <c r="AI70" s="2">
        <v>87597</v>
      </c>
      <c r="AJ70" s="2">
        <v>21294</v>
      </c>
      <c r="AK70" s="2">
        <v>1564.23</v>
      </c>
      <c r="AL70" s="2">
        <v>380.25</v>
      </c>
      <c r="AM70" s="5">
        <v>972.24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3266.73</v>
      </c>
      <c r="AT70" s="12">
        <v>2916.7200000000003</v>
      </c>
      <c r="AU70" s="2">
        <v>58.33</v>
      </c>
      <c r="BL70" s="1" t="s">
        <v>90</v>
      </c>
    </row>
    <row r="71" spans="1:64" x14ac:dyDescent="0.3">
      <c r="A71" t="s">
        <v>1375</v>
      </c>
      <c r="B71" s="1" t="s">
        <v>1376</v>
      </c>
      <c r="C71" s="9" t="s">
        <v>1377</v>
      </c>
      <c r="D71" s="1" t="s">
        <v>41</v>
      </c>
      <c r="E71" s="1" t="s">
        <v>128</v>
      </c>
      <c r="F71" s="10" t="s">
        <v>372</v>
      </c>
      <c r="G71" s="1">
        <v>0</v>
      </c>
      <c r="H71" s="1">
        <v>0.02</v>
      </c>
      <c r="I71" s="8">
        <v>44720</v>
      </c>
      <c r="J71" s="6">
        <v>130438.5</v>
      </c>
      <c r="K71" s="6">
        <v>16874</v>
      </c>
      <c r="L71" s="6">
        <v>2329.2600000000002</v>
      </c>
      <c r="M71" s="6">
        <v>301.32</v>
      </c>
      <c r="N71" s="7">
        <v>1315.28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4419.3599999999997</v>
      </c>
      <c r="U71" s="6">
        <v>3945.86</v>
      </c>
      <c r="V71" s="6">
        <v>78.91</v>
      </c>
      <c r="W71" s="6">
        <v>0</v>
      </c>
      <c r="X71" s="46">
        <v>45784</v>
      </c>
      <c r="Y71" s="1">
        <v>25111466</v>
      </c>
      <c r="AA71" s="1">
        <v>279976</v>
      </c>
      <c r="AC71" s="46">
        <v>45777</v>
      </c>
      <c r="AD71" s="1">
        <v>43</v>
      </c>
      <c r="AI71" s="2">
        <v>130438.5</v>
      </c>
      <c r="AJ71" s="2">
        <v>16874</v>
      </c>
      <c r="AK71" s="2">
        <v>2329.2600000000002</v>
      </c>
      <c r="AL71" s="2">
        <v>301.32</v>
      </c>
      <c r="AM71" s="5">
        <v>1315.28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4419.3599999999997</v>
      </c>
      <c r="AT71" s="12">
        <v>3945.86</v>
      </c>
      <c r="AU71" s="2">
        <v>78.91</v>
      </c>
      <c r="AV71" s="5">
        <v>0</v>
      </c>
      <c r="BL71" s="1" t="s">
        <v>130</v>
      </c>
    </row>
    <row r="72" spans="1:64" x14ac:dyDescent="0.3">
      <c r="A72" t="s">
        <v>1403</v>
      </c>
      <c r="B72" s="1" t="s">
        <v>1403</v>
      </c>
      <c r="C72" s="9" t="s">
        <v>1404</v>
      </c>
      <c r="D72" s="1" t="s">
        <v>41</v>
      </c>
      <c r="E72" s="1" t="s">
        <v>128</v>
      </c>
      <c r="F72" s="10" t="s">
        <v>385</v>
      </c>
      <c r="G72" s="1">
        <v>0</v>
      </c>
      <c r="H72" s="1">
        <v>0.02</v>
      </c>
      <c r="I72" s="8">
        <v>45349</v>
      </c>
      <c r="J72" s="6">
        <v>453984</v>
      </c>
      <c r="K72" s="6">
        <v>43826</v>
      </c>
      <c r="L72" s="6">
        <v>8106.86</v>
      </c>
      <c r="M72" s="6">
        <v>782.61</v>
      </c>
      <c r="N72" s="7">
        <v>4444.7299999999996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14934.3</v>
      </c>
      <c r="U72" s="6">
        <v>13334.199999999999</v>
      </c>
      <c r="V72" s="6">
        <v>266.68</v>
      </c>
      <c r="X72" s="46">
        <v>45784</v>
      </c>
      <c r="Y72" s="1">
        <v>25111467</v>
      </c>
      <c r="AA72" s="1">
        <v>279977</v>
      </c>
      <c r="AC72" s="46">
        <v>45777</v>
      </c>
      <c r="AD72" s="1">
        <v>44</v>
      </c>
      <c r="AI72" s="2">
        <v>453984</v>
      </c>
      <c r="AJ72" s="2">
        <v>43826</v>
      </c>
      <c r="AK72" s="2">
        <v>8106.86</v>
      </c>
      <c r="AL72" s="2">
        <v>782.61</v>
      </c>
      <c r="AM72" s="5">
        <v>4444.7299999999996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14934.3</v>
      </c>
      <c r="AT72" s="12">
        <v>13334.199999999999</v>
      </c>
      <c r="AU72" s="2">
        <v>266.68</v>
      </c>
      <c r="BL72" s="1" t="s">
        <v>326</v>
      </c>
    </row>
    <row r="73" spans="1:64" x14ac:dyDescent="0.3">
      <c r="A73" t="s">
        <v>265</v>
      </c>
      <c r="B73" s="1" t="s">
        <v>265</v>
      </c>
      <c r="C73" s="9" t="s">
        <v>266</v>
      </c>
      <c r="D73" s="1" t="s">
        <v>42</v>
      </c>
      <c r="E73" s="1" t="s">
        <v>88</v>
      </c>
      <c r="F73" s="10" t="s">
        <v>267</v>
      </c>
      <c r="G73" s="1">
        <v>2.5000000000000001E-2</v>
      </c>
      <c r="H73" s="1">
        <v>0.02</v>
      </c>
      <c r="I73" s="8">
        <v>45527</v>
      </c>
      <c r="J73" s="6">
        <v>1507370</v>
      </c>
      <c r="K73" s="6">
        <v>308189</v>
      </c>
      <c r="L73" s="6">
        <v>26917.33</v>
      </c>
      <c r="M73" s="6">
        <v>5503.37</v>
      </c>
      <c r="N73" s="7">
        <v>16210.34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54466.76</v>
      </c>
      <c r="U73" s="6">
        <v>48631.040000000001</v>
      </c>
      <c r="V73" s="6">
        <v>972.62</v>
      </c>
      <c r="W73" s="6">
        <v>0</v>
      </c>
      <c r="X73" s="46">
        <v>45784</v>
      </c>
      <c r="Y73" s="1">
        <v>25111468</v>
      </c>
      <c r="AA73" s="1">
        <v>279978</v>
      </c>
      <c r="AC73" s="46">
        <v>45777</v>
      </c>
      <c r="AD73" s="1">
        <v>1</v>
      </c>
      <c r="AI73" s="2">
        <v>1507370</v>
      </c>
      <c r="AJ73" s="2">
        <v>308189</v>
      </c>
      <c r="AK73" s="2">
        <v>26917.33</v>
      </c>
      <c r="AL73" s="2">
        <v>5503.37</v>
      </c>
      <c r="AM73" s="5">
        <v>16210.34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54466.76</v>
      </c>
      <c r="AT73" s="12">
        <v>48631.040000000001</v>
      </c>
      <c r="AU73" s="2">
        <v>972.62</v>
      </c>
      <c r="AV73" s="5">
        <v>0</v>
      </c>
      <c r="BL73" s="1" t="s">
        <v>90</v>
      </c>
    </row>
    <row r="74" spans="1:64" x14ac:dyDescent="0.3">
      <c r="A74" t="s">
        <v>470</v>
      </c>
      <c r="B74" s="1" t="s">
        <v>470</v>
      </c>
      <c r="C74" s="9" t="s">
        <v>471</v>
      </c>
      <c r="D74" s="1" t="s">
        <v>42</v>
      </c>
      <c r="E74" s="1" t="s">
        <v>88</v>
      </c>
      <c r="F74" s="10" t="s">
        <v>472</v>
      </c>
      <c r="G74" s="1">
        <v>2.5000000000000001E-2</v>
      </c>
      <c r="H74" s="1">
        <v>0.02</v>
      </c>
      <c r="I74" s="8">
        <v>44418</v>
      </c>
      <c r="J74" s="6">
        <v>606472.60000000009</v>
      </c>
      <c r="K74" s="6">
        <v>158573.20000000001</v>
      </c>
      <c r="L74" s="6">
        <v>10829.86</v>
      </c>
      <c r="M74" s="6">
        <v>2831.66</v>
      </c>
      <c r="N74" s="7">
        <v>6830.77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22951.360000000001</v>
      </c>
      <c r="U74" s="6">
        <v>20492.29</v>
      </c>
      <c r="V74" s="6">
        <v>409.85</v>
      </c>
      <c r="W74" s="6">
        <v>0</v>
      </c>
      <c r="X74" s="46">
        <v>45784</v>
      </c>
      <c r="Y74" s="1">
        <v>25111469</v>
      </c>
      <c r="AA74" s="1">
        <v>279979</v>
      </c>
      <c r="AC74" s="46">
        <v>45777</v>
      </c>
      <c r="AD74" s="1">
        <v>2</v>
      </c>
      <c r="AI74" s="2">
        <v>606472.60000000009</v>
      </c>
      <c r="AJ74" s="2">
        <v>158573.20000000001</v>
      </c>
      <c r="AK74" s="2">
        <v>10829.86</v>
      </c>
      <c r="AL74" s="2">
        <v>2831.66</v>
      </c>
      <c r="AM74" s="5">
        <v>6830.77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22951.360000000001</v>
      </c>
      <c r="AT74" s="12">
        <v>20492.29</v>
      </c>
      <c r="AU74" s="2">
        <v>409.85</v>
      </c>
      <c r="AV74" s="5">
        <v>0</v>
      </c>
      <c r="BL74" s="1" t="s">
        <v>90</v>
      </c>
    </row>
    <row r="75" spans="1:64" x14ac:dyDescent="0.3">
      <c r="A75" t="s">
        <v>502</v>
      </c>
      <c r="B75" s="1" t="s">
        <v>502</v>
      </c>
      <c r="C75" s="9" t="s">
        <v>503</v>
      </c>
      <c r="D75" s="1" t="s">
        <v>42</v>
      </c>
      <c r="E75" s="1" t="s">
        <v>88</v>
      </c>
      <c r="F75" s="10" t="s">
        <v>472</v>
      </c>
      <c r="G75" s="1">
        <v>3.5000000000000003E-2</v>
      </c>
      <c r="H75" s="1">
        <v>0.02</v>
      </c>
      <c r="I75" s="8">
        <v>45118</v>
      </c>
      <c r="J75" s="6">
        <v>509622.17</v>
      </c>
      <c r="K75" s="6">
        <v>247877.56</v>
      </c>
      <c r="L75" s="6">
        <v>9100.39</v>
      </c>
      <c r="M75" s="6">
        <v>4426.38</v>
      </c>
      <c r="N75" s="7">
        <v>6763.39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22724.98</v>
      </c>
      <c r="U75" s="6">
        <v>20290.160000000003</v>
      </c>
      <c r="V75" s="6">
        <v>405.80999999999995</v>
      </c>
      <c r="W75" s="6">
        <v>0</v>
      </c>
      <c r="X75" s="46">
        <v>45784</v>
      </c>
      <c r="Y75" s="1">
        <v>25111470</v>
      </c>
      <c r="AA75" s="1">
        <v>279980</v>
      </c>
      <c r="AC75" s="46">
        <v>45777</v>
      </c>
      <c r="AD75" s="1">
        <v>3</v>
      </c>
      <c r="AI75" s="2">
        <v>509622.17</v>
      </c>
      <c r="AJ75" s="2">
        <v>247877.56</v>
      </c>
      <c r="AK75" s="2">
        <v>9100.39</v>
      </c>
      <c r="AL75" s="2">
        <v>4426.38</v>
      </c>
      <c r="AM75" s="5">
        <v>6763.39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22724.98</v>
      </c>
      <c r="AT75" s="12">
        <v>20290.160000000003</v>
      </c>
      <c r="AU75" s="2">
        <v>405.80999999999995</v>
      </c>
      <c r="AV75" s="5">
        <v>0</v>
      </c>
      <c r="BL75" s="1" t="s">
        <v>90</v>
      </c>
    </row>
    <row r="76" spans="1:64" x14ac:dyDescent="0.3">
      <c r="A76" t="s">
        <v>506</v>
      </c>
      <c r="B76" s="1" t="s">
        <v>506</v>
      </c>
      <c r="C76" s="9" t="s">
        <v>507</v>
      </c>
      <c r="D76" s="1" t="s">
        <v>42</v>
      </c>
      <c r="E76" s="1" t="s">
        <v>88</v>
      </c>
      <c r="F76" s="10" t="s">
        <v>472</v>
      </c>
      <c r="G76" s="1">
        <v>3.5000000000000003E-2</v>
      </c>
      <c r="H76" s="1">
        <v>0.02</v>
      </c>
      <c r="I76" s="8">
        <v>45160</v>
      </c>
      <c r="J76" s="6">
        <v>910305.85</v>
      </c>
      <c r="K76" s="6">
        <v>209013.93</v>
      </c>
      <c r="L76" s="6">
        <v>16255.46</v>
      </c>
      <c r="M76" s="6">
        <v>3732.3900000000003</v>
      </c>
      <c r="N76" s="7">
        <v>9993.93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33579.589999999997</v>
      </c>
      <c r="U76" s="6">
        <v>29981.780000000002</v>
      </c>
      <c r="V76" s="6">
        <v>599.64</v>
      </c>
      <c r="W76" s="6">
        <v>0</v>
      </c>
      <c r="X76" s="46">
        <v>45784</v>
      </c>
      <c r="Y76" s="1">
        <v>25111471</v>
      </c>
      <c r="AA76" s="1">
        <v>279981</v>
      </c>
      <c r="AC76" s="46">
        <v>45777</v>
      </c>
      <c r="AD76" s="1">
        <v>4</v>
      </c>
      <c r="AI76" s="2">
        <v>910305.85</v>
      </c>
      <c r="AJ76" s="2">
        <v>209013.93</v>
      </c>
      <c r="AK76" s="2">
        <v>16255.46</v>
      </c>
      <c r="AL76" s="2">
        <v>3732.3900000000003</v>
      </c>
      <c r="AM76" s="5">
        <v>9993.93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33579.589999999997</v>
      </c>
      <c r="AT76" s="12">
        <v>29981.780000000002</v>
      </c>
      <c r="AU76" s="2">
        <v>599.64</v>
      </c>
      <c r="AV76" s="5">
        <v>0</v>
      </c>
      <c r="BL76" s="1" t="s">
        <v>90</v>
      </c>
    </row>
    <row r="77" spans="1:64" x14ac:dyDescent="0.3">
      <c r="A77" t="s">
        <v>559</v>
      </c>
      <c r="B77" s="1" t="s">
        <v>559</v>
      </c>
      <c r="C77" s="9" t="s">
        <v>560</v>
      </c>
      <c r="D77" s="1" t="s">
        <v>42</v>
      </c>
      <c r="E77" s="1" t="s">
        <v>88</v>
      </c>
      <c r="F77" s="10" t="s">
        <v>472</v>
      </c>
      <c r="G77" s="1">
        <v>2.5000000000000001E-2</v>
      </c>
      <c r="H77" s="1">
        <v>0.02</v>
      </c>
      <c r="I77" s="8">
        <v>44093</v>
      </c>
      <c r="J77" s="6">
        <v>601205.93999999994</v>
      </c>
      <c r="K77" s="6">
        <v>315641.66000000003</v>
      </c>
      <c r="L77" s="6">
        <v>10735.82</v>
      </c>
      <c r="M77" s="6">
        <v>5636.4500000000007</v>
      </c>
      <c r="N77" s="7">
        <v>8186.15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27505.43</v>
      </c>
      <c r="U77" s="6">
        <v>24558.420000000002</v>
      </c>
      <c r="V77" s="6">
        <v>491.15999999999997</v>
      </c>
      <c r="W77" s="6">
        <v>0</v>
      </c>
      <c r="X77" s="46">
        <v>45784</v>
      </c>
      <c r="Y77" s="1">
        <v>25111472</v>
      </c>
      <c r="AA77" s="1">
        <v>279982</v>
      </c>
      <c r="AC77" s="46">
        <v>45777</v>
      </c>
      <c r="AD77" s="1">
        <v>5</v>
      </c>
      <c r="AI77" s="2">
        <v>601205.93999999994</v>
      </c>
      <c r="AJ77" s="2">
        <v>315641.66000000003</v>
      </c>
      <c r="AK77" s="2">
        <v>10735.82</v>
      </c>
      <c r="AL77" s="2">
        <v>5636.4500000000007</v>
      </c>
      <c r="AM77" s="5">
        <v>8186.15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27505.43</v>
      </c>
      <c r="AT77" s="12">
        <v>24558.420000000002</v>
      </c>
      <c r="AU77" s="2">
        <v>491.15999999999997</v>
      </c>
      <c r="AV77" s="5">
        <v>0</v>
      </c>
      <c r="BL77" s="1" t="s">
        <v>90</v>
      </c>
    </row>
    <row r="78" spans="1:64" x14ac:dyDescent="0.3">
      <c r="A78" t="s">
        <v>577</v>
      </c>
      <c r="B78" s="1" t="s">
        <v>577</v>
      </c>
      <c r="C78" s="9" t="s">
        <v>578</v>
      </c>
      <c r="D78" s="1" t="s">
        <v>42</v>
      </c>
      <c r="E78" s="1" t="s">
        <v>88</v>
      </c>
      <c r="F78" s="10" t="s">
        <v>267</v>
      </c>
      <c r="G78" s="1">
        <v>2.5000000000000001E-2</v>
      </c>
      <c r="H78" s="1">
        <v>0.02</v>
      </c>
      <c r="I78" s="8">
        <v>44374</v>
      </c>
      <c r="J78" s="6">
        <v>818563.45</v>
      </c>
      <c r="K78" s="6">
        <v>204746</v>
      </c>
      <c r="L78" s="6">
        <v>14617.2</v>
      </c>
      <c r="M78" s="6">
        <v>3656.18</v>
      </c>
      <c r="N78" s="7">
        <v>9136.68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30699.27</v>
      </c>
      <c r="U78" s="6">
        <v>27410.06</v>
      </c>
      <c r="V78" s="6">
        <v>548.20000000000005</v>
      </c>
      <c r="W78" s="6">
        <v>0</v>
      </c>
      <c r="X78" s="46">
        <v>45784</v>
      </c>
      <c r="Y78" s="1">
        <v>25111473</v>
      </c>
      <c r="AA78" s="1">
        <v>279983</v>
      </c>
      <c r="AC78" s="46">
        <v>45777</v>
      </c>
      <c r="AD78" s="1">
        <v>6</v>
      </c>
      <c r="AI78" s="2">
        <v>818563.45</v>
      </c>
      <c r="AJ78" s="2">
        <v>204746</v>
      </c>
      <c r="AK78" s="2">
        <v>14617.2</v>
      </c>
      <c r="AL78" s="2">
        <v>3656.18</v>
      </c>
      <c r="AM78" s="5">
        <v>9136.68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30699.27</v>
      </c>
      <c r="AT78" s="12">
        <v>27410.06</v>
      </c>
      <c r="AU78" s="2">
        <v>548.20000000000005</v>
      </c>
      <c r="AV78" s="5">
        <v>0</v>
      </c>
      <c r="BL78" s="1" t="s">
        <v>90</v>
      </c>
    </row>
    <row r="79" spans="1:64" x14ac:dyDescent="0.3">
      <c r="A79" t="s">
        <v>594</v>
      </c>
      <c r="B79" s="1" t="s">
        <v>594</v>
      </c>
      <c r="C79" s="9" t="s">
        <v>595</v>
      </c>
      <c r="D79" s="1" t="s">
        <v>42</v>
      </c>
      <c r="E79" s="1" t="s">
        <v>88</v>
      </c>
      <c r="F79" s="10" t="s">
        <v>472</v>
      </c>
      <c r="G79" s="1">
        <v>3.5000000000000003E-2</v>
      </c>
      <c r="H79" s="1">
        <v>0.02</v>
      </c>
      <c r="I79" s="8">
        <v>44693</v>
      </c>
      <c r="J79" s="6">
        <v>525002.16</v>
      </c>
      <c r="K79" s="6">
        <v>159542.26</v>
      </c>
      <c r="L79" s="6">
        <v>9375.0400000000009</v>
      </c>
      <c r="M79" s="6">
        <v>2848.9700000000003</v>
      </c>
      <c r="N79" s="7">
        <v>6112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20536.330000000002</v>
      </c>
      <c r="U79" s="6">
        <v>18336.009999999998</v>
      </c>
      <c r="V79" s="6">
        <v>366.72999999999996</v>
      </c>
      <c r="W79" s="6">
        <v>0</v>
      </c>
      <c r="X79" s="46">
        <v>45784</v>
      </c>
      <c r="Y79" s="1">
        <v>25111474</v>
      </c>
      <c r="AA79" s="1">
        <v>279984</v>
      </c>
      <c r="AC79" s="46">
        <v>45777</v>
      </c>
      <c r="AD79" s="1">
        <v>7</v>
      </c>
      <c r="AI79" s="2">
        <v>525002.16</v>
      </c>
      <c r="AJ79" s="2">
        <v>159542.26</v>
      </c>
      <c r="AK79" s="2">
        <v>9375.0400000000009</v>
      </c>
      <c r="AL79" s="2">
        <v>2848.9700000000003</v>
      </c>
      <c r="AM79" s="5">
        <v>6112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20536.330000000002</v>
      </c>
      <c r="AT79" s="12">
        <v>18336.009999999998</v>
      </c>
      <c r="AU79" s="2">
        <v>366.72999999999996</v>
      </c>
      <c r="AV79" s="5">
        <v>0</v>
      </c>
      <c r="BL79" s="1" t="s">
        <v>90</v>
      </c>
    </row>
    <row r="80" spans="1:64" x14ac:dyDescent="0.3">
      <c r="A80" t="s">
        <v>598</v>
      </c>
      <c r="B80" s="1" t="s">
        <v>598</v>
      </c>
      <c r="C80" s="9" t="s">
        <v>599</v>
      </c>
      <c r="D80" s="1" t="s">
        <v>42</v>
      </c>
      <c r="E80" s="1" t="s">
        <v>88</v>
      </c>
      <c r="F80" s="10" t="s">
        <v>267</v>
      </c>
      <c r="G80" s="1">
        <v>3.5000000000000003E-2</v>
      </c>
      <c r="H80" s="1">
        <v>0.02</v>
      </c>
      <c r="I80" s="8">
        <v>44774</v>
      </c>
      <c r="J80" s="6">
        <v>1024327.73</v>
      </c>
      <c r="K80" s="6">
        <v>369659.47</v>
      </c>
      <c r="L80" s="6">
        <v>18291.560000000001</v>
      </c>
      <c r="M80" s="6">
        <v>6601.0599999999995</v>
      </c>
      <c r="N80" s="7">
        <v>12446.31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41819.599999999999</v>
      </c>
      <c r="U80" s="6">
        <v>37338.93</v>
      </c>
      <c r="V80" s="6">
        <v>746.78</v>
      </c>
      <c r="W80" s="6">
        <v>0</v>
      </c>
      <c r="X80" s="46">
        <v>45784</v>
      </c>
      <c r="Y80" s="1">
        <v>25111475</v>
      </c>
      <c r="AA80" s="1">
        <v>279985</v>
      </c>
      <c r="AC80" s="46">
        <v>45777</v>
      </c>
      <c r="AD80" s="1">
        <v>8</v>
      </c>
      <c r="AI80" s="2">
        <v>1024327.73</v>
      </c>
      <c r="AJ80" s="2">
        <v>369659.47</v>
      </c>
      <c r="AK80" s="2">
        <v>18291.560000000001</v>
      </c>
      <c r="AL80" s="2">
        <v>6601.0599999999995</v>
      </c>
      <c r="AM80" s="5">
        <v>12446.31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41819.599999999999</v>
      </c>
      <c r="AT80" s="12">
        <v>37338.93</v>
      </c>
      <c r="AU80" s="2">
        <v>746.78</v>
      </c>
      <c r="AV80" s="5">
        <v>0</v>
      </c>
      <c r="BL80" s="1" t="s">
        <v>90</v>
      </c>
    </row>
    <row r="81" spans="1:64" x14ac:dyDescent="0.3">
      <c r="A81" t="s">
        <v>622</v>
      </c>
      <c r="B81" s="1" t="s">
        <v>622</v>
      </c>
      <c r="C81" s="9" t="s">
        <v>623</v>
      </c>
      <c r="D81" s="1" t="s">
        <v>42</v>
      </c>
      <c r="E81" s="1" t="s">
        <v>88</v>
      </c>
      <c r="F81" s="10" t="s">
        <v>472</v>
      </c>
      <c r="G81" s="1">
        <v>2.5000000000000001E-2</v>
      </c>
      <c r="H81" s="1">
        <v>0.02</v>
      </c>
      <c r="I81" s="8">
        <v>44415</v>
      </c>
      <c r="J81" s="6">
        <v>1096089.31</v>
      </c>
      <c r="K81" s="6">
        <v>152914.49</v>
      </c>
      <c r="L81" s="6">
        <v>19573.03</v>
      </c>
      <c r="M81" s="6">
        <v>2730.62</v>
      </c>
      <c r="N81" s="7">
        <v>11151.82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37470.129999999997</v>
      </c>
      <c r="U81" s="6">
        <v>33455.47</v>
      </c>
      <c r="V81" s="6">
        <v>669.11</v>
      </c>
      <c r="X81" s="46">
        <v>45784</v>
      </c>
      <c r="Y81" s="1">
        <v>25111476</v>
      </c>
      <c r="AA81" s="1">
        <v>279986</v>
      </c>
      <c r="AC81" s="46">
        <v>45777</v>
      </c>
      <c r="AD81" s="1">
        <v>9</v>
      </c>
      <c r="AI81" s="2">
        <v>1096089.31</v>
      </c>
      <c r="AJ81" s="2">
        <v>152914.49</v>
      </c>
      <c r="AK81" s="2">
        <v>19573.03</v>
      </c>
      <c r="AL81" s="2">
        <v>2730.62</v>
      </c>
      <c r="AM81" s="5">
        <v>11151.82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37470.129999999997</v>
      </c>
      <c r="AT81" s="12">
        <v>33455.47</v>
      </c>
      <c r="AU81" s="2">
        <v>669.11</v>
      </c>
      <c r="BL81" s="1" t="s">
        <v>90</v>
      </c>
    </row>
    <row r="82" spans="1:64" x14ac:dyDescent="0.3">
      <c r="A82" t="s">
        <v>658</v>
      </c>
      <c r="B82" s="1" t="s">
        <v>658</v>
      </c>
      <c r="C82" s="9" t="s">
        <v>659</v>
      </c>
      <c r="D82" s="1" t="s">
        <v>42</v>
      </c>
      <c r="E82" s="1" t="s">
        <v>88</v>
      </c>
      <c r="F82" s="10" t="s">
        <v>267</v>
      </c>
      <c r="G82" s="1">
        <v>0</v>
      </c>
      <c r="H82" s="1">
        <v>0.02</v>
      </c>
      <c r="I82" s="8">
        <v>45171</v>
      </c>
      <c r="J82" s="6">
        <v>338287</v>
      </c>
      <c r="K82" s="6">
        <v>90148</v>
      </c>
      <c r="L82" s="6">
        <v>6040.84</v>
      </c>
      <c r="M82" s="6">
        <v>1609.7800000000002</v>
      </c>
      <c r="N82" s="7">
        <v>3825.3199999999997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12853.05</v>
      </c>
      <c r="U82" s="6">
        <v>11475.939999999999</v>
      </c>
      <c r="V82" s="6">
        <v>229.52</v>
      </c>
      <c r="W82" s="6">
        <v>0</v>
      </c>
      <c r="X82" s="46">
        <v>45784</v>
      </c>
      <c r="Y82" s="1">
        <v>25111477</v>
      </c>
      <c r="AA82" s="1">
        <v>279987</v>
      </c>
      <c r="AC82" s="46">
        <v>45777</v>
      </c>
      <c r="AD82" s="1">
        <v>10</v>
      </c>
      <c r="AI82" s="2">
        <v>338287</v>
      </c>
      <c r="AJ82" s="2">
        <v>90148</v>
      </c>
      <c r="AK82" s="2">
        <v>6040.84</v>
      </c>
      <c r="AL82" s="2">
        <v>1609.7800000000002</v>
      </c>
      <c r="AM82" s="5">
        <v>3825.3199999999997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12853.05</v>
      </c>
      <c r="AT82" s="12">
        <v>11475.939999999999</v>
      </c>
      <c r="AU82" s="2">
        <v>229.52</v>
      </c>
      <c r="AV82" s="5">
        <v>0</v>
      </c>
      <c r="BL82" s="1" t="s">
        <v>90</v>
      </c>
    </row>
    <row r="83" spans="1:64" x14ac:dyDescent="0.3">
      <c r="A83" t="s">
        <v>667</v>
      </c>
      <c r="B83" s="1" t="s">
        <v>667</v>
      </c>
      <c r="C83" s="9" t="s">
        <v>668</v>
      </c>
      <c r="D83" s="1" t="s">
        <v>42</v>
      </c>
      <c r="E83" s="1" t="s">
        <v>88</v>
      </c>
      <c r="F83" s="10" t="s">
        <v>472</v>
      </c>
      <c r="G83" s="1">
        <v>0</v>
      </c>
      <c r="H83" s="1">
        <v>0.02</v>
      </c>
      <c r="I83" s="8">
        <v>45501</v>
      </c>
      <c r="J83" s="6">
        <v>827989.96</v>
      </c>
      <c r="K83" s="6">
        <v>195805</v>
      </c>
      <c r="L83" s="6">
        <v>14785.54</v>
      </c>
      <c r="M83" s="6">
        <v>3496.52</v>
      </c>
      <c r="N83" s="7">
        <v>9141.0300000000007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30713.86</v>
      </c>
      <c r="U83" s="6">
        <v>27423.090000000004</v>
      </c>
      <c r="V83" s="6">
        <v>548.46</v>
      </c>
      <c r="X83" s="46">
        <v>45784</v>
      </c>
      <c r="Y83" s="1">
        <v>25111478</v>
      </c>
      <c r="AA83" s="1">
        <v>279988</v>
      </c>
      <c r="AC83" s="46">
        <v>45777</v>
      </c>
      <c r="AD83" s="1">
        <v>11</v>
      </c>
      <c r="AI83" s="2">
        <v>827989.96</v>
      </c>
      <c r="AJ83" s="2">
        <v>195805</v>
      </c>
      <c r="AK83" s="2">
        <v>14785.54</v>
      </c>
      <c r="AL83" s="2">
        <v>3496.52</v>
      </c>
      <c r="AM83" s="5">
        <v>9141.0300000000007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30713.86</v>
      </c>
      <c r="AT83" s="12">
        <v>27423.090000000004</v>
      </c>
      <c r="AU83" s="2">
        <v>548.46</v>
      </c>
      <c r="BL83" s="1" t="s">
        <v>90</v>
      </c>
    </row>
    <row r="84" spans="1:64" x14ac:dyDescent="0.3">
      <c r="A84" t="s">
        <v>763</v>
      </c>
      <c r="B84" s="1" t="s">
        <v>763</v>
      </c>
      <c r="C84" s="9" t="s">
        <v>764</v>
      </c>
      <c r="D84" s="1" t="s">
        <v>42</v>
      </c>
      <c r="E84" s="1" t="s">
        <v>88</v>
      </c>
      <c r="F84" s="10" t="s">
        <v>472</v>
      </c>
      <c r="G84" s="1">
        <v>0</v>
      </c>
      <c r="H84" s="1">
        <v>0.02</v>
      </c>
      <c r="I84" s="8">
        <v>44612</v>
      </c>
      <c r="J84" s="6">
        <v>766496.94</v>
      </c>
      <c r="K84" s="6">
        <v>165975.53</v>
      </c>
      <c r="L84" s="6">
        <v>13687.45</v>
      </c>
      <c r="M84" s="6">
        <v>2963.85</v>
      </c>
      <c r="N84" s="7">
        <v>8325.64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27974.17</v>
      </c>
      <c r="U84" s="6">
        <v>24976.94</v>
      </c>
      <c r="V84" s="6">
        <v>499.54</v>
      </c>
      <c r="X84" s="46">
        <v>45784</v>
      </c>
      <c r="Y84" s="1">
        <v>25111479</v>
      </c>
      <c r="AA84" s="1">
        <v>279989</v>
      </c>
      <c r="AC84" s="46">
        <v>45777</v>
      </c>
      <c r="AD84" s="1">
        <v>12</v>
      </c>
      <c r="AI84" s="2">
        <v>766496.94</v>
      </c>
      <c r="AJ84" s="2">
        <v>165975.53</v>
      </c>
      <c r="AK84" s="2">
        <v>13687.45</v>
      </c>
      <c r="AL84" s="2">
        <v>2963.85</v>
      </c>
      <c r="AM84" s="5">
        <v>8325.64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27974.17</v>
      </c>
      <c r="AT84" s="12">
        <v>24976.94</v>
      </c>
      <c r="AU84" s="2">
        <v>499.54</v>
      </c>
      <c r="BL84" s="1" t="s">
        <v>90</v>
      </c>
    </row>
    <row r="85" spans="1:64" x14ac:dyDescent="0.3">
      <c r="A85" t="s">
        <v>773</v>
      </c>
      <c r="B85" s="1" t="s">
        <v>773</v>
      </c>
      <c r="C85" s="9" t="s">
        <v>774</v>
      </c>
      <c r="D85" s="1" t="s">
        <v>42</v>
      </c>
      <c r="E85" s="1" t="s">
        <v>88</v>
      </c>
      <c r="F85" s="10" t="s">
        <v>267</v>
      </c>
      <c r="G85" s="1">
        <v>0</v>
      </c>
      <c r="H85" s="1">
        <v>0.02</v>
      </c>
      <c r="I85" s="8">
        <v>44768</v>
      </c>
      <c r="J85" s="6">
        <v>1186865.05</v>
      </c>
      <c r="K85" s="6">
        <v>197103</v>
      </c>
      <c r="L85" s="6">
        <v>21194.01</v>
      </c>
      <c r="M85" s="6">
        <v>3519.69</v>
      </c>
      <c r="N85" s="7">
        <v>12356.86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41519.03</v>
      </c>
      <c r="U85" s="6">
        <v>37070.559999999998</v>
      </c>
      <c r="V85" s="6">
        <v>741.42000000000007</v>
      </c>
      <c r="W85" s="6">
        <v>0</v>
      </c>
      <c r="X85" s="46">
        <v>45784</v>
      </c>
      <c r="Y85" s="1">
        <v>25111480</v>
      </c>
      <c r="AA85" s="1">
        <v>279990</v>
      </c>
      <c r="AC85" s="46">
        <v>45777</v>
      </c>
      <c r="AD85" s="1">
        <v>13</v>
      </c>
      <c r="AI85" s="2">
        <v>1186865.05</v>
      </c>
      <c r="AJ85" s="2">
        <v>197103</v>
      </c>
      <c r="AK85" s="2">
        <v>21194.01</v>
      </c>
      <c r="AL85" s="2">
        <v>3519.69</v>
      </c>
      <c r="AM85" s="5">
        <v>12356.86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41519.03</v>
      </c>
      <c r="AT85" s="12">
        <v>37070.559999999998</v>
      </c>
      <c r="AU85" s="2">
        <v>741.42000000000007</v>
      </c>
      <c r="AV85" s="5">
        <v>0</v>
      </c>
      <c r="BL85" s="1" t="s">
        <v>90</v>
      </c>
    </row>
    <row r="86" spans="1:64" x14ac:dyDescent="0.3">
      <c r="A86" t="s">
        <v>787</v>
      </c>
      <c r="B86" s="1" t="s">
        <v>787</v>
      </c>
      <c r="C86" s="9" t="s">
        <v>788</v>
      </c>
      <c r="D86" s="1" t="s">
        <v>42</v>
      </c>
      <c r="E86" s="1" t="s">
        <v>88</v>
      </c>
      <c r="F86" s="10" t="s">
        <v>267</v>
      </c>
      <c r="G86" s="1">
        <v>3.5000000000000003E-2</v>
      </c>
      <c r="H86" s="1">
        <v>0.02</v>
      </c>
      <c r="I86" s="8">
        <v>45003</v>
      </c>
      <c r="J86" s="6">
        <v>413943.16000000003</v>
      </c>
      <c r="K86" s="6">
        <v>145622</v>
      </c>
      <c r="L86" s="6">
        <v>7391.83</v>
      </c>
      <c r="M86" s="6">
        <v>2600.4</v>
      </c>
      <c r="N86" s="7">
        <v>4996.12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16786.95</v>
      </c>
      <c r="U86" s="6">
        <v>14988.35</v>
      </c>
      <c r="V86" s="6">
        <v>299.77</v>
      </c>
      <c r="W86" s="6">
        <v>0</v>
      </c>
      <c r="X86" s="46">
        <v>45784</v>
      </c>
      <c r="Y86" s="1">
        <v>25111481</v>
      </c>
      <c r="AA86" s="1">
        <v>279991</v>
      </c>
      <c r="AC86" s="46">
        <v>45777</v>
      </c>
      <c r="AD86" s="1">
        <v>14</v>
      </c>
      <c r="AI86" s="2">
        <v>413943.16000000003</v>
      </c>
      <c r="AJ86" s="2">
        <v>145622</v>
      </c>
      <c r="AK86" s="2">
        <v>7391.83</v>
      </c>
      <c r="AL86" s="2">
        <v>2600.4</v>
      </c>
      <c r="AM86" s="5">
        <v>4996.12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16786.95</v>
      </c>
      <c r="AT86" s="12">
        <v>14988.35</v>
      </c>
      <c r="AU86" s="2">
        <v>299.77</v>
      </c>
      <c r="AV86" s="5">
        <v>0</v>
      </c>
      <c r="BL86" s="1" t="s">
        <v>90</v>
      </c>
    </row>
    <row r="87" spans="1:64" x14ac:dyDescent="0.3">
      <c r="A87" t="s">
        <v>827</v>
      </c>
      <c r="B87" s="1" t="s">
        <v>827</v>
      </c>
      <c r="C87" s="9" t="s">
        <v>828</v>
      </c>
      <c r="D87" s="1" t="s">
        <v>42</v>
      </c>
      <c r="E87" s="1" t="s">
        <v>88</v>
      </c>
      <c r="F87" s="10" t="s">
        <v>472</v>
      </c>
      <c r="G87" s="1">
        <v>0</v>
      </c>
      <c r="H87" s="1">
        <v>0.02</v>
      </c>
      <c r="I87" s="8">
        <v>45051</v>
      </c>
      <c r="J87" s="6">
        <v>680573.10000000009</v>
      </c>
      <c r="K87" s="6">
        <v>277513.25</v>
      </c>
      <c r="L87" s="6">
        <v>12153.09</v>
      </c>
      <c r="M87" s="6">
        <v>4955.59</v>
      </c>
      <c r="N87" s="7">
        <v>8554.34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28742.58</v>
      </c>
      <c r="U87" s="6">
        <v>25663.02</v>
      </c>
      <c r="V87" s="6">
        <v>513.26</v>
      </c>
      <c r="W87" s="6">
        <v>0</v>
      </c>
      <c r="X87" s="46">
        <v>45784</v>
      </c>
      <c r="Y87" s="1">
        <v>25111482</v>
      </c>
      <c r="AA87" s="1">
        <v>279992</v>
      </c>
      <c r="AC87" s="46">
        <v>45777</v>
      </c>
      <c r="AD87" s="1">
        <v>15</v>
      </c>
      <c r="AI87" s="2">
        <v>680573.10000000009</v>
      </c>
      <c r="AJ87" s="2">
        <v>277513.25</v>
      </c>
      <c r="AK87" s="2">
        <v>12153.09</v>
      </c>
      <c r="AL87" s="2">
        <v>4955.59</v>
      </c>
      <c r="AM87" s="5">
        <v>8554.34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28742.58</v>
      </c>
      <c r="AT87" s="12">
        <v>25663.02</v>
      </c>
      <c r="AU87" s="2">
        <v>513.26</v>
      </c>
      <c r="AV87" s="5">
        <v>0</v>
      </c>
      <c r="BL87" s="1" t="s">
        <v>90</v>
      </c>
    </row>
    <row r="88" spans="1:64" x14ac:dyDescent="0.3">
      <c r="A88" t="s">
        <v>1009</v>
      </c>
      <c r="B88" s="1" t="s">
        <v>1010</v>
      </c>
      <c r="C88" s="9" t="s">
        <v>1011</v>
      </c>
      <c r="D88" s="1" t="s">
        <v>42</v>
      </c>
      <c r="E88" s="1" t="s">
        <v>88</v>
      </c>
      <c r="F88" s="10" t="s">
        <v>267</v>
      </c>
      <c r="G88" s="1">
        <v>0</v>
      </c>
      <c r="H88" s="1">
        <v>0.02</v>
      </c>
      <c r="I88" s="8">
        <v>44454</v>
      </c>
      <c r="J88" s="6">
        <v>410584.05</v>
      </c>
      <c r="K88" s="6">
        <v>197917</v>
      </c>
      <c r="L88" s="6">
        <v>7331.86</v>
      </c>
      <c r="M88" s="6">
        <v>3534.24</v>
      </c>
      <c r="N88" s="7">
        <v>5433.05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18255.05</v>
      </c>
      <c r="U88" s="6">
        <v>16299.150000000001</v>
      </c>
      <c r="V88" s="6">
        <v>325.99</v>
      </c>
      <c r="W88" s="6">
        <v>0</v>
      </c>
      <c r="X88" s="46">
        <v>45784</v>
      </c>
      <c r="Y88" s="1">
        <v>25111483</v>
      </c>
      <c r="AA88" s="1">
        <v>279993</v>
      </c>
      <c r="AC88" s="46">
        <v>45777</v>
      </c>
      <c r="AD88" s="1">
        <v>16</v>
      </c>
      <c r="AI88" s="2">
        <v>410584.05</v>
      </c>
      <c r="AJ88" s="2">
        <v>197917</v>
      </c>
      <c r="AK88" s="2">
        <v>7331.86</v>
      </c>
      <c r="AL88" s="2">
        <v>3534.24</v>
      </c>
      <c r="AM88" s="5">
        <v>5433.05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18255.05</v>
      </c>
      <c r="AT88" s="12">
        <v>16299.150000000001</v>
      </c>
      <c r="AU88" s="2">
        <v>325.99</v>
      </c>
      <c r="AV88" s="5">
        <v>0</v>
      </c>
      <c r="BL88" s="1" t="s">
        <v>90</v>
      </c>
    </row>
    <row r="89" spans="1:64" x14ac:dyDescent="0.3">
      <c r="A89" t="s">
        <v>1272</v>
      </c>
      <c r="B89" s="1" t="s">
        <v>1272</v>
      </c>
      <c r="C89" s="9" t="s">
        <v>1273</v>
      </c>
      <c r="D89" s="1" t="s">
        <v>42</v>
      </c>
      <c r="E89" s="1" t="s">
        <v>88</v>
      </c>
      <c r="F89" s="10" t="s">
        <v>472</v>
      </c>
      <c r="G89" s="1">
        <v>0</v>
      </c>
      <c r="H89" s="1">
        <v>0.02</v>
      </c>
      <c r="I89" s="8">
        <v>45143</v>
      </c>
      <c r="J89" s="6">
        <v>595472.9</v>
      </c>
      <c r="K89" s="6">
        <v>129789</v>
      </c>
      <c r="L89" s="6">
        <v>10633.45</v>
      </c>
      <c r="M89" s="6">
        <v>2317.66</v>
      </c>
      <c r="N89" s="7">
        <v>6475.55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21757.86</v>
      </c>
      <c r="U89" s="6">
        <v>19426.66</v>
      </c>
      <c r="V89" s="6">
        <v>388.53</v>
      </c>
      <c r="X89" s="46">
        <v>45784</v>
      </c>
      <c r="Y89" s="1">
        <v>25111484</v>
      </c>
      <c r="AA89" s="1">
        <v>279994</v>
      </c>
      <c r="AC89" s="46">
        <v>45777</v>
      </c>
      <c r="AD89" s="1">
        <v>17</v>
      </c>
      <c r="AI89" s="2">
        <v>595472.9</v>
      </c>
      <c r="AJ89" s="2">
        <v>129789</v>
      </c>
      <c r="AK89" s="2">
        <v>10633.45</v>
      </c>
      <c r="AL89" s="2">
        <v>2317.66</v>
      </c>
      <c r="AM89" s="5">
        <v>6475.55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21757.86</v>
      </c>
      <c r="AT89" s="12">
        <v>19426.66</v>
      </c>
      <c r="AU89" s="2">
        <v>388.53</v>
      </c>
      <c r="BL89" s="1" t="s">
        <v>90</v>
      </c>
    </row>
    <row r="90" spans="1:64" x14ac:dyDescent="0.3">
      <c r="A90" t="s">
        <v>142</v>
      </c>
      <c r="B90" s="1" t="s">
        <v>142</v>
      </c>
      <c r="C90" s="9" t="s">
        <v>143</v>
      </c>
      <c r="D90" s="1" t="s">
        <v>43</v>
      </c>
      <c r="E90" s="1" t="s">
        <v>135</v>
      </c>
      <c r="F90" s="10" t="s">
        <v>144</v>
      </c>
      <c r="G90" s="1">
        <v>2.5000000000000001E-2</v>
      </c>
      <c r="H90" s="1">
        <v>0.02</v>
      </c>
      <c r="I90" s="8">
        <v>44009</v>
      </c>
      <c r="J90" s="6">
        <v>845955.57000000007</v>
      </c>
      <c r="K90" s="6">
        <v>152438.56</v>
      </c>
      <c r="L90" s="6">
        <v>15106.35</v>
      </c>
      <c r="M90" s="6">
        <v>2722.12</v>
      </c>
      <c r="N90" s="7">
        <v>8914.23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29951.82</v>
      </c>
      <c r="U90" s="6">
        <v>26742.7</v>
      </c>
      <c r="V90" s="6">
        <v>534.85</v>
      </c>
      <c r="X90" s="46">
        <v>45784</v>
      </c>
      <c r="Y90" s="1">
        <v>25111485</v>
      </c>
      <c r="AA90" s="1">
        <v>279995</v>
      </c>
      <c r="AC90" s="46">
        <v>45777</v>
      </c>
      <c r="AD90" s="1">
        <v>1</v>
      </c>
      <c r="AI90" s="2">
        <v>845955.57000000007</v>
      </c>
      <c r="AJ90" s="2">
        <v>152438.56</v>
      </c>
      <c r="AK90" s="2">
        <v>15106.35</v>
      </c>
      <c r="AL90" s="2">
        <v>2722.12</v>
      </c>
      <c r="AM90" s="5">
        <v>8914.23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29951.82</v>
      </c>
      <c r="AT90" s="12">
        <v>26742.7</v>
      </c>
      <c r="AU90" s="2">
        <v>534.85</v>
      </c>
      <c r="BL90" s="1" t="s">
        <v>137</v>
      </c>
    </row>
    <row r="91" spans="1:64" x14ac:dyDescent="0.3">
      <c r="A91" t="s">
        <v>314</v>
      </c>
      <c r="B91" s="1" t="s">
        <v>314</v>
      </c>
      <c r="C91" s="9" t="s">
        <v>315</v>
      </c>
      <c r="D91" s="1" t="s">
        <v>43</v>
      </c>
      <c r="E91" s="1" t="s">
        <v>135</v>
      </c>
      <c r="F91" s="10" t="s">
        <v>316</v>
      </c>
      <c r="G91" s="1">
        <v>2.5000000000000001E-2</v>
      </c>
      <c r="H91" s="1">
        <v>0.02</v>
      </c>
      <c r="I91" s="8">
        <v>44183</v>
      </c>
      <c r="J91" s="6">
        <v>494827</v>
      </c>
      <c r="K91" s="6">
        <v>46098</v>
      </c>
      <c r="L91" s="6">
        <v>8836.19</v>
      </c>
      <c r="M91" s="6">
        <v>823.18000000000006</v>
      </c>
      <c r="N91" s="7">
        <v>4829.6900000000005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16227.75</v>
      </c>
      <c r="U91" s="6">
        <v>14489.060000000001</v>
      </c>
      <c r="V91" s="6">
        <v>289.79000000000002</v>
      </c>
      <c r="W91" s="6">
        <v>0</v>
      </c>
      <c r="X91" s="46">
        <v>45784</v>
      </c>
      <c r="Y91" s="1">
        <v>25111486</v>
      </c>
      <c r="AA91" s="1">
        <v>279996</v>
      </c>
      <c r="AC91" s="46">
        <v>45777</v>
      </c>
      <c r="AD91" s="1">
        <v>2</v>
      </c>
      <c r="AI91" s="2">
        <v>494827</v>
      </c>
      <c r="AJ91" s="2">
        <v>46098</v>
      </c>
      <c r="AK91" s="2">
        <v>8836.19</v>
      </c>
      <c r="AL91" s="2">
        <v>823.18000000000006</v>
      </c>
      <c r="AM91" s="5">
        <v>4829.6900000000005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16227.75</v>
      </c>
      <c r="AT91" s="12">
        <v>14489.060000000001</v>
      </c>
      <c r="AU91" s="2">
        <v>289.79000000000002</v>
      </c>
      <c r="AV91" s="5">
        <v>0</v>
      </c>
      <c r="BL91" s="1" t="s">
        <v>302</v>
      </c>
    </row>
    <row r="92" spans="1:64" x14ac:dyDescent="0.3">
      <c r="A92" t="s">
        <v>383</v>
      </c>
      <c r="B92" s="1" t="s">
        <v>383</v>
      </c>
      <c r="C92" s="9" t="s">
        <v>384</v>
      </c>
      <c r="D92" s="1" t="s">
        <v>43</v>
      </c>
      <c r="E92" s="1" t="s">
        <v>128</v>
      </c>
      <c r="F92" s="10" t="s">
        <v>385</v>
      </c>
      <c r="G92" s="1">
        <v>3.5000000000000003E-2</v>
      </c>
      <c r="H92" s="1">
        <v>0.02</v>
      </c>
      <c r="I92" s="8">
        <v>45242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AI92" s="2">
        <v>0</v>
      </c>
      <c r="AJ92" s="2">
        <v>0</v>
      </c>
      <c r="AK92" s="2">
        <v>0</v>
      </c>
      <c r="AL92" s="2">
        <v>0</v>
      </c>
      <c r="AM92" s="5">
        <v>0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0</v>
      </c>
      <c r="AT92" s="12">
        <v>0</v>
      </c>
      <c r="AU92" s="2">
        <v>0</v>
      </c>
      <c r="BL92" s="1" t="s">
        <v>326</v>
      </c>
    </row>
    <row r="93" spans="1:64" x14ac:dyDescent="0.3">
      <c r="A93" t="s">
        <v>500</v>
      </c>
      <c r="B93" s="1" t="s">
        <v>500</v>
      </c>
      <c r="C93" s="9" t="s">
        <v>501</v>
      </c>
      <c r="D93" s="1" t="s">
        <v>43</v>
      </c>
      <c r="E93" s="1" t="s">
        <v>135</v>
      </c>
      <c r="F93" s="10" t="s">
        <v>316</v>
      </c>
      <c r="G93" s="1">
        <v>0</v>
      </c>
      <c r="H93" s="1">
        <v>0.02</v>
      </c>
      <c r="I93" s="8">
        <v>45091</v>
      </c>
      <c r="J93" s="6">
        <v>282757.59999999998</v>
      </c>
      <c r="K93" s="6">
        <v>59786</v>
      </c>
      <c r="L93" s="6">
        <v>5049.24</v>
      </c>
      <c r="M93" s="6">
        <v>1067.6099999999999</v>
      </c>
      <c r="N93" s="7">
        <v>3058.43</v>
      </c>
      <c r="O93" s="6">
        <v>62648.49</v>
      </c>
      <c r="P93" s="6">
        <v>17587.41</v>
      </c>
      <c r="Q93" s="6">
        <v>1118.72</v>
      </c>
      <c r="R93" s="6">
        <v>314.06</v>
      </c>
      <c r="S93" s="7">
        <v>0</v>
      </c>
      <c r="T93" s="11">
        <v>11881.03</v>
      </c>
      <c r="U93" s="6">
        <v>10608.059999999998</v>
      </c>
      <c r="V93" s="6">
        <v>212.16</v>
      </c>
      <c r="X93" s="46">
        <v>45784</v>
      </c>
      <c r="Y93" s="1">
        <v>25111487</v>
      </c>
      <c r="AA93" s="1">
        <v>279997</v>
      </c>
      <c r="AC93" s="46">
        <v>45777</v>
      </c>
      <c r="AD93" s="1">
        <v>3</v>
      </c>
      <c r="AI93" s="2">
        <v>282757.59999999998</v>
      </c>
      <c r="AJ93" s="2">
        <v>59786</v>
      </c>
      <c r="AK93" s="2">
        <v>5049.24</v>
      </c>
      <c r="AL93" s="2">
        <v>1067.6099999999999</v>
      </c>
      <c r="AM93" s="5">
        <v>3058.43</v>
      </c>
      <c r="AN93" s="12">
        <v>62648.49</v>
      </c>
      <c r="AO93" s="2">
        <v>17587.41</v>
      </c>
      <c r="AP93" s="2">
        <v>1118.72</v>
      </c>
      <c r="AQ93" s="2">
        <v>314.06</v>
      </c>
      <c r="AR93" s="5">
        <v>0</v>
      </c>
      <c r="AS93" s="2">
        <v>11881.03</v>
      </c>
      <c r="AT93" s="12">
        <v>10608.059999999998</v>
      </c>
      <c r="AU93" s="2">
        <v>212.16</v>
      </c>
      <c r="BL93" s="1" t="s">
        <v>302</v>
      </c>
    </row>
    <row r="94" spans="1:64" x14ac:dyDescent="0.3">
      <c r="A94" t="s">
        <v>567</v>
      </c>
      <c r="B94" s="1" t="s">
        <v>567</v>
      </c>
      <c r="C94" s="9" t="s">
        <v>568</v>
      </c>
      <c r="D94" s="1" t="s">
        <v>43</v>
      </c>
      <c r="E94" s="1" t="s">
        <v>135</v>
      </c>
      <c r="F94" s="10" t="s">
        <v>144</v>
      </c>
      <c r="G94" s="1">
        <v>2.5000000000000001E-2</v>
      </c>
      <c r="H94" s="1">
        <v>0.02</v>
      </c>
      <c r="I94" s="8">
        <v>44183</v>
      </c>
      <c r="J94" s="6">
        <v>441727.00000000006</v>
      </c>
      <c r="K94" s="6">
        <v>112626</v>
      </c>
      <c r="L94" s="6">
        <v>7887.98</v>
      </c>
      <c r="M94" s="6">
        <v>2011.18</v>
      </c>
      <c r="N94" s="7">
        <v>4949.58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16630.59</v>
      </c>
      <c r="U94" s="6">
        <v>14848.74</v>
      </c>
      <c r="V94" s="6">
        <v>296.97000000000003</v>
      </c>
      <c r="X94" s="46">
        <v>45784</v>
      </c>
      <c r="Y94" s="1">
        <v>25111488</v>
      </c>
      <c r="AA94" s="1">
        <v>279998</v>
      </c>
      <c r="AC94" s="46">
        <v>45777</v>
      </c>
      <c r="AD94" s="1">
        <v>4</v>
      </c>
      <c r="AI94" s="2">
        <v>441727.00000000006</v>
      </c>
      <c r="AJ94" s="2">
        <v>112626</v>
      </c>
      <c r="AK94" s="2">
        <v>7887.98</v>
      </c>
      <c r="AL94" s="2">
        <v>2011.18</v>
      </c>
      <c r="AM94" s="5">
        <v>4949.58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16630.59</v>
      </c>
      <c r="AT94" s="12">
        <v>14848.74</v>
      </c>
      <c r="AU94" s="2">
        <v>296.97000000000003</v>
      </c>
      <c r="BL94" s="1" t="s">
        <v>137</v>
      </c>
    </row>
    <row r="95" spans="1:64" x14ac:dyDescent="0.3">
      <c r="A95" t="s">
        <v>581</v>
      </c>
      <c r="B95" s="1" t="s">
        <v>581</v>
      </c>
      <c r="C95" s="9" t="s">
        <v>582</v>
      </c>
      <c r="D95" s="1" t="s">
        <v>43</v>
      </c>
      <c r="E95" s="1" t="s">
        <v>135</v>
      </c>
      <c r="F95" s="10" t="s">
        <v>583</v>
      </c>
      <c r="G95" s="1">
        <v>2.5000000000000001E-2</v>
      </c>
      <c r="H95" s="1">
        <v>0.02</v>
      </c>
      <c r="I95" s="8">
        <v>44385</v>
      </c>
      <c r="J95" s="6">
        <v>693957.8</v>
      </c>
      <c r="K95" s="6">
        <v>104153.01000000001</v>
      </c>
      <c r="L95" s="6">
        <v>12392.11</v>
      </c>
      <c r="M95" s="6">
        <v>1859.87</v>
      </c>
      <c r="N95" s="7">
        <v>7125.99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23943.33</v>
      </c>
      <c r="U95" s="6">
        <v>21377.97</v>
      </c>
      <c r="V95" s="6">
        <v>427.56</v>
      </c>
      <c r="X95" s="46">
        <v>45784</v>
      </c>
      <c r="Y95" s="1">
        <v>25111489</v>
      </c>
      <c r="AA95" s="1">
        <v>279999</v>
      </c>
      <c r="AC95" s="46">
        <v>45777</v>
      </c>
      <c r="AD95" s="1">
        <v>5</v>
      </c>
      <c r="AI95" s="2">
        <v>693957.8</v>
      </c>
      <c r="AJ95" s="2">
        <v>104153.01000000001</v>
      </c>
      <c r="AK95" s="2">
        <v>12392.11</v>
      </c>
      <c r="AL95" s="2">
        <v>1859.87</v>
      </c>
      <c r="AM95" s="5">
        <v>7125.99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23943.33</v>
      </c>
      <c r="AT95" s="12">
        <v>21377.97</v>
      </c>
      <c r="AU95" s="2">
        <v>427.56</v>
      </c>
      <c r="BL95" s="1" t="s">
        <v>137</v>
      </c>
    </row>
    <row r="96" spans="1:64" x14ac:dyDescent="0.3">
      <c r="A96" t="s">
        <v>637</v>
      </c>
      <c r="B96" s="1" t="s">
        <v>637</v>
      </c>
      <c r="C96" s="9" t="s">
        <v>638</v>
      </c>
      <c r="D96" s="1" t="s">
        <v>43</v>
      </c>
      <c r="E96" s="1" t="s">
        <v>88</v>
      </c>
      <c r="F96" s="10" t="s">
        <v>639</v>
      </c>
      <c r="G96" s="1">
        <v>3.5000000000000003E-2</v>
      </c>
      <c r="H96" s="1">
        <v>0.02</v>
      </c>
      <c r="I96" s="8">
        <v>45131</v>
      </c>
      <c r="J96" s="6">
        <v>340986.6</v>
      </c>
      <c r="K96" s="6">
        <v>101735</v>
      </c>
      <c r="L96" s="6">
        <v>6089.04</v>
      </c>
      <c r="M96" s="6">
        <v>1816.7</v>
      </c>
      <c r="N96" s="7">
        <v>3952.88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13281.65</v>
      </c>
      <c r="U96" s="6">
        <v>11858.619999999999</v>
      </c>
      <c r="V96" s="6">
        <v>237.17</v>
      </c>
      <c r="X96" s="46">
        <v>45784</v>
      </c>
      <c r="Y96" s="1">
        <v>25111490</v>
      </c>
      <c r="AA96" s="1">
        <v>280000</v>
      </c>
      <c r="AC96" s="46">
        <v>45777</v>
      </c>
      <c r="AD96" s="1">
        <v>6</v>
      </c>
      <c r="AI96" s="2">
        <v>340986.6</v>
      </c>
      <c r="AJ96" s="2">
        <v>101735</v>
      </c>
      <c r="AK96" s="2">
        <v>6089.04</v>
      </c>
      <c r="AL96" s="2">
        <v>1816.7</v>
      </c>
      <c r="AM96" s="5">
        <v>3952.88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13281.65</v>
      </c>
      <c r="AT96" s="12">
        <v>11858.619999999999</v>
      </c>
      <c r="AU96" s="2">
        <v>237.17</v>
      </c>
      <c r="BL96" s="1" t="s">
        <v>90</v>
      </c>
    </row>
    <row r="97" spans="1:64" x14ac:dyDescent="0.3">
      <c r="A97" t="s">
        <v>640</v>
      </c>
      <c r="B97" s="1" t="s">
        <v>640</v>
      </c>
      <c r="C97" s="9" t="s">
        <v>641</v>
      </c>
      <c r="D97" s="1" t="s">
        <v>43</v>
      </c>
      <c r="E97" s="1" t="s">
        <v>88</v>
      </c>
      <c r="F97" s="10" t="s">
        <v>639</v>
      </c>
      <c r="G97" s="1">
        <v>3.5000000000000003E-2</v>
      </c>
      <c r="H97" s="1">
        <v>0.02</v>
      </c>
      <c r="I97" s="8">
        <v>45143</v>
      </c>
      <c r="J97" s="6">
        <v>463197</v>
      </c>
      <c r="K97" s="6">
        <v>74768</v>
      </c>
      <c r="L97" s="6">
        <v>8271.3799999999992</v>
      </c>
      <c r="M97" s="6">
        <v>1335.14</v>
      </c>
      <c r="N97" s="7">
        <v>4803.26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16138.95</v>
      </c>
      <c r="U97" s="6">
        <v>14409.779999999999</v>
      </c>
      <c r="V97" s="6">
        <v>288.2</v>
      </c>
      <c r="X97" s="46">
        <v>45784</v>
      </c>
      <c r="Y97" s="1">
        <v>25111491</v>
      </c>
      <c r="AA97" s="1">
        <v>280001</v>
      </c>
      <c r="AC97" s="46">
        <v>45777</v>
      </c>
      <c r="AD97" s="1">
        <v>7</v>
      </c>
      <c r="AI97" s="2">
        <v>463197</v>
      </c>
      <c r="AJ97" s="2">
        <v>74768</v>
      </c>
      <c r="AK97" s="2">
        <v>8271.3799999999992</v>
      </c>
      <c r="AL97" s="2">
        <v>1335.14</v>
      </c>
      <c r="AM97" s="5">
        <v>4803.26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16138.95</v>
      </c>
      <c r="AT97" s="12">
        <v>14409.779999999999</v>
      </c>
      <c r="AU97" s="2">
        <v>288.2</v>
      </c>
      <c r="BL97" s="1" t="s">
        <v>90</v>
      </c>
    </row>
    <row r="98" spans="1:64" x14ac:dyDescent="0.3">
      <c r="A98" t="s">
        <v>665</v>
      </c>
      <c r="B98" s="1" t="s">
        <v>665</v>
      </c>
      <c r="C98" s="9" t="s">
        <v>666</v>
      </c>
      <c r="D98" s="1" t="s">
        <v>43</v>
      </c>
      <c r="E98" s="1" t="s">
        <v>88</v>
      </c>
      <c r="F98" s="10" t="s">
        <v>639</v>
      </c>
      <c r="G98" s="1">
        <v>0</v>
      </c>
      <c r="H98" s="1">
        <v>0.02</v>
      </c>
      <c r="I98" s="8">
        <v>45434</v>
      </c>
      <c r="J98" s="6">
        <v>257098</v>
      </c>
      <c r="K98" s="6">
        <v>83163.100000000006</v>
      </c>
      <c r="L98" s="6">
        <v>4591.04</v>
      </c>
      <c r="M98" s="6">
        <v>1485.05</v>
      </c>
      <c r="N98" s="7">
        <v>3038.04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10207.83</v>
      </c>
      <c r="U98" s="6">
        <v>9114.130000000001</v>
      </c>
      <c r="V98" s="6">
        <v>182.28</v>
      </c>
      <c r="X98" s="46">
        <v>45784</v>
      </c>
      <c r="Y98" s="1">
        <v>25111492</v>
      </c>
      <c r="AA98" s="1">
        <v>280002</v>
      </c>
      <c r="AC98" s="46">
        <v>45777</v>
      </c>
      <c r="AD98" s="1">
        <v>8</v>
      </c>
      <c r="AI98" s="2">
        <v>257098</v>
      </c>
      <c r="AJ98" s="2">
        <v>83163.100000000006</v>
      </c>
      <c r="AK98" s="2">
        <v>4591.04</v>
      </c>
      <c r="AL98" s="2">
        <v>1485.05</v>
      </c>
      <c r="AM98" s="5">
        <v>3038.04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10207.83</v>
      </c>
      <c r="AT98" s="12">
        <v>9114.130000000001</v>
      </c>
      <c r="AU98" s="2">
        <v>182.28</v>
      </c>
      <c r="BL98" s="1" t="s">
        <v>90</v>
      </c>
    </row>
    <row r="99" spans="1:64" x14ac:dyDescent="0.3">
      <c r="A99" t="s">
        <v>672</v>
      </c>
      <c r="B99" s="1" t="s">
        <v>672</v>
      </c>
      <c r="C99" s="9" t="s">
        <v>673</v>
      </c>
      <c r="D99" s="1" t="s">
        <v>43</v>
      </c>
      <c r="E99" s="1" t="s">
        <v>128</v>
      </c>
      <c r="F99" s="10" t="s">
        <v>385</v>
      </c>
      <c r="G99" s="1">
        <v>0</v>
      </c>
      <c r="H99" s="1">
        <v>0.02</v>
      </c>
      <c r="I99" s="8">
        <v>45607</v>
      </c>
      <c r="J99" s="6">
        <v>336476</v>
      </c>
      <c r="K99" s="6">
        <v>47046</v>
      </c>
      <c r="L99" s="6">
        <v>6008.5</v>
      </c>
      <c r="M99" s="6">
        <v>840.11</v>
      </c>
      <c r="N99" s="7">
        <v>3424.3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11505.66</v>
      </c>
      <c r="U99" s="6">
        <v>10272.91</v>
      </c>
      <c r="V99" s="6">
        <v>205.46</v>
      </c>
      <c r="X99" s="46">
        <v>45784</v>
      </c>
      <c r="Y99" s="1">
        <v>25111493</v>
      </c>
      <c r="AA99" s="1">
        <v>280003</v>
      </c>
      <c r="AC99" s="46">
        <v>45777</v>
      </c>
      <c r="AD99" s="1">
        <v>9</v>
      </c>
      <c r="AI99" s="2">
        <v>336476</v>
      </c>
      <c r="AJ99" s="2">
        <v>47046</v>
      </c>
      <c r="AK99" s="2">
        <v>6008.5</v>
      </c>
      <c r="AL99" s="2">
        <v>840.11</v>
      </c>
      <c r="AM99" s="5">
        <v>3424.3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11505.66</v>
      </c>
      <c r="AT99" s="12">
        <v>10272.91</v>
      </c>
      <c r="AU99" s="2">
        <v>205.46</v>
      </c>
      <c r="BL99" s="1" t="s">
        <v>326</v>
      </c>
    </row>
    <row r="100" spans="1:64" x14ac:dyDescent="0.3">
      <c r="A100" t="s">
        <v>684</v>
      </c>
      <c r="B100" s="1" t="s">
        <v>684</v>
      </c>
      <c r="C100" s="9" t="s">
        <v>685</v>
      </c>
      <c r="D100" s="1" t="s">
        <v>43</v>
      </c>
      <c r="E100" s="1" t="s">
        <v>128</v>
      </c>
      <c r="F100" s="10" t="s">
        <v>385</v>
      </c>
      <c r="G100" s="1">
        <v>0</v>
      </c>
      <c r="H100" s="1">
        <v>0.02</v>
      </c>
      <c r="I100" s="8">
        <v>45575</v>
      </c>
      <c r="J100" s="6">
        <v>271345.95</v>
      </c>
      <c r="K100" s="6">
        <v>26183.75</v>
      </c>
      <c r="L100" s="6">
        <v>4845.46</v>
      </c>
      <c r="M100" s="6">
        <v>467.56</v>
      </c>
      <c r="N100" s="7">
        <v>2656.52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8925.8799999999992</v>
      </c>
      <c r="U100" s="6">
        <v>7969.5400000000009</v>
      </c>
      <c r="V100" s="6">
        <v>159.38999999999999</v>
      </c>
      <c r="X100" s="46">
        <v>45784</v>
      </c>
      <c r="Y100" s="1">
        <v>25111494</v>
      </c>
      <c r="AA100" s="1">
        <v>280004</v>
      </c>
      <c r="AC100" s="46">
        <v>45777</v>
      </c>
      <c r="AD100" s="1">
        <v>10</v>
      </c>
      <c r="AI100" s="2">
        <v>271345.95</v>
      </c>
      <c r="AJ100" s="2">
        <v>26183.75</v>
      </c>
      <c r="AK100" s="2">
        <v>4845.46</v>
      </c>
      <c r="AL100" s="2">
        <v>467.56</v>
      </c>
      <c r="AM100" s="5">
        <v>2656.52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8925.8799999999992</v>
      </c>
      <c r="AT100" s="12">
        <v>7969.5400000000009</v>
      </c>
      <c r="AU100" s="2">
        <v>159.38999999999999</v>
      </c>
      <c r="BL100" s="1" t="s">
        <v>326</v>
      </c>
    </row>
    <row r="101" spans="1:64" x14ac:dyDescent="0.3">
      <c r="A101" t="s">
        <v>750</v>
      </c>
      <c r="B101" s="1" t="s">
        <v>750</v>
      </c>
      <c r="C101" s="9" t="s">
        <v>751</v>
      </c>
      <c r="D101" s="1" t="s">
        <v>43</v>
      </c>
      <c r="E101" s="1" t="s">
        <v>135</v>
      </c>
      <c r="F101" s="10" t="s">
        <v>752</v>
      </c>
      <c r="G101" s="1">
        <v>0</v>
      </c>
      <c r="H101" s="1">
        <v>0.02</v>
      </c>
      <c r="I101" s="8">
        <v>44511</v>
      </c>
      <c r="J101" s="6">
        <v>677098.51</v>
      </c>
      <c r="K101" s="6">
        <v>57544.99</v>
      </c>
      <c r="L101" s="6">
        <v>12091.04</v>
      </c>
      <c r="M101" s="6">
        <v>1027.5899999999999</v>
      </c>
      <c r="N101" s="7">
        <v>6559.32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22039.3</v>
      </c>
      <c r="U101" s="6">
        <v>19677.949999999997</v>
      </c>
      <c r="V101" s="6">
        <v>393.56</v>
      </c>
      <c r="W101" s="6">
        <v>0</v>
      </c>
      <c r="X101" s="46">
        <v>45784</v>
      </c>
      <c r="Y101" s="1">
        <v>25111495</v>
      </c>
      <c r="AA101" s="1">
        <v>280005</v>
      </c>
      <c r="AC101" s="46">
        <v>45777</v>
      </c>
      <c r="AD101" s="1">
        <v>11</v>
      </c>
      <c r="AI101" s="2">
        <v>677098.51</v>
      </c>
      <c r="AJ101" s="2">
        <v>57544.99</v>
      </c>
      <c r="AK101" s="2">
        <v>12091.04</v>
      </c>
      <c r="AL101" s="2">
        <v>1027.5899999999999</v>
      </c>
      <c r="AM101" s="5">
        <v>6559.32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22039.3</v>
      </c>
      <c r="AT101" s="12">
        <v>19677.949999999997</v>
      </c>
      <c r="AU101" s="2">
        <v>393.56</v>
      </c>
      <c r="AV101" s="5">
        <v>0</v>
      </c>
      <c r="BL101" s="1" t="s">
        <v>302</v>
      </c>
    </row>
    <row r="102" spans="1:64" x14ac:dyDescent="0.3">
      <c r="A102" t="s">
        <v>804</v>
      </c>
      <c r="B102" s="1" t="s">
        <v>804</v>
      </c>
      <c r="C102" s="9" t="s">
        <v>805</v>
      </c>
      <c r="D102" s="1" t="s">
        <v>43</v>
      </c>
      <c r="E102" s="1" t="s">
        <v>128</v>
      </c>
      <c r="F102" s="10" t="s">
        <v>385</v>
      </c>
      <c r="G102" s="1">
        <v>0</v>
      </c>
      <c r="H102" s="1">
        <v>0.02</v>
      </c>
      <c r="I102" s="8">
        <v>44831</v>
      </c>
      <c r="J102" s="6">
        <v>466490</v>
      </c>
      <c r="K102" s="6">
        <v>63881</v>
      </c>
      <c r="L102" s="6">
        <v>8330.18</v>
      </c>
      <c r="M102" s="6">
        <v>1140.73</v>
      </c>
      <c r="N102" s="7">
        <v>4735.46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15911.13</v>
      </c>
      <c r="U102" s="6">
        <v>14206.369999999999</v>
      </c>
      <c r="V102" s="6">
        <v>284.13</v>
      </c>
      <c r="X102" s="46">
        <v>45784</v>
      </c>
      <c r="Y102" s="1">
        <v>25111496</v>
      </c>
      <c r="AA102" s="1">
        <v>280006</v>
      </c>
      <c r="AC102" s="46">
        <v>45777</v>
      </c>
      <c r="AD102" s="1">
        <v>12</v>
      </c>
      <c r="AI102" s="2">
        <v>466490</v>
      </c>
      <c r="AJ102" s="2">
        <v>63881</v>
      </c>
      <c r="AK102" s="2">
        <v>8330.18</v>
      </c>
      <c r="AL102" s="2">
        <v>1140.73</v>
      </c>
      <c r="AM102" s="5">
        <v>4735.46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15911.13</v>
      </c>
      <c r="AT102" s="12">
        <v>14206.369999999999</v>
      </c>
      <c r="AU102" s="2">
        <v>284.13</v>
      </c>
      <c r="BL102" s="1" t="s">
        <v>326</v>
      </c>
    </row>
    <row r="103" spans="1:64" x14ac:dyDescent="0.3">
      <c r="A103" t="s">
        <v>814</v>
      </c>
      <c r="B103" s="1" t="s">
        <v>814</v>
      </c>
      <c r="C103" s="9" t="s">
        <v>815</v>
      </c>
      <c r="D103" s="1" t="s">
        <v>43</v>
      </c>
      <c r="E103" s="1" t="s">
        <v>88</v>
      </c>
      <c r="F103" s="10" t="s">
        <v>639</v>
      </c>
      <c r="G103" s="1">
        <v>0</v>
      </c>
      <c r="H103" s="1">
        <v>0.02</v>
      </c>
      <c r="I103" s="8">
        <v>44985</v>
      </c>
      <c r="J103" s="6">
        <v>347442.05</v>
      </c>
      <c r="K103" s="6">
        <v>71663</v>
      </c>
      <c r="L103" s="6">
        <v>6204.32</v>
      </c>
      <c r="M103" s="6">
        <v>1279.7</v>
      </c>
      <c r="N103" s="7">
        <v>3742.01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12573.15</v>
      </c>
      <c r="U103" s="6">
        <v>11226.029999999999</v>
      </c>
      <c r="V103" s="6">
        <v>224.52</v>
      </c>
      <c r="X103" s="46">
        <v>45784</v>
      </c>
      <c r="Y103" s="1">
        <v>25111497</v>
      </c>
      <c r="AA103" s="1">
        <v>280007</v>
      </c>
      <c r="AC103" s="46">
        <v>45777</v>
      </c>
      <c r="AD103" s="1">
        <v>13</v>
      </c>
      <c r="AI103" s="2">
        <v>347442.05</v>
      </c>
      <c r="AJ103" s="2">
        <v>71663</v>
      </c>
      <c r="AK103" s="2">
        <v>6204.32</v>
      </c>
      <c r="AL103" s="2">
        <v>1279.7</v>
      </c>
      <c r="AM103" s="5">
        <v>3742.01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12573.15</v>
      </c>
      <c r="AT103" s="12">
        <v>11226.029999999999</v>
      </c>
      <c r="AU103" s="2">
        <v>224.52</v>
      </c>
      <c r="BL103" s="1" t="s">
        <v>90</v>
      </c>
    </row>
    <row r="104" spans="1:64" x14ac:dyDescent="0.3">
      <c r="A104" t="s">
        <v>820</v>
      </c>
      <c r="B104" s="1" t="s">
        <v>820</v>
      </c>
      <c r="C104" s="9" t="s">
        <v>821</v>
      </c>
      <c r="D104" s="1" t="s">
        <v>43</v>
      </c>
      <c r="E104" s="1" t="s">
        <v>88</v>
      </c>
      <c r="F104" s="10" t="s">
        <v>639</v>
      </c>
      <c r="G104" s="1">
        <v>0</v>
      </c>
      <c r="H104" s="1">
        <v>0.02</v>
      </c>
      <c r="I104" s="8">
        <v>45209</v>
      </c>
      <c r="J104" s="6">
        <v>155408</v>
      </c>
      <c r="K104" s="6">
        <v>30539</v>
      </c>
      <c r="L104" s="6">
        <v>2775.14</v>
      </c>
      <c r="M104" s="6">
        <v>545.34</v>
      </c>
      <c r="N104" s="7">
        <v>1660.24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5578.41</v>
      </c>
      <c r="U104" s="6">
        <v>4980.72</v>
      </c>
      <c r="V104" s="6">
        <v>99.61</v>
      </c>
      <c r="X104" s="46">
        <v>45784</v>
      </c>
      <c r="Y104" s="1">
        <v>25111498</v>
      </c>
      <c r="AA104" s="1">
        <v>280008</v>
      </c>
      <c r="AC104" s="46">
        <v>45777</v>
      </c>
      <c r="AD104" s="1">
        <v>14</v>
      </c>
      <c r="AI104" s="2">
        <v>155408</v>
      </c>
      <c r="AJ104" s="2">
        <v>30539</v>
      </c>
      <c r="AK104" s="2">
        <v>2775.14</v>
      </c>
      <c r="AL104" s="2">
        <v>545.34</v>
      </c>
      <c r="AM104" s="5">
        <v>1660.24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5578.41</v>
      </c>
      <c r="AT104" s="12">
        <v>4980.72</v>
      </c>
      <c r="AU104" s="2">
        <v>99.61</v>
      </c>
      <c r="BL104" s="1" t="s">
        <v>90</v>
      </c>
    </row>
    <row r="105" spans="1:64" x14ac:dyDescent="0.3">
      <c r="A105" t="s">
        <v>822</v>
      </c>
      <c r="B105" s="1" t="s">
        <v>822</v>
      </c>
      <c r="C105" s="9" t="s">
        <v>823</v>
      </c>
      <c r="D105" s="1" t="s">
        <v>43</v>
      </c>
      <c r="E105" s="1" t="s">
        <v>88</v>
      </c>
      <c r="F105" s="10" t="s">
        <v>639</v>
      </c>
      <c r="G105" s="1">
        <v>0</v>
      </c>
      <c r="H105" s="1">
        <v>0.02</v>
      </c>
      <c r="I105" s="8">
        <v>45198</v>
      </c>
      <c r="J105" s="6">
        <v>123877.4</v>
      </c>
      <c r="K105" s="6">
        <v>65432</v>
      </c>
      <c r="L105" s="6">
        <v>2212.1</v>
      </c>
      <c r="M105" s="6">
        <v>1168.43</v>
      </c>
      <c r="N105" s="7">
        <v>1690.26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5679.28</v>
      </c>
      <c r="U105" s="6">
        <v>5070.79</v>
      </c>
      <c r="V105" s="6">
        <v>101.42</v>
      </c>
      <c r="X105" s="46">
        <v>45784</v>
      </c>
      <c r="Y105" s="1">
        <v>25111499</v>
      </c>
      <c r="AA105" s="1">
        <v>280009</v>
      </c>
      <c r="AC105" s="46">
        <v>45777</v>
      </c>
      <c r="AD105" s="1">
        <v>15</v>
      </c>
      <c r="AI105" s="2">
        <v>123877.4</v>
      </c>
      <c r="AJ105" s="2">
        <v>65432</v>
      </c>
      <c r="AK105" s="2">
        <v>2212.1</v>
      </c>
      <c r="AL105" s="2">
        <v>1168.43</v>
      </c>
      <c r="AM105" s="5">
        <v>1690.26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5679.28</v>
      </c>
      <c r="AT105" s="12">
        <v>5070.79</v>
      </c>
      <c r="AU105" s="2">
        <v>101.42</v>
      </c>
      <c r="BL105" s="1" t="s">
        <v>90</v>
      </c>
    </row>
    <row r="106" spans="1:64" x14ac:dyDescent="0.3">
      <c r="A106" t="s">
        <v>831</v>
      </c>
      <c r="B106" s="1" t="s">
        <v>831</v>
      </c>
      <c r="C106" s="9" t="s">
        <v>832</v>
      </c>
      <c r="D106" s="1" t="s">
        <v>43</v>
      </c>
      <c r="E106" s="1" t="s">
        <v>135</v>
      </c>
      <c r="F106" s="10" t="s">
        <v>752</v>
      </c>
      <c r="G106" s="1">
        <v>0</v>
      </c>
      <c r="H106" s="1">
        <v>0.02</v>
      </c>
      <c r="I106" s="8">
        <v>45429</v>
      </c>
      <c r="J106" s="6">
        <v>421356.48000000004</v>
      </c>
      <c r="K106" s="6">
        <v>42123.42</v>
      </c>
      <c r="L106" s="6">
        <v>7524.22</v>
      </c>
      <c r="M106" s="6">
        <v>752.21</v>
      </c>
      <c r="N106" s="7">
        <v>4138.21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13904.4</v>
      </c>
      <c r="U106" s="6">
        <v>12414.64</v>
      </c>
      <c r="V106" s="6">
        <v>248.29</v>
      </c>
      <c r="X106" s="46">
        <v>45784</v>
      </c>
      <c r="Y106" s="1">
        <v>25111500</v>
      </c>
      <c r="AA106" s="1">
        <v>280010</v>
      </c>
      <c r="AC106" s="46">
        <v>45777</v>
      </c>
      <c r="AD106" s="1">
        <v>16</v>
      </c>
      <c r="AI106" s="2">
        <v>421356.48000000004</v>
      </c>
      <c r="AJ106" s="2">
        <v>42123.42</v>
      </c>
      <c r="AK106" s="2">
        <v>7524.22</v>
      </c>
      <c r="AL106" s="2">
        <v>752.21</v>
      </c>
      <c r="AM106" s="5">
        <v>4138.21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13904.4</v>
      </c>
      <c r="AT106" s="12">
        <v>12414.64</v>
      </c>
      <c r="AU106" s="2">
        <v>248.29</v>
      </c>
      <c r="BL106" s="1" t="s">
        <v>302</v>
      </c>
    </row>
    <row r="107" spans="1:64" x14ac:dyDescent="0.3">
      <c r="A107" t="s">
        <v>958</v>
      </c>
      <c r="B107" s="1" t="s">
        <v>958</v>
      </c>
      <c r="C107" s="9" t="s">
        <v>959</v>
      </c>
      <c r="D107" s="1" t="s">
        <v>43</v>
      </c>
      <c r="E107" s="1" t="s">
        <v>135</v>
      </c>
      <c r="F107" s="10" t="s">
        <v>583</v>
      </c>
      <c r="G107" s="1">
        <v>0</v>
      </c>
      <c r="H107" s="1">
        <v>0.02</v>
      </c>
      <c r="I107" s="8">
        <v>45706</v>
      </c>
      <c r="J107" s="6">
        <v>254365</v>
      </c>
      <c r="K107" s="6">
        <v>58352</v>
      </c>
      <c r="L107" s="6">
        <v>4542.2299999999996</v>
      </c>
      <c r="M107" s="6">
        <v>1042</v>
      </c>
      <c r="N107" s="7">
        <v>2792.12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9381.51</v>
      </c>
      <c r="U107" s="6">
        <v>8376.3499999999985</v>
      </c>
      <c r="V107" s="6">
        <v>167.53</v>
      </c>
      <c r="X107" s="46">
        <v>45784</v>
      </c>
      <c r="Y107" s="1">
        <v>25111501</v>
      </c>
      <c r="AA107" s="1">
        <v>280011</v>
      </c>
      <c r="AC107" s="46">
        <v>45777</v>
      </c>
      <c r="AD107" s="1">
        <v>17</v>
      </c>
      <c r="AI107" s="2">
        <v>254365</v>
      </c>
      <c r="AJ107" s="2">
        <v>58352</v>
      </c>
      <c r="AK107" s="2">
        <v>4542.2299999999996</v>
      </c>
      <c r="AL107" s="2">
        <v>1042</v>
      </c>
      <c r="AM107" s="5">
        <v>2792.12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9381.51</v>
      </c>
      <c r="AT107" s="12">
        <v>8376.3499999999985</v>
      </c>
      <c r="AU107" s="2">
        <v>167.53</v>
      </c>
      <c r="BL107" s="1" t="s">
        <v>137</v>
      </c>
    </row>
    <row r="108" spans="1:64" x14ac:dyDescent="0.3">
      <c r="A108" t="s">
        <v>1019</v>
      </c>
      <c r="B108" s="1" t="s">
        <v>1019</v>
      </c>
      <c r="C108" s="9" t="s">
        <v>1020</v>
      </c>
      <c r="D108" s="1" t="s">
        <v>43</v>
      </c>
      <c r="E108" s="1" t="s">
        <v>135</v>
      </c>
      <c r="F108" s="10" t="s">
        <v>316</v>
      </c>
      <c r="G108" s="1">
        <v>0</v>
      </c>
      <c r="H108" s="1">
        <v>0.02</v>
      </c>
      <c r="I108" s="8">
        <v>44500</v>
      </c>
      <c r="J108" s="6">
        <v>404811</v>
      </c>
      <c r="K108" s="6">
        <v>47047</v>
      </c>
      <c r="L108" s="6">
        <v>7228.77</v>
      </c>
      <c r="M108" s="6">
        <v>840.12</v>
      </c>
      <c r="N108" s="7">
        <v>4034.45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13555.74</v>
      </c>
      <c r="U108" s="6">
        <v>12103.34</v>
      </c>
      <c r="V108" s="6">
        <v>242.07</v>
      </c>
      <c r="X108" s="46">
        <v>45784</v>
      </c>
      <c r="Y108" s="1">
        <v>25111502</v>
      </c>
      <c r="AA108" s="1">
        <v>280012</v>
      </c>
      <c r="AC108" s="46">
        <v>45777</v>
      </c>
      <c r="AD108" s="1">
        <v>18</v>
      </c>
      <c r="AI108" s="2">
        <v>404811</v>
      </c>
      <c r="AJ108" s="2">
        <v>47047</v>
      </c>
      <c r="AK108" s="2">
        <v>7228.77</v>
      </c>
      <c r="AL108" s="2">
        <v>840.12</v>
      </c>
      <c r="AM108" s="5">
        <v>4034.45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13555.74</v>
      </c>
      <c r="AT108" s="12">
        <v>12103.34</v>
      </c>
      <c r="AU108" s="2">
        <v>242.07</v>
      </c>
      <c r="BL108" s="1" t="s">
        <v>302</v>
      </c>
    </row>
    <row r="109" spans="1:64" x14ac:dyDescent="0.3">
      <c r="A109" t="s">
        <v>1049</v>
      </c>
      <c r="B109" s="1" t="s">
        <v>1049</v>
      </c>
      <c r="C109" s="9" t="s">
        <v>1050</v>
      </c>
      <c r="D109" s="1" t="s">
        <v>43</v>
      </c>
      <c r="E109" s="1" t="s">
        <v>128</v>
      </c>
      <c r="F109" s="10" t="s">
        <v>385</v>
      </c>
      <c r="G109" s="1">
        <v>0</v>
      </c>
      <c r="H109" s="1">
        <v>0.02</v>
      </c>
      <c r="I109" s="8">
        <v>44548</v>
      </c>
      <c r="J109" s="6">
        <v>276483</v>
      </c>
      <c r="K109" s="6">
        <v>28071</v>
      </c>
      <c r="L109" s="6">
        <v>4937.2</v>
      </c>
      <c r="M109" s="6">
        <v>501.27</v>
      </c>
      <c r="N109" s="7">
        <v>2719.23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9136.6200000000008</v>
      </c>
      <c r="U109" s="6">
        <v>8157.6999999999989</v>
      </c>
      <c r="V109" s="6">
        <v>163.15</v>
      </c>
      <c r="X109" s="46">
        <v>45784</v>
      </c>
      <c r="Y109" s="1">
        <v>25111503</v>
      </c>
      <c r="AA109" s="1">
        <v>280013</v>
      </c>
      <c r="AC109" s="46">
        <v>45777</v>
      </c>
      <c r="AD109" s="1">
        <v>19</v>
      </c>
      <c r="AI109" s="2">
        <v>276483</v>
      </c>
      <c r="AJ109" s="2">
        <v>28071</v>
      </c>
      <c r="AK109" s="2">
        <v>4937.2</v>
      </c>
      <c r="AL109" s="2">
        <v>501.27</v>
      </c>
      <c r="AM109" s="5">
        <v>2719.23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9136.6200000000008</v>
      </c>
      <c r="AT109" s="12">
        <v>8157.6999999999989</v>
      </c>
      <c r="AU109" s="2">
        <v>163.15</v>
      </c>
      <c r="BL109" s="1" t="s">
        <v>326</v>
      </c>
    </row>
    <row r="110" spans="1:64" x14ac:dyDescent="0.3">
      <c r="A110" t="s">
        <v>1053</v>
      </c>
      <c r="B110" s="1" t="s">
        <v>1053</v>
      </c>
      <c r="C110" s="9" t="s">
        <v>1054</v>
      </c>
      <c r="D110" s="1" t="s">
        <v>43</v>
      </c>
      <c r="E110" s="1" t="s">
        <v>128</v>
      </c>
      <c r="F110" s="10" t="s">
        <v>385</v>
      </c>
      <c r="G110" s="1">
        <v>0</v>
      </c>
      <c r="H110" s="1">
        <v>0.02</v>
      </c>
      <c r="I110" s="8">
        <v>44576</v>
      </c>
      <c r="J110" s="6">
        <v>289543</v>
      </c>
      <c r="K110" s="6">
        <v>65857</v>
      </c>
      <c r="L110" s="6">
        <v>5170.41</v>
      </c>
      <c r="M110" s="6">
        <v>1176.02</v>
      </c>
      <c r="N110" s="7">
        <v>3173.21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10662</v>
      </c>
      <c r="U110" s="6">
        <v>9519.64</v>
      </c>
      <c r="V110" s="6">
        <v>190.39</v>
      </c>
      <c r="X110" s="46">
        <v>45784</v>
      </c>
      <c r="Y110" s="1">
        <v>25111504</v>
      </c>
      <c r="AA110" s="1">
        <v>280014</v>
      </c>
      <c r="AC110" s="46">
        <v>45777</v>
      </c>
      <c r="AD110" s="1">
        <v>20</v>
      </c>
      <c r="AI110" s="2">
        <v>289543</v>
      </c>
      <c r="AJ110" s="2">
        <v>65857</v>
      </c>
      <c r="AK110" s="2">
        <v>5170.41</v>
      </c>
      <c r="AL110" s="2">
        <v>1176.02</v>
      </c>
      <c r="AM110" s="5">
        <v>3173.21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10662</v>
      </c>
      <c r="AT110" s="12">
        <v>9519.64</v>
      </c>
      <c r="AU110" s="2">
        <v>190.39</v>
      </c>
      <c r="BL110" s="1" t="s">
        <v>326</v>
      </c>
    </row>
    <row r="111" spans="1:64" x14ac:dyDescent="0.3">
      <c r="A111" t="s">
        <v>1154</v>
      </c>
      <c r="B111" s="1" t="s">
        <v>1154</v>
      </c>
      <c r="C111" s="9" t="s">
        <v>1155</v>
      </c>
      <c r="D111" s="1" t="s">
        <v>43</v>
      </c>
      <c r="E111" s="1" t="s">
        <v>128</v>
      </c>
      <c r="F111" s="10" t="s">
        <v>385</v>
      </c>
      <c r="G111" s="1">
        <v>0</v>
      </c>
      <c r="H111" s="1">
        <v>0.02</v>
      </c>
      <c r="I111" s="8">
        <v>44897</v>
      </c>
      <c r="J111" s="6">
        <v>619576.19999999995</v>
      </c>
      <c r="K111" s="6">
        <v>35852</v>
      </c>
      <c r="L111" s="6">
        <v>11063.86</v>
      </c>
      <c r="M111" s="6">
        <v>640.21</v>
      </c>
      <c r="N111" s="7">
        <v>5852.04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19662.84</v>
      </c>
      <c r="U111" s="6">
        <v>17556.11</v>
      </c>
      <c r="V111" s="6">
        <v>351.12</v>
      </c>
      <c r="X111" s="46">
        <v>45784</v>
      </c>
      <c r="Y111" s="1">
        <v>25111505</v>
      </c>
      <c r="AA111" s="1">
        <v>280015</v>
      </c>
      <c r="AC111" s="46">
        <v>45777</v>
      </c>
      <c r="AD111" s="1">
        <v>21</v>
      </c>
      <c r="AI111" s="2">
        <v>619576.19999999995</v>
      </c>
      <c r="AJ111" s="2">
        <v>35852</v>
      </c>
      <c r="AK111" s="2">
        <v>11063.86</v>
      </c>
      <c r="AL111" s="2">
        <v>640.21</v>
      </c>
      <c r="AM111" s="5">
        <v>5852.04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19662.84</v>
      </c>
      <c r="AT111" s="12">
        <v>17556.11</v>
      </c>
      <c r="AU111" s="2">
        <v>351.12</v>
      </c>
      <c r="BL111" s="1" t="s">
        <v>326</v>
      </c>
    </row>
    <row r="112" spans="1:64" x14ac:dyDescent="0.3">
      <c r="A112" t="s">
        <v>1233</v>
      </c>
      <c r="B112" s="1" t="s">
        <v>1234</v>
      </c>
      <c r="C112" s="9" t="s">
        <v>1235</v>
      </c>
      <c r="D112" s="1" t="s">
        <v>43</v>
      </c>
      <c r="E112" s="1" t="s">
        <v>128</v>
      </c>
      <c r="F112" s="10" t="s">
        <v>385</v>
      </c>
      <c r="G112" s="1">
        <v>0</v>
      </c>
      <c r="H112" s="1">
        <v>0.02</v>
      </c>
      <c r="I112" s="8">
        <v>45036</v>
      </c>
      <c r="J112" s="6">
        <v>742140.3</v>
      </c>
      <c r="K112" s="6">
        <v>9034</v>
      </c>
      <c r="L112" s="6">
        <v>13252.51</v>
      </c>
      <c r="M112" s="6">
        <v>161.32</v>
      </c>
      <c r="N112" s="7">
        <v>6706.91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22535.23</v>
      </c>
      <c r="U112" s="6">
        <v>20120.740000000002</v>
      </c>
      <c r="V112" s="6">
        <v>402.41000000000008</v>
      </c>
      <c r="W112" s="6">
        <v>0</v>
      </c>
      <c r="X112" s="46">
        <v>45784</v>
      </c>
      <c r="Y112" s="1">
        <v>25111506</v>
      </c>
      <c r="AA112" s="1">
        <v>280016</v>
      </c>
      <c r="AC112" s="46">
        <v>45777</v>
      </c>
      <c r="AD112" s="1">
        <v>22</v>
      </c>
      <c r="AI112" s="2">
        <v>742140.3</v>
      </c>
      <c r="AJ112" s="2">
        <v>9034</v>
      </c>
      <c r="AK112" s="2">
        <v>13252.51</v>
      </c>
      <c r="AL112" s="2">
        <v>161.32</v>
      </c>
      <c r="AM112" s="5">
        <v>6706.91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22535.23</v>
      </c>
      <c r="AT112" s="12">
        <v>20120.740000000002</v>
      </c>
      <c r="AU112" s="2">
        <v>402.41000000000008</v>
      </c>
      <c r="AV112" s="5">
        <v>0</v>
      </c>
      <c r="BL112" s="1" t="s">
        <v>326</v>
      </c>
    </row>
    <row r="113" spans="1:64" x14ac:dyDescent="0.3">
      <c r="A113" t="s">
        <v>1246</v>
      </c>
      <c r="B113" s="1" t="s">
        <v>1246</v>
      </c>
      <c r="C113" s="9" t="s">
        <v>1247</v>
      </c>
      <c r="D113" s="1" t="s">
        <v>43</v>
      </c>
      <c r="E113" s="1" t="s">
        <v>128</v>
      </c>
      <c r="F113" s="10" t="s">
        <v>385</v>
      </c>
      <c r="G113" s="1">
        <v>0</v>
      </c>
      <c r="H113" s="1">
        <v>0.02</v>
      </c>
      <c r="I113" s="8">
        <v>45152</v>
      </c>
      <c r="J113" s="6">
        <v>853015.65</v>
      </c>
      <c r="K113" s="6">
        <v>45236</v>
      </c>
      <c r="L113" s="6">
        <v>15232.43</v>
      </c>
      <c r="M113" s="6">
        <v>807.79</v>
      </c>
      <c r="N113" s="7">
        <v>8020.11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26947.57</v>
      </c>
      <c r="U113" s="6">
        <v>24060.329999999998</v>
      </c>
      <c r="V113" s="6">
        <v>481.19999999999993</v>
      </c>
      <c r="W113" s="6">
        <v>0</v>
      </c>
      <c r="X113" s="46">
        <v>45784</v>
      </c>
      <c r="Y113" s="1">
        <v>25111507</v>
      </c>
      <c r="AA113" s="1">
        <v>280017</v>
      </c>
      <c r="AC113" s="46">
        <v>45777</v>
      </c>
      <c r="AD113" s="1">
        <v>23</v>
      </c>
      <c r="AI113" s="2">
        <v>853015.65</v>
      </c>
      <c r="AJ113" s="2">
        <v>45236</v>
      </c>
      <c r="AK113" s="2">
        <v>15232.43</v>
      </c>
      <c r="AL113" s="2">
        <v>807.79</v>
      </c>
      <c r="AM113" s="5">
        <v>8020.11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26947.57</v>
      </c>
      <c r="AT113" s="12">
        <v>24060.329999999998</v>
      </c>
      <c r="AU113" s="2">
        <v>481.19999999999993</v>
      </c>
      <c r="AV113" s="5">
        <v>0</v>
      </c>
      <c r="BL113" s="1" t="s">
        <v>326</v>
      </c>
    </row>
    <row r="114" spans="1:64" x14ac:dyDescent="0.3">
      <c r="A114" t="s">
        <v>1252</v>
      </c>
      <c r="B114" s="1" t="s">
        <v>1252</v>
      </c>
      <c r="C114" s="9" t="s">
        <v>1253</v>
      </c>
      <c r="D114" s="1" t="s">
        <v>43</v>
      </c>
      <c r="E114" s="1" t="s">
        <v>128</v>
      </c>
      <c r="F114" s="10" t="s">
        <v>385</v>
      </c>
      <c r="G114" s="1">
        <v>0</v>
      </c>
      <c r="H114" s="1">
        <v>0.02</v>
      </c>
      <c r="I114" s="8">
        <v>45131</v>
      </c>
      <c r="J114" s="6">
        <v>144426</v>
      </c>
      <c r="K114" s="6">
        <v>15686</v>
      </c>
      <c r="L114" s="6">
        <v>2579.04</v>
      </c>
      <c r="M114" s="6">
        <v>280.11</v>
      </c>
      <c r="N114" s="7">
        <v>1429.57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4803.37</v>
      </c>
      <c r="U114" s="6">
        <v>4288.72</v>
      </c>
      <c r="V114" s="6">
        <v>85.77</v>
      </c>
      <c r="X114" s="46">
        <v>45784</v>
      </c>
      <c r="Y114" s="1">
        <v>25111508</v>
      </c>
      <c r="AA114" s="1">
        <v>280018</v>
      </c>
      <c r="AC114" s="46">
        <v>45777</v>
      </c>
      <c r="AD114" s="1">
        <v>24</v>
      </c>
      <c r="AI114" s="2">
        <v>144426</v>
      </c>
      <c r="AJ114" s="2">
        <v>15686</v>
      </c>
      <c r="AK114" s="2">
        <v>2579.04</v>
      </c>
      <c r="AL114" s="2">
        <v>280.11</v>
      </c>
      <c r="AM114" s="5">
        <v>1429.57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4803.37</v>
      </c>
      <c r="AT114" s="12">
        <v>4288.72</v>
      </c>
      <c r="AU114" s="2">
        <v>85.77</v>
      </c>
      <c r="BL114" s="1" t="s">
        <v>326</v>
      </c>
    </row>
    <row r="115" spans="1:64" x14ac:dyDescent="0.3">
      <c r="A115" t="s">
        <v>1274</v>
      </c>
      <c r="B115" s="1" t="s">
        <v>1274</v>
      </c>
      <c r="C115" s="9" t="s">
        <v>1275</v>
      </c>
      <c r="D115" s="1" t="s">
        <v>43</v>
      </c>
      <c r="E115" s="1" t="s">
        <v>128</v>
      </c>
      <c r="F115" s="10" t="s">
        <v>385</v>
      </c>
      <c r="G115" s="1">
        <v>0</v>
      </c>
      <c r="H115" s="1">
        <v>0.02</v>
      </c>
      <c r="I115" s="8">
        <v>45283</v>
      </c>
      <c r="J115" s="6">
        <v>397872</v>
      </c>
      <c r="K115" s="6">
        <v>13229</v>
      </c>
      <c r="L115" s="6">
        <v>7104.86</v>
      </c>
      <c r="M115" s="6">
        <v>236.23000000000002</v>
      </c>
      <c r="N115" s="7">
        <v>3670.5499999999997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12333.04</v>
      </c>
      <c r="U115" s="6">
        <v>11011.64</v>
      </c>
      <c r="V115" s="6">
        <v>220.23000000000002</v>
      </c>
      <c r="W115" s="6">
        <v>0</v>
      </c>
      <c r="X115" s="46">
        <v>45784</v>
      </c>
      <c r="Y115" s="1">
        <v>25111509</v>
      </c>
      <c r="AA115" s="1">
        <v>280019</v>
      </c>
      <c r="AC115" s="46">
        <v>45777</v>
      </c>
      <c r="AD115" s="1">
        <v>25</v>
      </c>
      <c r="AI115" s="2">
        <v>397872</v>
      </c>
      <c r="AJ115" s="2">
        <v>13229</v>
      </c>
      <c r="AK115" s="2">
        <v>7104.86</v>
      </c>
      <c r="AL115" s="2">
        <v>236.23000000000002</v>
      </c>
      <c r="AM115" s="5">
        <v>3670.5499999999997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12333.04</v>
      </c>
      <c r="AT115" s="12">
        <v>11011.64</v>
      </c>
      <c r="AU115" s="2">
        <v>220.23000000000002</v>
      </c>
      <c r="AV115" s="5">
        <v>0</v>
      </c>
      <c r="BL115" s="1" t="s">
        <v>326</v>
      </c>
    </row>
    <row r="116" spans="1:64" x14ac:dyDescent="0.3">
      <c r="A116" t="s">
        <v>1300</v>
      </c>
      <c r="B116" s="1" t="s">
        <v>1300</v>
      </c>
      <c r="C116" s="9" t="s">
        <v>1301</v>
      </c>
      <c r="D116" s="1" t="s">
        <v>43</v>
      </c>
      <c r="E116" s="1" t="s">
        <v>88</v>
      </c>
      <c r="F116" s="10" t="s">
        <v>639</v>
      </c>
      <c r="G116" s="1">
        <v>0</v>
      </c>
      <c r="H116" s="1">
        <v>0.02</v>
      </c>
      <c r="I116" s="8">
        <v>45350</v>
      </c>
      <c r="J116" s="6">
        <v>490332.21</v>
      </c>
      <c r="K116" s="6">
        <v>36596</v>
      </c>
      <c r="L116" s="6">
        <v>8755.93</v>
      </c>
      <c r="M116" s="6">
        <v>653.5</v>
      </c>
      <c r="N116" s="7">
        <v>4704.72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15807.85</v>
      </c>
      <c r="U116" s="6">
        <v>14114.15</v>
      </c>
      <c r="V116" s="6">
        <v>282.28999999999996</v>
      </c>
      <c r="W116" s="6">
        <v>0</v>
      </c>
      <c r="X116" s="46">
        <v>45784</v>
      </c>
      <c r="Y116" s="1">
        <v>25111510</v>
      </c>
      <c r="AA116" s="1">
        <v>280020</v>
      </c>
      <c r="AC116" s="46">
        <v>45777</v>
      </c>
      <c r="AD116" s="1">
        <v>26</v>
      </c>
      <c r="AI116" s="2">
        <v>490332.21</v>
      </c>
      <c r="AJ116" s="2">
        <v>36596</v>
      </c>
      <c r="AK116" s="2">
        <v>8755.93</v>
      </c>
      <c r="AL116" s="2">
        <v>653.5</v>
      </c>
      <c r="AM116" s="5">
        <v>4704.72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15807.85</v>
      </c>
      <c r="AT116" s="12">
        <v>14114.15</v>
      </c>
      <c r="AU116" s="2">
        <v>282.28999999999996</v>
      </c>
      <c r="AV116" s="5">
        <v>0</v>
      </c>
      <c r="BL116" s="1" t="s">
        <v>90</v>
      </c>
    </row>
    <row r="117" spans="1:64" x14ac:dyDescent="0.3">
      <c r="A117" t="s">
        <v>1334</v>
      </c>
      <c r="B117" s="1" t="s">
        <v>1334</v>
      </c>
      <c r="C117" s="9" t="s">
        <v>1335</v>
      </c>
      <c r="D117" s="1" t="s">
        <v>43</v>
      </c>
      <c r="E117" s="1" t="s">
        <v>135</v>
      </c>
      <c r="F117" s="10" t="s">
        <v>144</v>
      </c>
      <c r="G117" s="1">
        <v>0</v>
      </c>
      <c r="H117" s="1">
        <v>0.02</v>
      </c>
      <c r="I117" s="8">
        <v>45252</v>
      </c>
      <c r="J117" s="6">
        <v>306851</v>
      </c>
      <c r="K117" s="6">
        <v>54782</v>
      </c>
      <c r="L117" s="6">
        <v>5479.48</v>
      </c>
      <c r="M117" s="6">
        <v>978.25</v>
      </c>
      <c r="N117" s="7">
        <v>3228.87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10848.99</v>
      </c>
      <c r="U117" s="6">
        <v>9686.5999999999985</v>
      </c>
      <c r="V117" s="6">
        <v>193.73</v>
      </c>
      <c r="X117" s="46">
        <v>45784</v>
      </c>
      <c r="Y117" s="1">
        <v>25111511</v>
      </c>
      <c r="AA117" s="1">
        <v>280021</v>
      </c>
      <c r="AC117" s="46">
        <v>45777</v>
      </c>
      <c r="AD117" s="1">
        <v>27</v>
      </c>
      <c r="AI117" s="2">
        <v>306851</v>
      </c>
      <c r="AJ117" s="2">
        <v>54782</v>
      </c>
      <c r="AK117" s="2">
        <v>5479.48</v>
      </c>
      <c r="AL117" s="2">
        <v>978.25</v>
      </c>
      <c r="AM117" s="5">
        <v>3228.87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10848.99</v>
      </c>
      <c r="AT117" s="12">
        <v>9686.5999999999985</v>
      </c>
      <c r="AU117" s="2">
        <v>193.73</v>
      </c>
      <c r="BL117" s="1" t="s">
        <v>436</v>
      </c>
    </row>
    <row r="118" spans="1:64" x14ac:dyDescent="0.3">
      <c r="A118" t="s">
        <v>1336</v>
      </c>
      <c r="B118" s="1" t="s">
        <v>1336</v>
      </c>
      <c r="C118" s="9" t="s">
        <v>1337</v>
      </c>
      <c r="D118" s="1" t="s">
        <v>43</v>
      </c>
      <c r="E118" s="1" t="s">
        <v>135</v>
      </c>
      <c r="F118" s="10" t="s">
        <v>316</v>
      </c>
      <c r="G118" s="1">
        <v>0</v>
      </c>
      <c r="H118" s="1">
        <v>0.02</v>
      </c>
      <c r="I118" s="8">
        <v>45296</v>
      </c>
      <c r="J118" s="6">
        <v>324816.23</v>
      </c>
      <c r="K118" s="6">
        <v>58650</v>
      </c>
      <c r="L118" s="6">
        <v>5800.29</v>
      </c>
      <c r="M118" s="6">
        <v>1047.32</v>
      </c>
      <c r="N118" s="7">
        <v>3423.8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11503.98</v>
      </c>
      <c r="U118" s="6">
        <v>10271.41</v>
      </c>
      <c r="V118" s="6">
        <v>205.43</v>
      </c>
      <c r="X118" s="46">
        <v>45784</v>
      </c>
      <c r="Y118" s="1">
        <v>25111512</v>
      </c>
      <c r="AA118" s="1">
        <v>280022</v>
      </c>
      <c r="AC118" s="46">
        <v>45777</v>
      </c>
      <c r="AD118" s="1">
        <v>28</v>
      </c>
      <c r="AI118" s="2">
        <v>324816.23</v>
      </c>
      <c r="AJ118" s="2">
        <v>58650</v>
      </c>
      <c r="AK118" s="2">
        <v>5800.29</v>
      </c>
      <c r="AL118" s="2">
        <v>1047.32</v>
      </c>
      <c r="AM118" s="5">
        <v>3423.8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11503.98</v>
      </c>
      <c r="AT118" s="12">
        <v>10271.41</v>
      </c>
      <c r="AU118" s="2">
        <v>205.43</v>
      </c>
      <c r="BL118" s="1" t="s">
        <v>302</v>
      </c>
    </row>
    <row r="119" spans="1:64" x14ac:dyDescent="0.3">
      <c r="A119" t="s">
        <v>1351</v>
      </c>
      <c r="B119" s="1" t="s">
        <v>1351</v>
      </c>
      <c r="C119" s="9" t="s">
        <v>1352</v>
      </c>
      <c r="D119" s="1" t="s">
        <v>43</v>
      </c>
      <c r="E119" s="1" t="s">
        <v>135</v>
      </c>
      <c r="F119" s="10" t="s">
        <v>144</v>
      </c>
      <c r="G119" s="1">
        <v>0</v>
      </c>
      <c r="H119" s="1">
        <v>0.02</v>
      </c>
      <c r="I119" s="8">
        <v>45311</v>
      </c>
      <c r="J119" s="6">
        <v>528102</v>
      </c>
      <c r="K119" s="6">
        <v>75624</v>
      </c>
      <c r="L119" s="6">
        <v>9430.39</v>
      </c>
      <c r="M119" s="6">
        <v>1350.43</v>
      </c>
      <c r="N119" s="7">
        <v>5390.41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18111.78</v>
      </c>
      <c r="U119" s="6">
        <v>16171.23</v>
      </c>
      <c r="V119" s="6">
        <v>323.42</v>
      </c>
      <c r="X119" s="46">
        <v>45784</v>
      </c>
      <c r="Y119" s="1">
        <v>25111513</v>
      </c>
      <c r="AA119" s="1">
        <v>280023</v>
      </c>
      <c r="AC119" s="46">
        <v>45777</v>
      </c>
      <c r="AD119" s="1">
        <v>29</v>
      </c>
      <c r="AI119" s="2">
        <v>528102</v>
      </c>
      <c r="AJ119" s="2">
        <v>75624</v>
      </c>
      <c r="AK119" s="2">
        <v>9430.39</v>
      </c>
      <c r="AL119" s="2">
        <v>1350.43</v>
      </c>
      <c r="AM119" s="5">
        <v>5390.41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18111.78</v>
      </c>
      <c r="AT119" s="12">
        <v>16171.23</v>
      </c>
      <c r="AU119" s="2">
        <v>323.42</v>
      </c>
      <c r="BL119" s="1" t="s">
        <v>137</v>
      </c>
    </row>
    <row r="120" spans="1:64" x14ac:dyDescent="0.3">
      <c r="A120" t="s">
        <v>1353</v>
      </c>
      <c r="B120" s="1" t="s">
        <v>1353</v>
      </c>
      <c r="C120" s="9" t="s">
        <v>1354</v>
      </c>
      <c r="D120" s="1" t="s">
        <v>43</v>
      </c>
      <c r="E120" s="1" t="s">
        <v>135</v>
      </c>
      <c r="F120" s="10" t="s">
        <v>583</v>
      </c>
      <c r="G120" s="1">
        <v>0</v>
      </c>
      <c r="H120" s="1">
        <v>0.02</v>
      </c>
      <c r="I120" s="8">
        <v>45297</v>
      </c>
      <c r="J120" s="6">
        <v>315610</v>
      </c>
      <c r="K120" s="6">
        <v>29305</v>
      </c>
      <c r="L120" s="6">
        <v>5635.89</v>
      </c>
      <c r="M120" s="6">
        <v>523.29999999999995</v>
      </c>
      <c r="N120" s="7">
        <v>3079.6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10347.44</v>
      </c>
      <c r="U120" s="6">
        <v>9238.7900000000009</v>
      </c>
      <c r="V120" s="6">
        <v>184.78</v>
      </c>
      <c r="X120" s="46">
        <v>45784</v>
      </c>
      <c r="Y120" s="1">
        <v>25111514</v>
      </c>
      <c r="AA120" s="1">
        <v>280024</v>
      </c>
      <c r="AC120" s="46">
        <v>45777</v>
      </c>
      <c r="AD120" s="1">
        <v>30</v>
      </c>
      <c r="AI120" s="2">
        <v>315610</v>
      </c>
      <c r="AJ120" s="2">
        <v>29305</v>
      </c>
      <c r="AK120" s="2">
        <v>5635.89</v>
      </c>
      <c r="AL120" s="2">
        <v>523.29999999999995</v>
      </c>
      <c r="AM120" s="5">
        <v>3079.6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10347.44</v>
      </c>
      <c r="AT120" s="12">
        <v>9238.7900000000009</v>
      </c>
      <c r="AU120" s="2">
        <v>184.78</v>
      </c>
      <c r="BL120" s="1" t="s">
        <v>137</v>
      </c>
    </row>
    <row r="121" spans="1:64" x14ac:dyDescent="0.3">
      <c r="A121" t="s">
        <v>1379</v>
      </c>
      <c r="B121" s="1" t="s">
        <v>1380</v>
      </c>
      <c r="C121" s="9" t="s">
        <v>1381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45198</v>
      </c>
      <c r="J121" s="6">
        <v>1021467.8999999999</v>
      </c>
      <c r="K121" s="6">
        <v>90030</v>
      </c>
      <c r="L121" s="6">
        <v>18240.5</v>
      </c>
      <c r="M121" s="6">
        <v>1607.67</v>
      </c>
      <c r="N121" s="7">
        <v>9924.09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33344.93</v>
      </c>
      <c r="U121" s="6">
        <v>29772.260000000002</v>
      </c>
      <c r="V121" s="6">
        <v>595.45000000000005</v>
      </c>
      <c r="W121" s="6">
        <v>0</v>
      </c>
      <c r="X121" s="46">
        <v>45784</v>
      </c>
      <c r="Y121" s="1">
        <v>25111515</v>
      </c>
      <c r="AA121" s="1">
        <v>280025</v>
      </c>
      <c r="AC121" s="46">
        <v>45777</v>
      </c>
      <c r="AD121" s="1">
        <v>31</v>
      </c>
      <c r="AI121" s="2">
        <v>1021467.8999999999</v>
      </c>
      <c r="AJ121" s="2">
        <v>90030</v>
      </c>
      <c r="AK121" s="2">
        <v>18240.5</v>
      </c>
      <c r="AL121" s="2">
        <v>1607.67</v>
      </c>
      <c r="AM121" s="5">
        <v>9924.09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33344.93</v>
      </c>
      <c r="AT121" s="12">
        <v>29772.260000000002</v>
      </c>
      <c r="AU121" s="2">
        <v>595.45000000000005</v>
      </c>
      <c r="AV121" s="5">
        <v>0</v>
      </c>
      <c r="BL121" s="1" t="s">
        <v>137</v>
      </c>
    </row>
    <row r="122" spans="1:64" x14ac:dyDescent="0.3">
      <c r="A122" t="s">
        <v>86</v>
      </c>
      <c r="B122" s="1" t="s">
        <v>86</v>
      </c>
      <c r="C122" s="9" t="s">
        <v>87</v>
      </c>
      <c r="D122" s="1" t="s">
        <v>44</v>
      </c>
      <c r="E122" s="1" t="s">
        <v>88</v>
      </c>
      <c r="F122" s="10" t="s">
        <v>89</v>
      </c>
      <c r="G122" s="1">
        <v>0</v>
      </c>
      <c r="H122" s="1">
        <v>0.02</v>
      </c>
      <c r="I122" s="8">
        <v>44328</v>
      </c>
      <c r="J122" s="6">
        <v>686000.96</v>
      </c>
      <c r="K122" s="6">
        <v>137543</v>
      </c>
      <c r="L122" s="6">
        <v>12250.02</v>
      </c>
      <c r="M122" s="6">
        <v>2456.13</v>
      </c>
      <c r="N122" s="7">
        <v>7353.07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24706.33</v>
      </c>
      <c r="U122" s="6">
        <v>22059.22</v>
      </c>
      <c r="V122" s="6">
        <v>441.18</v>
      </c>
      <c r="W122" s="6">
        <v>0</v>
      </c>
      <c r="X122" s="46">
        <v>45784</v>
      </c>
      <c r="Y122" s="1">
        <v>25111516</v>
      </c>
      <c r="AA122" s="1">
        <v>280026</v>
      </c>
      <c r="AC122" s="46">
        <v>45777</v>
      </c>
      <c r="AD122" s="1">
        <v>1</v>
      </c>
      <c r="AI122" s="2">
        <v>686000.96</v>
      </c>
      <c r="AJ122" s="2">
        <v>137543</v>
      </c>
      <c r="AK122" s="2">
        <v>12250.02</v>
      </c>
      <c r="AL122" s="2">
        <v>2456.13</v>
      </c>
      <c r="AM122" s="5">
        <v>7353.07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24706.33</v>
      </c>
      <c r="AT122" s="12">
        <v>22059.22</v>
      </c>
      <c r="AU122" s="2">
        <v>441.18</v>
      </c>
      <c r="AV122" s="5">
        <v>0</v>
      </c>
      <c r="BL122" s="1" t="s">
        <v>90</v>
      </c>
    </row>
    <row r="123" spans="1:64" x14ac:dyDescent="0.3">
      <c r="A123" t="s">
        <v>99</v>
      </c>
      <c r="B123" s="1" t="s">
        <v>99</v>
      </c>
      <c r="C123" s="9" t="s">
        <v>100</v>
      </c>
      <c r="D123" s="1" t="s">
        <v>44</v>
      </c>
      <c r="E123" s="1" t="s">
        <v>88</v>
      </c>
      <c r="F123" s="10" t="s">
        <v>101</v>
      </c>
      <c r="G123" s="1">
        <v>2.5000000000000001E-2</v>
      </c>
      <c r="H123" s="1">
        <v>0.02</v>
      </c>
      <c r="I123" s="8">
        <v>45725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AI123" s="2">
        <v>0</v>
      </c>
      <c r="AJ123" s="2">
        <v>0</v>
      </c>
      <c r="AK123" s="2">
        <v>0</v>
      </c>
      <c r="AL123" s="2">
        <v>0</v>
      </c>
      <c r="AM123" s="5">
        <v>0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0</v>
      </c>
      <c r="AT123" s="12">
        <v>0</v>
      </c>
      <c r="AU123" s="2">
        <v>0</v>
      </c>
      <c r="BL123" s="1" t="s">
        <v>90</v>
      </c>
    </row>
    <row r="124" spans="1:64" x14ac:dyDescent="0.3">
      <c r="A124" t="s">
        <v>102</v>
      </c>
      <c r="B124" s="1" t="s">
        <v>102</v>
      </c>
      <c r="C124" s="9" t="s">
        <v>103</v>
      </c>
      <c r="D124" s="1" t="s">
        <v>44</v>
      </c>
      <c r="E124" s="1" t="s">
        <v>88</v>
      </c>
      <c r="F124" s="10" t="s">
        <v>104</v>
      </c>
      <c r="G124" s="1">
        <v>2.5000000000000001E-2</v>
      </c>
      <c r="H124" s="1">
        <v>0.02</v>
      </c>
      <c r="I124" s="8">
        <v>44009</v>
      </c>
      <c r="J124" s="6">
        <v>501089</v>
      </c>
      <c r="K124" s="6">
        <v>147476</v>
      </c>
      <c r="L124" s="6">
        <v>8948.02</v>
      </c>
      <c r="M124" s="6">
        <v>2633.5</v>
      </c>
      <c r="N124" s="7">
        <v>5790.76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19456.95</v>
      </c>
      <c r="U124" s="6">
        <v>17372.28</v>
      </c>
      <c r="V124" s="6">
        <v>347.45</v>
      </c>
      <c r="X124" s="46">
        <v>45784</v>
      </c>
      <c r="Y124" s="1">
        <v>25111517</v>
      </c>
      <c r="AA124" s="1">
        <v>280027</v>
      </c>
      <c r="AC124" s="46">
        <v>45777</v>
      </c>
      <c r="AD124" s="1">
        <v>2</v>
      </c>
      <c r="AI124" s="2">
        <v>501089</v>
      </c>
      <c r="AJ124" s="2">
        <v>147476</v>
      </c>
      <c r="AK124" s="2">
        <v>8948.02</v>
      </c>
      <c r="AL124" s="2">
        <v>2633.5</v>
      </c>
      <c r="AM124" s="5">
        <v>5790.76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19456.95</v>
      </c>
      <c r="AT124" s="12">
        <v>17372.28</v>
      </c>
      <c r="AU124" s="2">
        <v>347.45</v>
      </c>
      <c r="BL124" s="1" t="s">
        <v>90</v>
      </c>
    </row>
    <row r="125" spans="1:64" x14ac:dyDescent="0.3">
      <c r="A125" t="s">
        <v>112</v>
      </c>
      <c r="B125" s="1" t="s">
        <v>112</v>
      </c>
      <c r="C125" s="9" t="s">
        <v>113</v>
      </c>
      <c r="D125" s="1" t="s">
        <v>44</v>
      </c>
      <c r="E125" s="1" t="s">
        <v>88</v>
      </c>
      <c r="F125" s="10" t="s">
        <v>114</v>
      </c>
      <c r="G125" s="1">
        <v>2.5000000000000001E-2</v>
      </c>
      <c r="H125" s="1">
        <v>0.02</v>
      </c>
      <c r="I125" s="8">
        <v>45657</v>
      </c>
      <c r="J125" s="6">
        <v>492066.38</v>
      </c>
      <c r="K125" s="6">
        <v>122615.23</v>
      </c>
      <c r="L125" s="6">
        <v>8786.9</v>
      </c>
      <c r="M125" s="6">
        <v>2189.5500000000002</v>
      </c>
      <c r="N125" s="7">
        <v>5488.23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18440.439999999999</v>
      </c>
      <c r="U125" s="6">
        <v>16464.68</v>
      </c>
      <c r="V125" s="6">
        <v>329.29</v>
      </c>
      <c r="X125" s="46">
        <v>45784</v>
      </c>
      <c r="Y125" s="1">
        <v>25111518</v>
      </c>
      <c r="AA125" s="1">
        <v>280028</v>
      </c>
      <c r="AC125" s="46">
        <v>45777</v>
      </c>
      <c r="AD125" s="1">
        <v>3</v>
      </c>
      <c r="AI125" s="2">
        <v>492066.38</v>
      </c>
      <c r="AJ125" s="2">
        <v>122615.23</v>
      </c>
      <c r="AK125" s="2">
        <v>8786.9</v>
      </c>
      <c r="AL125" s="2">
        <v>2189.5500000000002</v>
      </c>
      <c r="AM125" s="5">
        <v>5488.23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18440.439999999999</v>
      </c>
      <c r="AT125" s="12">
        <v>16464.68</v>
      </c>
      <c r="AU125" s="2">
        <v>329.29</v>
      </c>
      <c r="BL125" s="1" t="s">
        <v>90</v>
      </c>
    </row>
    <row r="126" spans="1:64" x14ac:dyDescent="0.3">
      <c r="A126" t="s">
        <v>118</v>
      </c>
      <c r="B126" s="1" t="s">
        <v>118</v>
      </c>
      <c r="C126" s="9" t="s">
        <v>119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44009</v>
      </c>
      <c r="J126" s="6">
        <v>738405.79</v>
      </c>
      <c r="K126" s="6">
        <v>151545</v>
      </c>
      <c r="L126" s="6">
        <v>13185.82</v>
      </c>
      <c r="M126" s="6">
        <v>2706.16</v>
      </c>
      <c r="N126" s="7">
        <v>7945.99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26698.53</v>
      </c>
      <c r="U126" s="6">
        <v>23837.97</v>
      </c>
      <c r="V126" s="6">
        <v>476.76</v>
      </c>
      <c r="X126" s="46">
        <v>45784</v>
      </c>
      <c r="Y126" s="1">
        <v>25111519</v>
      </c>
      <c r="AA126" s="1">
        <v>280029</v>
      </c>
      <c r="AC126" s="46">
        <v>45777</v>
      </c>
      <c r="AD126" s="1">
        <v>4</v>
      </c>
      <c r="AI126" s="2">
        <v>738405.79</v>
      </c>
      <c r="AJ126" s="2">
        <v>151545</v>
      </c>
      <c r="AK126" s="2">
        <v>13185.82</v>
      </c>
      <c r="AL126" s="2">
        <v>2706.16</v>
      </c>
      <c r="AM126" s="5">
        <v>7945.99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26698.53</v>
      </c>
      <c r="AT126" s="12">
        <v>23837.97</v>
      </c>
      <c r="AU126" s="2">
        <v>476.76</v>
      </c>
      <c r="BL126" s="1" t="s">
        <v>90</v>
      </c>
    </row>
    <row r="127" spans="1:64" x14ac:dyDescent="0.3">
      <c r="A127" t="s">
        <v>156</v>
      </c>
      <c r="B127" s="1" t="s">
        <v>156</v>
      </c>
      <c r="C127" s="9" t="s">
        <v>157</v>
      </c>
      <c r="D127" s="1" t="s">
        <v>44</v>
      </c>
      <c r="E127" s="1" t="s">
        <v>88</v>
      </c>
      <c r="F127" s="10" t="s">
        <v>101</v>
      </c>
      <c r="G127" s="1">
        <v>2.5000000000000001E-2</v>
      </c>
      <c r="H127" s="1">
        <v>0.02</v>
      </c>
      <c r="I127" s="8">
        <v>45716</v>
      </c>
      <c r="J127" s="6">
        <v>257922.99000000002</v>
      </c>
      <c r="K127" s="6">
        <v>90327.91</v>
      </c>
      <c r="L127" s="6">
        <v>4605.7700000000004</v>
      </c>
      <c r="M127" s="6">
        <v>1613</v>
      </c>
      <c r="N127" s="7">
        <v>3109.38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10447.530000000001</v>
      </c>
      <c r="U127" s="6">
        <v>9328.1500000000015</v>
      </c>
      <c r="V127" s="6">
        <v>186.56</v>
      </c>
      <c r="X127" s="46">
        <v>45784</v>
      </c>
      <c r="Y127" s="1">
        <v>25111520</v>
      </c>
      <c r="AA127" s="1">
        <v>280030</v>
      </c>
      <c r="AC127" s="46">
        <v>45777</v>
      </c>
      <c r="AD127" s="1">
        <v>5</v>
      </c>
      <c r="AI127" s="2">
        <v>257922.99000000002</v>
      </c>
      <c r="AJ127" s="2">
        <v>90327.91</v>
      </c>
      <c r="AK127" s="2">
        <v>4605.7700000000004</v>
      </c>
      <c r="AL127" s="2">
        <v>1613</v>
      </c>
      <c r="AM127" s="5">
        <v>3109.38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10447.530000000001</v>
      </c>
      <c r="AT127" s="12">
        <v>9328.1500000000015</v>
      </c>
      <c r="AU127" s="2">
        <v>186.56</v>
      </c>
      <c r="BL127" s="1" t="s">
        <v>90</v>
      </c>
    </row>
    <row r="128" spans="1:64" x14ac:dyDescent="0.3">
      <c r="A128" t="s">
        <v>164</v>
      </c>
      <c r="B128" s="1" t="s">
        <v>164</v>
      </c>
      <c r="C128" s="9" t="s">
        <v>165</v>
      </c>
      <c r="D128" s="1" t="s">
        <v>44</v>
      </c>
      <c r="E128" s="1" t="s">
        <v>88</v>
      </c>
      <c r="F128" s="10" t="s">
        <v>89</v>
      </c>
      <c r="G128" s="1">
        <v>2.5000000000000001E-2</v>
      </c>
      <c r="H128" s="1">
        <v>0.02</v>
      </c>
      <c r="I128" s="8">
        <v>45657</v>
      </c>
      <c r="J128" s="6">
        <v>1147589</v>
      </c>
      <c r="K128" s="6">
        <v>292489</v>
      </c>
      <c r="L128" s="6">
        <v>20492.66</v>
      </c>
      <c r="M128" s="6">
        <v>5223.0200000000004</v>
      </c>
      <c r="N128" s="7">
        <v>12857.84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43202.34</v>
      </c>
      <c r="U128" s="6">
        <v>38573.520000000004</v>
      </c>
      <c r="V128" s="6">
        <v>771.47</v>
      </c>
      <c r="W128" s="6">
        <v>0</v>
      </c>
      <c r="X128" s="46">
        <v>45784</v>
      </c>
      <c r="Y128" s="1">
        <v>25111521</v>
      </c>
      <c r="AA128" s="1">
        <v>280031</v>
      </c>
      <c r="AC128" s="46">
        <v>45777</v>
      </c>
      <c r="AD128" s="1">
        <v>6</v>
      </c>
      <c r="AI128" s="2">
        <v>1147589</v>
      </c>
      <c r="AJ128" s="2">
        <v>292489</v>
      </c>
      <c r="AK128" s="2">
        <v>20492.66</v>
      </c>
      <c r="AL128" s="2">
        <v>5223.0200000000004</v>
      </c>
      <c r="AM128" s="5">
        <v>12857.84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43202.34</v>
      </c>
      <c r="AT128" s="12">
        <v>38573.520000000004</v>
      </c>
      <c r="AU128" s="2">
        <v>771.47</v>
      </c>
      <c r="AV128" s="5">
        <v>0</v>
      </c>
      <c r="BL128" s="1" t="s">
        <v>90</v>
      </c>
    </row>
    <row r="129" spans="1:64" x14ac:dyDescent="0.3">
      <c r="A129" t="s">
        <v>170</v>
      </c>
      <c r="B129" s="1" t="s">
        <v>170</v>
      </c>
      <c r="C129" s="9" t="s">
        <v>171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464474.52999999997</v>
      </c>
      <c r="K129" s="6">
        <v>142256.16999999998</v>
      </c>
      <c r="L129" s="6">
        <v>8294.19</v>
      </c>
      <c r="M129" s="6">
        <v>2540.2799999999997</v>
      </c>
      <c r="N129" s="7">
        <v>5417.24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18201.919999999998</v>
      </c>
      <c r="U129" s="6">
        <v>16251.71</v>
      </c>
      <c r="V129" s="6">
        <v>325.02999999999997</v>
      </c>
      <c r="W129" s="6">
        <v>0</v>
      </c>
      <c r="X129" s="46">
        <v>45784</v>
      </c>
      <c r="Y129" s="1">
        <v>25111522</v>
      </c>
      <c r="AA129" s="1">
        <v>280032</v>
      </c>
      <c r="AC129" s="46">
        <v>45777</v>
      </c>
      <c r="AD129" s="1">
        <v>7</v>
      </c>
      <c r="AI129" s="2">
        <v>464474.52999999997</v>
      </c>
      <c r="AJ129" s="2">
        <v>142256.16999999998</v>
      </c>
      <c r="AK129" s="2">
        <v>8294.19</v>
      </c>
      <c r="AL129" s="2">
        <v>2540.2799999999997</v>
      </c>
      <c r="AM129" s="5">
        <v>5417.24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18201.919999999998</v>
      </c>
      <c r="AT129" s="12">
        <v>16251.71</v>
      </c>
      <c r="AU129" s="2">
        <v>325.02999999999997</v>
      </c>
      <c r="AV129" s="5">
        <v>0</v>
      </c>
      <c r="BL129" s="1" t="s">
        <v>90</v>
      </c>
    </row>
    <row r="130" spans="1:64" x14ac:dyDescent="0.3">
      <c r="A130" t="s">
        <v>174</v>
      </c>
      <c r="B130" s="1" t="s">
        <v>174</v>
      </c>
      <c r="C130" s="9" t="s">
        <v>175</v>
      </c>
      <c r="D130" s="1" t="s">
        <v>44</v>
      </c>
      <c r="E130" s="1" t="s">
        <v>88</v>
      </c>
      <c r="F130" s="10" t="s">
        <v>104</v>
      </c>
      <c r="G130" s="1">
        <v>2.5000000000000001E-2</v>
      </c>
      <c r="H130" s="1">
        <v>0.02</v>
      </c>
      <c r="I130" s="8">
        <v>44051</v>
      </c>
      <c r="J130" s="6">
        <v>584693</v>
      </c>
      <c r="K130" s="6">
        <v>153868.75</v>
      </c>
      <c r="L130" s="6">
        <v>10440.950000000001</v>
      </c>
      <c r="M130" s="6">
        <v>2747.66</v>
      </c>
      <c r="N130" s="7">
        <v>6594.3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22156.86</v>
      </c>
      <c r="U130" s="6">
        <v>19782.91</v>
      </c>
      <c r="V130" s="6">
        <v>395.66</v>
      </c>
      <c r="X130" s="46">
        <v>45784</v>
      </c>
      <c r="Y130" s="1">
        <v>25111523</v>
      </c>
      <c r="AA130" s="1">
        <v>280033</v>
      </c>
      <c r="AC130" s="46">
        <v>45777</v>
      </c>
      <c r="AD130" s="1">
        <v>8</v>
      </c>
      <c r="AI130" s="2">
        <v>584693</v>
      </c>
      <c r="AJ130" s="2">
        <v>153868.75</v>
      </c>
      <c r="AK130" s="2">
        <v>10440.950000000001</v>
      </c>
      <c r="AL130" s="2">
        <v>2747.66</v>
      </c>
      <c r="AM130" s="5">
        <v>6594.3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22156.86</v>
      </c>
      <c r="AT130" s="12">
        <v>19782.91</v>
      </c>
      <c r="AU130" s="2">
        <v>395.66</v>
      </c>
      <c r="BL130" s="1" t="s">
        <v>90</v>
      </c>
    </row>
    <row r="131" spans="1:64" x14ac:dyDescent="0.3">
      <c r="A131" t="s">
        <v>176</v>
      </c>
      <c r="B131" s="1" t="s">
        <v>176</v>
      </c>
      <c r="C131" s="9" t="s">
        <v>177</v>
      </c>
      <c r="D131" s="1" t="s">
        <v>44</v>
      </c>
      <c r="E131" s="1" t="s">
        <v>88</v>
      </c>
      <c r="F131" s="10" t="s">
        <v>178</v>
      </c>
      <c r="G131" s="1">
        <v>2.5000000000000001E-2</v>
      </c>
      <c r="H131" s="1">
        <v>0.02</v>
      </c>
      <c r="I131" s="8">
        <v>44358</v>
      </c>
      <c r="J131" s="6">
        <v>506334.08</v>
      </c>
      <c r="K131" s="6">
        <v>98633.97</v>
      </c>
      <c r="L131" s="6">
        <v>9041.68</v>
      </c>
      <c r="M131" s="6">
        <v>1761.32</v>
      </c>
      <c r="N131" s="7">
        <v>5401.5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18149.04</v>
      </c>
      <c r="U131" s="6">
        <v>16204.5</v>
      </c>
      <c r="V131" s="6">
        <v>324.08999999999997</v>
      </c>
      <c r="X131" s="46">
        <v>45784</v>
      </c>
      <c r="Y131" s="1">
        <v>25111524</v>
      </c>
      <c r="AA131" s="1">
        <v>280034</v>
      </c>
      <c r="AC131" s="46">
        <v>45777</v>
      </c>
      <c r="AD131" s="1">
        <v>9</v>
      </c>
      <c r="AI131" s="2">
        <v>506334.08</v>
      </c>
      <c r="AJ131" s="2">
        <v>98633.97</v>
      </c>
      <c r="AK131" s="2">
        <v>9041.68</v>
      </c>
      <c r="AL131" s="2">
        <v>1761.32</v>
      </c>
      <c r="AM131" s="5">
        <v>5401.5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18149.04</v>
      </c>
      <c r="AT131" s="12">
        <v>16204.5</v>
      </c>
      <c r="AU131" s="2">
        <v>324.08999999999997</v>
      </c>
      <c r="BL131" s="1" t="s">
        <v>90</v>
      </c>
    </row>
    <row r="132" spans="1:64" x14ac:dyDescent="0.3">
      <c r="A132" t="s">
        <v>179</v>
      </c>
      <c r="B132" s="1" t="s">
        <v>179</v>
      </c>
      <c r="C132" s="9" t="s">
        <v>180</v>
      </c>
      <c r="D132" s="1" t="s">
        <v>44</v>
      </c>
      <c r="E132" s="1" t="s">
        <v>88</v>
      </c>
      <c r="F132" s="10" t="s">
        <v>181</v>
      </c>
      <c r="G132" s="1">
        <v>2.5000000000000001E-2</v>
      </c>
      <c r="H132" s="1">
        <v>0.02</v>
      </c>
      <c r="I132" s="8">
        <v>45657</v>
      </c>
      <c r="J132" s="6">
        <v>561775.25</v>
      </c>
      <c r="K132" s="6">
        <v>211818</v>
      </c>
      <c r="L132" s="6">
        <v>10031.69</v>
      </c>
      <c r="M132" s="6">
        <v>3782.46</v>
      </c>
      <c r="N132" s="7">
        <v>6907.0700000000006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23207.77</v>
      </c>
      <c r="U132" s="6">
        <v>20721.22</v>
      </c>
      <c r="V132" s="6">
        <v>414.42</v>
      </c>
      <c r="W132" s="6">
        <v>0</v>
      </c>
      <c r="X132" s="46">
        <v>45784</v>
      </c>
      <c r="Y132" s="1">
        <v>25111525</v>
      </c>
      <c r="AA132" s="1">
        <v>280035</v>
      </c>
      <c r="AC132" s="46">
        <v>45777</v>
      </c>
      <c r="AD132" s="1">
        <v>10</v>
      </c>
      <c r="AI132" s="2">
        <v>561775.25</v>
      </c>
      <c r="AJ132" s="2">
        <v>211818</v>
      </c>
      <c r="AK132" s="2">
        <v>10031.69</v>
      </c>
      <c r="AL132" s="2">
        <v>3782.46</v>
      </c>
      <c r="AM132" s="5">
        <v>6907.0700000000006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23207.77</v>
      </c>
      <c r="AT132" s="12">
        <v>20721.22</v>
      </c>
      <c r="AU132" s="2">
        <v>414.42</v>
      </c>
      <c r="AV132" s="5">
        <v>0</v>
      </c>
      <c r="BL132" s="1" t="s">
        <v>90</v>
      </c>
    </row>
    <row r="133" spans="1:64" x14ac:dyDescent="0.3">
      <c r="A133" t="s">
        <v>186</v>
      </c>
      <c r="B133" s="1" t="s">
        <v>186</v>
      </c>
      <c r="C133" s="9" t="s">
        <v>187</v>
      </c>
      <c r="D133" s="1" t="s">
        <v>44</v>
      </c>
      <c r="E133" s="1" t="s">
        <v>88</v>
      </c>
      <c r="F133" s="10" t="s">
        <v>188</v>
      </c>
      <c r="G133" s="1">
        <v>2.5000000000000001E-2</v>
      </c>
      <c r="H133" s="1">
        <v>0.02</v>
      </c>
      <c r="I133" s="8">
        <v>44396</v>
      </c>
      <c r="J133" s="6">
        <v>690102.66999999993</v>
      </c>
      <c r="K133" s="6">
        <v>147713.5</v>
      </c>
      <c r="L133" s="6">
        <v>12323.26</v>
      </c>
      <c r="M133" s="6">
        <v>2637.75</v>
      </c>
      <c r="N133" s="7">
        <v>7480.51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25134.5</v>
      </c>
      <c r="U133" s="6">
        <v>22441.52</v>
      </c>
      <c r="V133" s="6">
        <v>448.83000000000004</v>
      </c>
      <c r="W133" s="6">
        <v>0</v>
      </c>
      <c r="X133" s="46">
        <v>45784</v>
      </c>
      <c r="Y133" s="1">
        <v>25111526</v>
      </c>
      <c r="AA133" s="1">
        <v>280036</v>
      </c>
      <c r="AC133" s="46">
        <v>45777</v>
      </c>
      <c r="AD133" s="1">
        <v>11</v>
      </c>
      <c r="AI133" s="2">
        <v>690102.66999999993</v>
      </c>
      <c r="AJ133" s="2">
        <v>147713.5</v>
      </c>
      <c r="AK133" s="2">
        <v>12323.26</v>
      </c>
      <c r="AL133" s="2">
        <v>2637.75</v>
      </c>
      <c r="AM133" s="5">
        <v>7480.51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25134.5</v>
      </c>
      <c r="AT133" s="12">
        <v>22441.52</v>
      </c>
      <c r="AU133" s="2">
        <v>448.83000000000004</v>
      </c>
      <c r="AV133" s="5">
        <v>0</v>
      </c>
      <c r="BL133" s="1" t="s">
        <v>90</v>
      </c>
    </row>
    <row r="134" spans="1:64" x14ac:dyDescent="0.3">
      <c r="A134" t="s">
        <v>204</v>
      </c>
      <c r="B134" s="1" t="s">
        <v>204</v>
      </c>
      <c r="C134" s="9" t="s">
        <v>205</v>
      </c>
      <c r="D134" s="1" t="s">
        <v>44</v>
      </c>
      <c r="E134" s="1" t="s">
        <v>88</v>
      </c>
      <c r="F134" s="10" t="s">
        <v>181</v>
      </c>
      <c r="G134" s="1">
        <v>2.5000000000000001E-2</v>
      </c>
      <c r="H134" s="1">
        <v>0.02</v>
      </c>
      <c r="I134" s="8">
        <v>45657</v>
      </c>
      <c r="J134" s="6">
        <v>690511.8</v>
      </c>
      <c r="K134" s="6">
        <v>184692</v>
      </c>
      <c r="L134" s="6">
        <v>12330.57</v>
      </c>
      <c r="M134" s="6">
        <v>3298.08</v>
      </c>
      <c r="N134" s="7">
        <v>7814.32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26256.13</v>
      </c>
      <c r="U134" s="6">
        <v>23442.97</v>
      </c>
      <c r="V134" s="6">
        <v>468.86</v>
      </c>
      <c r="W134" s="6">
        <v>0</v>
      </c>
      <c r="X134" s="46">
        <v>45784</v>
      </c>
      <c r="Y134" s="1">
        <v>25111527</v>
      </c>
      <c r="AA134" s="1">
        <v>280037</v>
      </c>
      <c r="AC134" s="46">
        <v>45777</v>
      </c>
      <c r="AD134" s="1">
        <v>12</v>
      </c>
      <c r="AI134" s="2">
        <v>690511.8</v>
      </c>
      <c r="AJ134" s="2">
        <v>184692</v>
      </c>
      <c r="AK134" s="2">
        <v>12330.57</v>
      </c>
      <c r="AL134" s="2">
        <v>3298.08</v>
      </c>
      <c r="AM134" s="5">
        <v>7814.32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26256.13</v>
      </c>
      <c r="AT134" s="12">
        <v>23442.97</v>
      </c>
      <c r="AU134" s="2">
        <v>468.86</v>
      </c>
      <c r="AV134" s="5">
        <v>0</v>
      </c>
      <c r="BL134" s="1" t="s">
        <v>90</v>
      </c>
    </row>
    <row r="135" spans="1:64" x14ac:dyDescent="0.3">
      <c r="A135" t="s">
        <v>208</v>
      </c>
      <c r="B135" s="1" t="s">
        <v>208</v>
      </c>
      <c r="C135" s="9" t="s">
        <v>209</v>
      </c>
      <c r="D135" s="1" t="s">
        <v>44</v>
      </c>
      <c r="E135" s="1" t="s">
        <v>88</v>
      </c>
      <c r="F135" s="10" t="s">
        <v>181</v>
      </c>
      <c r="G135" s="1">
        <v>2.5000000000000001E-2</v>
      </c>
      <c r="H135" s="1">
        <v>0.02</v>
      </c>
      <c r="I135" s="8">
        <v>45752</v>
      </c>
      <c r="J135" s="6">
        <v>562197.15</v>
      </c>
      <c r="K135" s="6">
        <v>155127</v>
      </c>
      <c r="L135" s="6">
        <v>10319.27</v>
      </c>
      <c r="M135" s="6">
        <v>2841.77</v>
      </c>
      <c r="N135" s="7">
        <v>6404.6799999999994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21913.61</v>
      </c>
      <c r="U135" s="6">
        <v>19565.72</v>
      </c>
      <c r="V135" s="6">
        <v>391.30999999999995</v>
      </c>
      <c r="W135" s="6">
        <v>0</v>
      </c>
      <c r="X135" s="46">
        <v>45784</v>
      </c>
      <c r="Y135" s="1">
        <v>25111528</v>
      </c>
      <c r="AA135" s="1">
        <v>280038</v>
      </c>
      <c r="AC135" s="46">
        <v>45777</v>
      </c>
      <c r="AD135" s="1">
        <v>13</v>
      </c>
      <c r="AI135" s="2">
        <v>562197.15</v>
      </c>
      <c r="AJ135" s="2">
        <v>155127</v>
      </c>
      <c r="AK135" s="2">
        <v>10319.27</v>
      </c>
      <c r="AL135" s="2">
        <v>2841.77</v>
      </c>
      <c r="AM135" s="5">
        <v>6404.6799999999994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21913.61</v>
      </c>
      <c r="AT135" s="12">
        <v>19565.72</v>
      </c>
      <c r="AU135" s="2">
        <v>391.30999999999995</v>
      </c>
      <c r="AV135" s="5">
        <v>0</v>
      </c>
      <c r="BL135" s="1" t="s">
        <v>90</v>
      </c>
    </row>
    <row r="136" spans="1:64" x14ac:dyDescent="0.3">
      <c r="A136" t="s">
        <v>214</v>
      </c>
      <c r="B136" s="1" t="s">
        <v>214</v>
      </c>
      <c r="C136" s="9" t="s">
        <v>215</v>
      </c>
      <c r="D136" s="1" t="s">
        <v>44</v>
      </c>
      <c r="E136" s="1" t="s">
        <v>88</v>
      </c>
      <c r="F136" s="10" t="s">
        <v>104</v>
      </c>
      <c r="G136" s="1">
        <v>2.5000000000000001E-2</v>
      </c>
      <c r="H136" s="1">
        <v>0.02</v>
      </c>
      <c r="I136" s="8">
        <v>44009</v>
      </c>
      <c r="J136" s="6">
        <v>590822</v>
      </c>
      <c r="K136" s="6">
        <v>165050</v>
      </c>
      <c r="L136" s="6">
        <v>10550.39</v>
      </c>
      <c r="M136" s="6">
        <v>2947.32</v>
      </c>
      <c r="N136" s="7">
        <v>6748.86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22676.16</v>
      </c>
      <c r="U136" s="6">
        <v>20246.57</v>
      </c>
      <c r="V136" s="6">
        <v>404.93</v>
      </c>
      <c r="X136" s="46">
        <v>45784</v>
      </c>
      <c r="Y136" s="1">
        <v>25111529</v>
      </c>
      <c r="AA136" s="1">
        <v>280039</v>
      </c>
      <c r="AC136" s="46">
        <v>45777</v>
      </c>
      <c r="AD136" s="1">
        <v>14</v>
      </c>
      <c r="AI136" s="2">
        <v>590822</v>
      </c>
      <c r="AJ136" s="2">
        <v>165050</v>
      </c>
      <c r="AK136" s="2">
        <v>10550.39</v>
      </c>
      <c r="AL136" s="2">
        <v>2947.32</v>
      </c>
      <c r="AM136" s="5">
        <v>6748.86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22676.16</v>
      </c>
      <c r="AT136" s="12">
        <v>20246.57</v>
      </c>
      <c r="AU136" s="2">
        <v>404.93</v>
      </c>
      <c r="BL136" s="1" t="s">
        <v>90</v>
      </c>
    </row>
    <row r="137" spans="1:64" x14ac:dyDescent="0.3">
      <c r="A137" t="s">
        <v>229</v>
      </c>
      <c r="B137" s="1" t="s">
        <v>229</v>
      </c>
      <c r="C137" s="9" t="s">
        <v>230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688493.75000000012</v>
      </c>
      <c r="K137" s="6">
        <v>154765</v>
      </c>
      <c r="L137" s="6">
        <v>12294.54</v>
      </c>
      <c r="M137" s="6">
        <v>2763.66</v>
      </c>
      <c r="N137" s="7">
        <v>7529.1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25297.78</v>
      </c>
      <c r="U137" s="6">
        <v>22587.300000000003</v>
      </c>
      <c r="V137" s="6">
        <v>451.75</v>
      </c>
      <c r="X137" s="46">
        <v>45784</v>
      </c>
      <c r="Y137" s="1">
        <v>25111530</v>
      </c>
      <c r="AA137" s="1">
        <v>280040</v>
      </c>
      <c r="AC137" s="46">
        <v>45777</v>
      </c>
      <c r="AD137" s="1">
        <v>15</v>
      </c>
      <c r="AI137" s="2">
        <v>688493.75000000012</v>
      </c>
      <c r="AJ137" s="2">
        <v>154765</v>
      </c>
      <c r="AK137" s="2">
        <v>12294.54</v>
      </c>
      <c r="AL137" s="2">
        <v>2763.66</v>
      </c>
      <c r="AM137" s="5">
        <v>7529.1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25297.78</v>
      </c>
      <c r="AT137" s="12">
        <v>22587.300000000003</v>
      </c>
      <c r="AU137" s="2">
        <v>451.75</v>
      </c>
      <c r="BL137" s="1" t="s">
        <v>90</v>
      </c>
    </row>
    <row r="138" spans="1:64" x14ac:dyDescent="0.3">
      <c r="A138" t="s">
        <v>231</v>
      </c>
      <c r="B138" s="1" t="s">
        <v>231</v>
      </c>
      <c r="C138" s="9" t="s">
        <v>232</v>
      </c>
      <c r="D138" s="1" t="s">
        <v>44</v>
      </c>
      <c r="E138" s="1" t="s">
        <v>88</v>
      </c>
      <c r="F138" s="10" t="s">
        <v>188</v>
      </c>
      <c r="G138" s="1">
        <v>2.5000000000000001E-2</v>
      </c>
      <c r="H138" s="1">
        <v>0.02</v>
      </c>
      <c r="I138" s="8">
        <v>45657</v>
      </c>
      <c r="J138" s="6">
        <v>707584.81</v>
      </c>
      <c r="K138" s="6">
        <v>222189.41000000003</v>
      </c>
      <c r="L138" s="6">
        <v>12635.45</v>
      </c>
      <c r="M138" s="6">
        <v>3967.67</v>
      </c>
      <c r="N138" s="7">
        <v>8301.5499999999993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27893.23</v>
      </c>
      <c r="U138" s="6">
        <v>24904.670000000002</v>
      </c>
      <c r="V138" s="6">
        <v>498.09</v>
      </c>
      <c r="X138" s="46">
        <v>45784</v>
      </c>
      <c r="Y138" s="1">
        <v>25111531</v>
      </c>
      <c r="AA138" s="1">
        <v>280041</v>
      </c>
      <c r="AC138" s="46">
        <v>45777</v>
      </c>
      <c r="AD138" s="1">
        <v>16</v>
      </c>
      <c r="AI138" s="2">
        <v>707584.81</v>
      </c>
      <c r="AJ138" s="2">
        <v>222189.41000000003</v>
      </c>
      <c r="AK138" s="2">
        <v>12635.45</v>
      </c>
      <c r="AL138" s="2">
        <v>3967.67</v>
      </c>
      <c r="AM138" s="5">
        <v>8301.5499999999993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27893.23</v>
      </c>
      <c r="AT138" s="12">
        <v>24904.670000000002</v>
      </c>
      <c r="AU138" s="2">
        <v>498.09</v>
      </c>
      <c r="BL138" s="1" t="s">
        <v>90</v>
      </c>
    </row>
    <row r="139" spans="1:64" x14ac:dyDescent="0.3">
      <c r="A139" t="s">
        <v>233</v>
      </c>
      <c r="B139" s="1" t="s">
        <v>233</v>
      </c>
      <c r="C139" s="9" t="s">
        <v>234</v>
      </c>
      <c r="D139" s="1" t="s">
        <v>44</v>
      </c>
      <c r="E139" s="1" t="s">
        <v>88</v>
      </c>
      <c r="F139" s="10" t="s">
        <v>101</v>
      </c>
      <c r="G139" s="1">
        <v>2.5000000000000001E-2</v>
      </c>
      <c r="H139" s="1">
        <v>0.02</v>
      </c>
      <c r="I139" s="8">
        <v>44204</v>
      </c>
      <c r="J139" s="6">
        <v>418567</v>
      </c>
      <c r="K139" s="6">
        <v>66592</v>
      </c>
      <c r="L139" s="6">
        <v>7474.41</v>
      </c>
      <c r="M139" s="6">
        <v>1189.1400000000001</v>
      </c>
      <c r="N139" s="7">
        <v>4331.78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14554.77</v>
      </c>
      <c r="U139" s="6">
        <v>12995.329999999998</v>
      </c>
      <c r="V139" s="6">
        <v>259.91000000000003</v>
      </c>
      <c r="X139" s="46">
        <v>45784</v>
      </c>
      <c r="Y139" s="1">
        <v>25111532</v>
      </c>
      <c r="AA139" s="1">
        <v>280042</v>
      </c>
      <c r="AC139" s="46">
        <v>45777</v>
      </c>
      <c r="AD139" s="1">
        <v>17</v>
      </c>
      <c r="AI139" s="2">
        <v>418567</v>
      </c>
      <c r="AJ139" s="2">
        <v>66592</v>
      </c>
      <c r="AK139" s="2">
        <v>7474.41</v>
      </c>
      <c r="AL139" s="2">
        <v>1189.1400000000001</v>
      </c>
      <c r="AM139" s="5">
        <v>4331.78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14554.77</v>
      </c>
      <c r="AT139" s="12">
        <v>12995.329999999998</v>
      </c>
      <c r="AU139" s="2">
        <v>259.91000000000003</v>
      </c>
      <c r="BL139" s="1" t="s">
        <v>90</v>
      </c>
    </row>
    <row r="140" spans="1:64" x14ac:dyDescent="0.3">
      <c r="A140" t="s">
        <v>235</v>
      </c>
      <c r="B140" s="1" t="s">
        <v>235</v>
      </c>
      <c r="C140" s="9" t="s">
        <v>236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44009</v>
      </c>
      <c r="J140" s="6">
        <v>239293.2</v>
      </c>
      <c r="K140" s="6">
        <v>173480</v>
      </c>
      <c r="L140" s="6">
        <v>4273.09</v>
      </c>
      <c r="M140" s="6">
        <v>3097.86</v>
      </c>
      <c r="N140" s="7">
        <v>3685.47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12383.19</v>
      </c>
      <c r="U140" s="6">
        <v>11056.42</v>
      </c>
      <c r="V140" s="6">
        <v>221.13</v>
      </c>
      <c r="X140" s="46">
        <v>45784</v>
      </c>
      <c r="Y140" s="1">
        <v>25111533</v>
      </c>
      <c r="AA140" s="1">
        <v>280043</v>
      </c>
      <c r="AC140" s="46">
        <v>45777</v>
      </c>
      <c r="AD140" s="1">
        <v>18</v>
      </c>
      <c r="AI140" s="2">
        <v>239293.2</v>
      </c>
      <c r="AJ140" s="2">
        <v>173480</v>
      </c>
      <c r="AK140" s="2">
        <v>4273.09</v>
      </c>
      <c r="AL140" s="2">
        <v>3097.86</v>
      </c>
      <c r="AM140" s="5">
        <v>3685.47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12383.19</v>
      </c>
      <c r="AT140" s="12">
        <v>11056.42</v>
      </c>
      <c r="AU140" s="2">
        <v>221.13</v>
      </c>
      <c r="BL140" s="1" t="s">
        <v>90</v>
      </c>
    </row>
    <row r="141" spans="1:64" x14ac:dyDescent="0.3">
      <c r="A141" t="s">
        <v>247</v>
      </c>
      <c r="B141" s="1" t="s">
        <v>247</v>
      </c>
      <c r="C141" s="9" t="s">
        <v>248</v>
      </c>
      <c r="D141" s="1" t="s">
        <v>44</v>
      </c>
      <c r="E141" s="1" t="s">
        <v>88</v>
      </c>
      <c r="F141" s="10" t="s">
        <v>114</v>
      </c>
      <c r="G141" s="1">
        <v>2.5000000000000001E-2</v>
      </c>
      <c r="H141" s="1">
        <v>0.02</v>
      </c>
      <c r="I141" s="8">
        <v>45657</v>
      </c>
      <c r="J141" s="6">
        <v>600128.78</v>
      </c>
      <c r="K141" s="6">
        <v>141990.66</v>
      </c>
      <c r="L141" s="6">
        <v>10716.59</v>
      </c>
      <c r="M141" s="6">
        <v>2535.54</v>
      </c>
      <c r="N141" s="7">
        <v>6626.06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22263.57</v>
      </c>
      <c r="U141" s="6">
        <v>19878.190000000002</v>
      </c>
      <c r="V141" s="6">
        <v>397.56</v>
      </c>
      <c r="X141" s="46">
        <v>45784</v>
      </c>
      <c r="Y141" s="1">
        <v>25111534</v>
      </c>
      <c r="AA141" s="1">
        <v>280044</v>
      </c>
      <c r="AC141" s="46">
        <v>45777</v>
      </c>
      <c r="AD141" s="1">
        <v>19</v>
      </c>
      <c r="AI141" s="2">
        <v>600128.78</v>
      </c>
      <c r="AJ141" s="2">
        <v>141990.66</v>
      </c>
      <c r="AK141" s="2">
        <v>10716.59</v>
      </c>
      <c r="AL141" s="2">
        <v>2535.54</v>
      </c>
      <c r="AM141" s="5">
        <v>6626.06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22263.57</v>
      </c>
      <c r="AT141" s="12">
        <v>19878.190000000002</v>
      </c>
      <c r="AU141" s="2">
        <v>397.56</v>
      </c>
      <c r="BL141" s="1" t="s">
        <v>90</v>
      </c>
    </row>
    <row r="142" spans="1:64" x14ac:dyDescent="0.3">
      <c r="A142" t="s">
        <v>253</v>
      </c>
      <c r="B142" s="1" t="s">
        <v>253</v>
      </c>
      <c r="C142" s="9" t="s">
        <v>254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534136</v>
      </c>
      <c r="K142" s="6">
        <v>98312</v>
      </c>
      <c r="L142" s="6">
        <v>9538.14</v>
      </c>
      <c r="M142" s="6">
        <v>1755.57</v>
      </c>
      <c r="N142" s="7">
        <v>5646.86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18973.439999999999</v>
      </c>
      <c r="U142" s="6">
        <v>16940.57</v>
      </c>
      <c r="V142" s="6">
        <v>338.81</v>
      </c>
      <c r="X142" s="46">
        <v>45784</v>
      </c>
      <c r="Y142" s="1">
        <v>25111535</v>
      </c>
      <c r="AA142" s="1">
        <v>280045</v>
      </c>
      <c r="AC142" s="46">
        <v>45777</v>
      </c>
      <c r="AD142" s="1">
        <v>20</v>
      </c>
      <c r="AI142" s="2">
        <v>534136</v>
      </c>
      <c r="AJ142" s="2">
        <v>98312</v>
      </c>
      <c r="AK142" s="2">
        <v>9538.14</v>
      </c>
      <c r="AL142" s="2">
        <v>1755.57</v>
      </c>
      <c r="AM142" s="5">
        <v>5646.86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18973.439999999999</v>
      </c>
      <c r="AT142" s="12">
        <v>16940.57</v>
      </c>
      <c r="AU142" s="2">
        <v>338.81</v>
      </c>
      <c r="BL142" s="1" t="s">
        <v>90</v>
      </c>
    </row>
    <row r="143" spans="1:64" x14ac:dyDescent="0.3">
      <c r="A143" t="s">
        <v>270</v>
      </c>
      <c r="B143" s="1" t="s">
        <v>270</v>
      </c>
      <c r="C143" s="9" t="s">
        <v>271</v>
      </c>
      <c r="D143" s="1" t="s">
        <v>44</v>
      </c>
      <c r="E143" s="1" t="s">
        <v>88</v>
      </c>
      <c r="F143" s="10" t="s">
        <v>104</v>
      </c>
      <c r="G143" s="1">
        <v>2.5000000000000001E-2</v>
      </c>
      <c r="H143" s="1">
        <v>0.02</v>
      </c>
      <c r="I143" s="8">
        <v>45585</v>
      </c>
      <c r="J143" s="6">
        <v>421276</v>
      </c>
      <c r="K143" s="6">
        <v>136211</v>
      </c>
      <c r="L143" s="6">
        <v>7522.79</v>
      </c>
      <c r="M143" s="6">
        <v>2432.34</v>
      </c>
      <c r="N143" s="7">
        <v>4977.5600000000004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16724.61</v>
      </c>
      <c r="U143" s="6">
        <v>14932.690000000002</v>
      </c>
      <c r="V143" s="6">
        <v>298.64999999999998</v>
      </c>
      <c r="X143" s="46">
        <v>45784</v>
      </c>
      <c r="Y143" s="1">
        <v>25111536</v>
      </c>
      <c r="AA143" s="1">
        <v>280046</v>
      </c>
      <c r="AC143" s="46">
        <v>45777</v>
      </c>
      <c r="AD143" s="1">
        <v>21</v>
      </c>
      <c r="AI143" s="2">
        <v>421276</v>
      </c>
      <c r="AJ143" s="2">
        <v>136211</v>
      </c>
      <c r="AK143" s="2">
        <v>7522.79</v>
      </c>
      <c r="AL143" s="2">
        <v>2432.34</v>
      </c>
      <c r="AM143" s="5">
        <v>4977.5600000000004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16724.61</v>
      </c>
      <c r="AT143" s="12">
        <v>14932.690000000002</v>
      </c>
      <c r="AU143" s="2">
        <v>298.64999999999998</v>
      </c>
      <c r="BL143" s="1" t="s">
        <v>90</v>
      </c>
    </row>
    <row r="144" spans="1:64" x14ac:dyDescent="0.3">
      <c r="A144" t="s">
        <v>272</v>
      </c>
      <c r="B144" s="1" t="s">
        <v>272</v>
      </c>
      <c r="C144" s="9" t="s">
        <v>273</v>
      </c>
      <c r="D144" s="1" t="s">
        <v>44</v>
      </c>
      <c r="E144" s="1" t="s">
        <v>88</v>
      </c>
      <c r="F144" s="10" t="s">
        <v>101</v>
      </c>
      <c r="G144" s="1">
        <v>2.5000000000000001E-2</v>
      </c>
      <c r="H144" s="1">
        <v>0.02</v>
      </c>
      <c r="I144" s="8">
        <v>44416</v>
      </c>
      <c r="J144" s="6">
        <v>325750.5</v>
      </c>
      <c r="K144" s="6">
        <v>99924.75</v>
      </c>
      <c r="L144" s="6">
        <v>5816.97</v>
      </c>
      <c r="M144" s="6">
        <v>1784.37</v>
      </c>
      <c r="N144" s="7">
        <v>3800.67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12770.25</v>
      </c>
      <c r="U144" s="6">
        <v>11402.01</v>
      </c>
      <c r="V144" s="6">
        <v>228.04</v>
      </c>
      <c r="X144" s="46">
        <v>45784</v>
      </c>
      <c r="Y144" s="1">
        <v>25111537</v>
      </c>
      <c r="AA144" s="1">
        <v>280047</v>
      </c>
      <c r="AC144" s="46">
        <v>45777</v>
      </c>
      <c r="AD144" s="1">
        <v>22</v>
      </c>
      <c r="AI144" s="2">
        <v>325750.5</v>
      </c>
      <c r="AJ144" s="2">
        <v>99924.75</v>
      </c>
      <c r="AK144" s="2">
        <v>5816.97</v>
      </c>
      <c r="AL144" s="2">
        <v>1784.37</v>
      </c>
      <c r="AM144" s="5">
        <v>3800.67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12770.25</v>
      </c>
      <c r="AT144" s="12">
        <v>11402.01</v>
      </c>
      <c r="AU144" s="2">
        <v>228.04</v>
      </c>
      <c r="BL144" s="1" t="s">
        <v>90</v>
      </c>
    </row>
    <row r="145" spans="1:64" x14ac:dyDescent="0.3">
      <c r="A145" t="s">
        <v>280</v>
      </c>
      <c r="B145" s="1" t="s">
        <v>280</v>
      </c>
      <c r="C145" s="9" t="s">
        <v>281</v>
      </c>
      <c r="D145" s="1" t="s">
        <v>44</v>
      </c>
      <c r="E145" s="1" t="s">
        <v>88</v>
      </c>
      <c r="F145" s="10" t="s">
        <v>188</v>
      </c>
      <c r="G145" s="1">
        <v>2.5000000000000001E-2</v>
      </c>
      <c r="H145" s="1">
        <v>0.02</v>
      </c>
      <c r="I145" s="8">
        <v>45657</v>
      </c>
      <c r="J145" s="6">
        <v>776203.63</v>
      </c>
      <c r="K145" s="6">
        <v>177157.52000000002</v>
      </c>
      <c r="L145" s="6">
        <v>13860.78</v>
      </c>
      <c r="M145" s="6">
        <v>3163.53</v>
      </c>
      <c r="N145" s="7">
        <v>8512.15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28600.84</v>
      </c>
      <c r="U145" s="6">
        <v>25536.46</v>
      </c>
      <c r="V145" s="6">
        <v>510.73</v>
      </c>
      <c r="X145" s="46">
        <v>45784</v>
      </c>
      <c r="Y145" s="1">
        <v>25111538</v>
      </c>
      <c r="AA145" s="1">
        <v>280048</v>
      </c>
      <c r="AC145" s="46">
        <v>45777</v>
      </c>
      <c r="AD145" s="1">
        <v>23</v>
      </c>
      <c r="AI145" s="2">
        <v>776203.63</v>
      </c>
      <c r="AJ145" s="2">
        <v>177157.52000000002</v>
      </c>
      <c r="AK145" s="2">
        <v>13860.78</v>
      </c>
      <c r="AL145" s="2">
        <v>3163.53</v>
      </c>
      <c r="AM145" s="5">
        <v>8512.15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28600.84</v>
      </c>
      <c r="AT145" s="12">
        <v>25536.46</v>
      </c>
      <c r="AU145" s="2">
        <v>510.73</v>
      </c>
      <c r="BL145" s="1" t="s">
        <v>90</v>
      </c>
    </row>
    <row r="146" spans="1:64" x14ac:dyDescent="0.3">
      <c r="A146" t="s">
        <v>288</v>
      </c>
      <c r="B146" s="1" t="s">
        <v>288</v>
      </c>
      <c r="C146" s="9" t="s">
        <v>289</v>
      </c>
      <c r="D146" s="1" t="s">
        <v>44</v>
      </c>
      <c r="E146" s="1" t="s">
        <v>88</v>
      </c>
      <c r="F146" s="10" t="s">
        <v>114</v>
      </c>
      <c r="G146" s="1">
        <v>2.5000000000000001E-2</v>
      </c>
      <c r="H146" s="1">
        <v>0.02</v>
      </c>
      <c r="I146" s="8">
        <v>45657</v>
      </c>
      <c r="J146" s="6">
        <v>382259</v>
      </c>
      <c r="K146" s="6">
        <v>53362</v>
      </c>
      <c r="L146" s="6">
        <v>6826.05</v>
      </c>
      <c r="M146" s="6">
        <v>952.89</v>
      </c>
      <c r="N146" s="7">
        <v>3889.47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13068.62</v>
      </c>
      <c r="U146" s="6">
        <v>11668.41</v>
      </c>
      <c r="V146" s="6">
        <v>233.37</v>
      </c>
      <c r="X146" s="46">
        <v>45784</v>
      </c>
      <c r="Y146" s="1">
        <v>25111539</v>
      </c>
      <c r="AA146" s="1">
        <v>280049</v>
      </c>
      <c r="AC146" s="46">
        <v>45777</v>
      </c>
      <c r="AD146" s="1">
        <v>24</v>
      </c>
      <c r="AI146" s="2">
        <v>382259</v>
      </c>
      <c r="AJ146" s="2">
        <v>53362</v>
      </c>
      <c r="AK146" s="2">
        <v>6826.05</v>
      </c>
      <c r="AL146" s="2">
        <v>952.89</v>
      </c>
      <c r="AM146" s="5">
        <v>3889.47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13068.62</v>
      </c>
      <c r="AT146" s="12">
        <v>11668.41</v>
      </c>
      <c r="AU146" s="2">
        <v>233.37</v>
      </c>
      <c r="BL146" s="1" t="s">
        <v>90</v>
      </c>
    </row>
    <row r="147" spans="1:64" x14ac:dyDescent="0.3">
      <c r="A147" t="s">
        <v>290</v>
      </c>
      <c r="B147" s="1" t="s">
        <v>290</v>
      </c>
      <c r="C147" s="9" t="s">
        <v>291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44487</v>
      </c>
      <c r="J147" s="6">
        <v>391689.95</v>
      </c>
      <c r="K147" s="6">
        <v>90521</v>
      </c>
      <c r="L147" s="6">
        <v>6994.46</v>
      </c>
      <c r="M147" s="6">
        <v>1616.45</v>
      </c>
      <c r="N147" s="7">
        <v>4305.46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14466.33</v>
      </c>
      <c r="U147" s="6">
        <v>12916.369999999999</v>
      </c>
      <c r="V147" s="6">
        <v>258.33</v>
      </c>
      <c r="X147" s="46">
        <v>45784</v>
      </c>
      <c r="Y147" s="1">
        <v>25111540</v>
      </c>
      <c r="AA147" s="1">
        <v>280050</v>
      </c>
      <c r="AC147" s="46">
        <v>45777</v>
      </c>
      <c r="AD147" s="1">
        <v>25</v>
      </c>
      <c r="AI147" s="2">
        <v>391689.95</v>
      </c>
      <c r="AJ147" s="2">
        <v>90521</v>
      </c>
      <c r="AK147" s="2">
        <v>6994.46</v>
      </c>
      <c r="AL147" s="2">
        <v>1616.45</v>
      </c>
      <c r="AM147" s="5">
        <v>4305.46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14466.33</v>
      </c>
      <c r="AT147" s="12">
        <v>12916.369999999999</v>
      </c>
      <c r="AU147" s="2">
        <v>258.33</v>
      </c>
      <c r="BL147" s="1" t="s">
        <v>90</v>
      </c>
    </row>
    <row r="148" spans="1:64" x14ac:dyDescent="0.3">
      <c r="A148" t="s">
        <v>312</v>
      </c>
      <c r="B148" s="1" t="s">
        <v>312</v>
      </c>
      <c r="C148" s="9" t="s">
        <v>313</v>
      </c>
      <c r="D148" s="1" t="s">
        <v>44</v>
      </c>
      <c r="E148" s="1" t="s">
        <v>88</v>
      </c>
      <c r="F148" s="10" t="s">
        <v>178</v>
      </c>
      <c r="G148" s="1">
        <v>2.5000000000000001E-2</v>
      </c>
      <c r="H148" s="1">
        <v>0.02</v>
      </c>
      <c r="I148" s="8">
        <v>44068</v>
      </c>
      <c r="J148" s="6">
        <v>247151</v>
      </c>
      <c r="K148" s="6">
        <v>65736</v>
      </c>
      <c r="L148" s="6">
        <v>4413.41</v>
      </c>
      <c r="M148" s="6">
        <v>1173.8599999999999</v>
      </c>
      <c r="N148" s="7">
        <v>2793.63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9386.61</v>
      </c>
      <c r="U148" s="6">
        <v>8380.9</v>
      </c>
      <c r="V148" s="6">
        <v>167.62</v>
      </c>
      <c r="X148" s="46">
        <v>45784</v>
      </c>
      <c r="Y148" s="1">
        <v>25111541</v>
      </c>
      <c r="AA148" s="1">
        <v>280051</v>
      </c>
      <c r="AC148" s="46">
        <v>45777</v>
      </c>
      <c r="AD148" s="1">
        <v>26</v>
      </c>
      <c r="AI148" s="2">
        <v>247151</v>
      </c>
      <c r="AJ148" s="2">
        <v>65736</v>
      </c>
      <c r="AK148" s="2">
        <v>4413.41</v>
      </c>
      <c r="AL148" s="2">
        <v>1173.8599999999999</v>
      </c>
      <c r="AM148" s="5">
        <v>2793.63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9386.61</v>
      </c>
      <c r="AT148" s="12">
        <v>8380.9</v>
      </c>
      <c r="AU148" s="2">
        <v>167.62</v>
      </c>
      <c r="BL148" s="1" t="s">
        <v>90</v>
      </c>
    </row>
    <row r="149" spans="1:64" x14ac:dyDescent="0.3">
      <c r="A149" t="s">
        <v>319</v>
      </c>
      <c r="B149" s="1" t="s">
        <v>319</v>
      </c>
      <c r="C149" s="9" t="s">
        <v>320</v>
      </c>
      <c r="D149" s="1" t="s">
        <v>44</v>
      </c>
      <c r="E149" s="1" t="s">
        <v>88</v>
      </c>
      <c r="F149" s="10" t="s">
        <v>188</v>
      </c>
      <c r="G149" s="1">
        <v>2.5000000000000001E-2</v>
      </c>
      <c r="H149" s="1">
        <v>0.02</v>
      </c>
      <c r="I149" s="8">
        <v>45657</v>
      </c>
      <c r="J149" s="6">
        <v>1006260.4700000001</v>
      </c>
      <c r="K149" s="6">
        <v>190696.29</v>
      </c>
      <c r="L149" s="6">
        <v>17968.93</v>
      </c>
      <c r="M149" s="6">
        <v>3405.29</v>
      </c>
      <c r="N149" s="7">
        <v>10687.12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35908.699999999997</v>
      </c>
      <c r="U149" s="6">
        <v>32061.34</v>
      </c>
      <c r="V149" s="6">
        <v>641.23</v>
      </c>
      <c r="W149" s="6">
        <v>0</v>
      </c>
      <c r="X149" s="46">
        <v>45784</v>
      </c>
      <c r="Y149" s="1">
        <v>25111542</v>
      </c>
      <c r="AA149" s="1">
        <v>280052</v>
      </c>
      <c r="AC149" s="46">
        <v>45777</v>
      </c>
      <c r="AD149" s="1">
        <v>27</v>
      </c>
      <c r="AI149" s="2">
        <v>1006260.4700000001</v>
      </c>
      <c r="AJ149" s="2">
        <v>190696.29</v>
      </c>
      <c r="AK149" s="2">
        <v>17968.93</v>
      </c>
      <c r="AL149" s="2">
        <v>3405.29</v>
      </c>
      <c r="AM149" s="5">
        <v>10687.12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35908.699999999997</v>
      </c>
      <c r="AT149" s="12">
        <v>32061.34</v>
      </c>
      <c r="AU149" s="2">
        <v>641.23</v>
      </c>
      <c r="AV149" s="5">
        <v>0</v>
      </c>
      <c r="BL149" s="1" t="s">
        <v>90</v>
      </c>
    </row>
    <row r="150" spans="1:64" x14ac:dyDescent="0.3">
      <c r="A150" t="s">
        <v>327</v>
      </c>
      <c r="B150" s="1" t="s">
        <v>327</v>
      </c>
      <c r="C150" s="9" t="s">
        <v>328</v>
      </c>
      <c r="D150" s="1" t="s">
        <v>44</v>
      </c>
      <c r="E150" s="1" t="s">
        <v>88</v>
      </c>
      <c r="F150" s="10" t="s">
        <v>178</v>
      </c>
      <c r="G150" s="1">
        <v>2.5000000000000001E-2</v>
      </c>
      <c r="H150" s="1">
        <v>0.02</v>
      </c>
      <c r="I150" s="8">
        <v>44499</v>
      </c>
      <c r="J150" s="6">
        <v>369056.69</v>
      </c>
      <c r="K150" s="6">
        <v>108115.41</v>
      </c>
      <c r="L150" s="6">
        <v>6590.29</v>
      </c>
      <c r="M150" s="6">
        <v>1930.63</v>
      </c>
      <c r="N150" s="7">
        <v>4260.46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14315.15</v>
      </c>
      <c r="U150" s="6">
        <v>12781.380000000001</v>
      </c>
      <c r="V150" s="6">
        <v>255.63</v>
      </c>
      <c r="X150" s="46">
        <v>45784</v>
      </c>
      <c r="Y150" s="1">
        <v>25111543</v>
      </c>
      <c r="AA150" s="1">
        <v>280053</v>
      </c>
      <c r="AC150" s="46">
        <v>45777</v>
      </c>
      <c r="AD150" s="1">
        <v>28</v>
      </c>
      <c r="AI150" s="2">
        <v>369056.69</v>
      </c>
      <c r="AJ150" s="2">
        <v>108115.41</v>
      </c>
      <c r="AK150" s="2">
        <v>6590.29</v>
      </c>
      <c r="AL150" s="2">
        <v>1930.63</v>
      </c>
      <c r="AM150" s="5">
        <v>4260.46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14315.15</v>
      </c>
      <c r="AT150" s="12">
        <v>12781.380000000001</v>
      </c>
      <c r="AU150" s="2">
        <v>255.63</v>
      </c>
      <c r="BL150" s="1" t="s">
        <v>90</v>
      </c>
    </row>
    <row r="151" spans="1:64" x14ac:dyDescent="0.3">
      <c r="A151" t="s">
        <v>334</v>
      </c>
      <c r="B151" s="1" t="s">
        <v>334</v>
      </c>
      <c r="C151" s="9" t="s">
        <v>335</v>
      </c>
      <c r="D151" s="1" t="s">
        <v>44</v>
      </c>
      <c r="E151" s="1" t="s">
        <v>88</v>
      </c>
      <c r="F151" s="10" t="s">
        <v>188</v>
      </c>
      <c r="G151" s="1">
        <v>3.5000000000000003E-2</v>
      </c>
      <c r="H151" s="1">
        <v>0.02</v>
      </c>
      <c r="I151" s="8">
        <v>44607</v>
      </c>
      <c r="J151" s="6">
        <v>1320922.71</v>
      </c>
      <c r="K151" s="6">
        <v>288785.71999999997</v>
      </c>
      <c r="L151" s="6">
        <v>23587.899999999998</v>
      </c>
      <c r="M151" s="6">
        <v>5156.8900000000003</v>
      </c>
      <c r="N151" s="7">
        <v>14372.4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48291.25</v>
      </c>
      <c r="U151" s="6">
        <v>43117.189999999995</v>
      </c>
      <c r="V151" s="6">
        <v>862.35</v>
      </c>
      <c r="W151" s="6">
        <v>0</v>
      </c>
      <c r="X151" s="46">
        <v>45784</v>
      </c>
      <c r="Y151" s="1">
        <v>25111544</v>
      </c>
      <c r="AA151" s="1">
        <v>280054</v>
      </c>
      <c r="AC151" s="46">
        <v>45777</v>
      </c>
      <c r="AD151" s="1">
        <v>29</v>
      </c>
      <c r="AI151" s="2">
        <v>1320922.71</v>
      </c>
      <c r="AJ151" s="2">
        <v>288785.71999999997</v>
      </c>
      <c r="AK151" s="2">
        <v>23587.899999999998</v>
      </c>
      <c r="AL151" s="2">
        <v>5156.8900000000003</v>
      </c>
      <c r="AM151" s="5">
        <v>14372.4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48291.25</v>
      </c>
      <c r="AT151" s="12">
        <v>43117.189999999995</v>
      </c>
      <c r="AU151" s="2">
        <v>862.35</v>
      </c>
      <c r="AV151" s="5">
        <v>0</v>
      </c>
      <c r="BL151" s="1" t="s">
        <v>90</v>
      </c>
    </row>
    <row r="152" spans="1:64" x14ac:dyDescent="0.3">
      <c r="A152" t="s">
        <v>351</v>
      </c>
      <c r="B152" s="1" t="s">
        <v>351</v>
      </c>
      <c r="C152" s="9" t="s">
        <v>352</v>
      </c>
      <c r="D152" s="1" t="s">
        <v>44</v>
      </c>
      <c r="E152" s="1" t="s">
        <v>88</v>
      </c>
      <c r="F152" s="10" t="s">
        <v>178</v>
      </c>
      <c r="G152" s="1">
        <v>3.5000000000000003E-2</v>
      </c>
      <c r="H152" s="1">
        <v>0.02</v>
      </c>
      <c r="I152" s="8">
        <v>44661</v>
      </c>
      <c r="J152" s="6">
        <v>312349.7</v>
      </c>
      <c r="K152" s="6">
        <v>51157.75</v>
      </c>
      <c r="L152" s="6">
        <v>5577.67</v>
      </c>
      <c r="M152" s="6">
        <v>913.54</v>
      </c>
      <c r="N152" s="7">
        <v>3245.6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10905.23</v>
      </c>
      <c r="U152" s="6">
        <v>9736.81</v>
      </c>
      <c r="V152" s="6">
        <v>194.74</v>
      </c>
      <c r="X152" s="46">
        <v>45784</v>
      </c>
      <c r="Y152" s="1">
        <v>25111545</v>
      </c>
      <c r="AA152" s="1">
        <v>280055</v>
      </c>
      <c r="AC152" s="46">
        <v>45777</v>
      </c>
      <c r="AD152" s="1">
        <v>30</v>
      </c>
      <c r="AI152" s="2">
        <v>312349.7</v>
      </c>
      <c r="AJ152" s="2">
        <v>51157.75</v>
      </c>
      <c r="AK152" s="2">
        <v>5577.67</v>
      </c>
      <c r="AL152" s="2">
        <v>913.54</v>
      </c>
      <c r="AM152" s="5">
        <v>3245.6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10905.23</v>
      </c>
      <c r="AT152" s="12">
        <v>9736.81</v>
      </c>
      <c r="AU152" s="2">
        <v>194.74</v>
      </c>
      <c r="BL152" s="1" t="s">
        <v>90</v>
      </c>
    </row>
    <row r="153" spans="1:64" x14ac:dyDescent="0.3">
      <c r="A153" t="s">
        <v>379</v>
      </c>
      <c r="B153" s="1" t="s">
        <v>379</v>
      </c>
      <c r="C153" s="9" t="s">
        <v>380</v>
      </c>
      <c r="D153" s="1" t="s">
        <v>44</v>
      </c>
      <c r="E153" s="1" t="s">
        <v>88</v>
      </c>
      <c r="F153" s="10" t="s">
        <v>188</v>
      </c>
      <c r="G153" s="1">
        <v>3.5000000000000003E-2</v>
      </c>
      <c r="H153" s="1">
        <v>0.02</v>
      </c>
      <c r="I153" s="8">
        <v>44755</v>
      </c>
      <c r="J153" s="6">
        <v>1037753.61</v>
      </c>
      <c r="K153" s="6">
        <v>202004.13999999996</v>
      </c>
      <c r="L153" s="6">
        <v>18531.310000000001</v>
      </c>
      <c r="M153" s="6">
        <v>3607.21</v>
      </c>
      <c r="N153" s="7">
        <v>11069.27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37192.720000000001</v>
      </c>
      <c r="U153" s="6">
        <v>33207.79</v>
      </c>
      <c r="V153" s="6">
        <v>664.16</v>
      </c>
      <c r="X153" s="46">
        <v>45784</v>
      </c>
      <c r="Y153" s="1">
        <v>25111546</v>
      </c>
      <c r="AA153" s="1">
        <v>280056</v>
      </c>
      <c r="AC153" s="46">
        <v>45777</v>
      </c>
      <c r="AD153" s="1">
        <v>31</v>
      </c>
      <c r="AI153" s="2">
        <v>1037753.61</v>
      </c>
      <c r="AJ153" s="2">
        <v>202004.13999999996</v>
      </c>
      <c r="AK153" s="2">
        <v>18531.310000000001</v>
      </c>
      <c r="AL153" s="2">
        <v>3607.21</v>
      </c>
      <c r="AM153" s="5">
        <v>11069.27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37192.720000000001</v>
      </c>
      <c r="AT153" s="12">
        <v>33207.79</v>
      </c>
      <c r="AU153" s="2">
        <v>664.16</v>
      </c>
      <c r="BL153" s="1" t="s">
        <v>90</v>
      </c>
    </row>
    <row r="154" spans="1:64" x14ac:dyDescent="0.3">
      <c r="A154" t="s">
        <v>381</v>
      </c>
      <c r="B154" s="1" t="s">
        <v>381</v>
      </c>
      <c r="C154" s="9" t="s">
        <v>382</v>
      </c>
      <c r="D154" s="1" t="s">
        <v>44</v>
      </c>
      <c r="E154" s="1" t="s">
        <v>88</v>
      </c>
      <c r="F154" s="10" t="s">
        <v>114</v>
      </c>
      <c r="G154" s="1">
        <v>3.5000000000000003E-2</v>
      </c>
      <c r="H154" s="1">
        <v>0.02</v>
      </c>
      <c r="I154" s="8">
        <v>44885</v>
      </c>
      <c r="J154" s="6">
        <v>830878.42</v>
      </c>
      <c r="K154" s="6">
        <v>128764.01999999999</v>
      </c>
      <c r="L154" s="6">
        <v>14837.12</v>
      </c>
      <c r="M154" s="6">
        <v>2299.36</v>
      </c>
      <c r="N154" s="7">
        <v>8568.23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28789.279999999999</v>
      </c>
      <c r="U154" s="6">
        <v>25704.71</v>
      </c>
      <c r="V154" s="6">
        <v>514.09</v>
      </c>
      <c r="X154" s="46">
        <v>45784</v>
      </c>
      <c r="Y154" s="1">
        <v>25111547</v>
      </c>
      <c r="AA154" s="1">
        <v>280057</v>
      </c>
      <c r="AC154" s="46">
        <v>45777</v>
      </c>
      <c r="AD154" s="1">
        <v>32</v>
      </c>
      <c r="AI154" s="2">
        <v>830878.42</v>
      </c>
      <c r="AJ154" s="2">
        <v>128764.01999999999</v>
      </c>
      <c r="AK154" s="2">
        <v>14837.12</v>
      </c>
      <c r="AL154" s="2">
        <v>2299.36</v>
      </c>
      <c r="AM154" s="5">
        <v>8568.23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28789.279999999999</v>
      </c>
      <c r="AT154" s="12">
        <v>25704.71</v>
      </c>
      <c r="AU154" s="2">
        <v>514.09</v>
      </c>
      <c r="BL154" s="1" t="s">
        <v>90</v>
      </c>
    </row>
    <row r="155" spans="1:64" x14ac:dyDescent="0.3">
      <c r="A155" t="s">
        <v>418</v>
      </c>
      <c r="B155" s="1" t="s">
        <v>418</v>
      </c>
      <c r="C155" s="9" t="s">
        <v>419</v>
      </c>
      <c r="D155" s="1" t="s">
        <v>44</v>
      </c>
      <c r="E155" s="1" t="s">
        <v>88</v>
      </c>
      <c r="F155" s="10" t="s">
        <v>188</v>
      </c>
      <c r="G155" s="1">
        <v>2.5000000000000001E-2</v>
      </c>
      <c r="H155" s="1">
        <v>0.02</v>
      </c>
      <c r="I155" s="8">
        <v>45440</v>
      </c>
      <c r="J155" s="6">
        <v>680955.74</v>
      </c>
      <c r="K155" s="6">
        <v>254268.41</v>
      </c>
      <c r="L155" s="6">
        <v>12159.91</v>
      </c>
      <c r="M155" s="6">
        <v>4540.51</v>
      </c>
      <c r="N155" s="7">
        <v>8350.2100000000009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28056.71</v>
      </c>
      <c r="U155" s="6">
        <v>25050.63</v>
      </c>
      <c r="V155" s="6">
        <v>501.01</v>
      </c>
      <c r="W155" s="6">
        <v>0</v>
      </c>
      <c r="X155" s="46">
        <v>45784</v>
      </c>
      <c r="Y155" s="1">
        <v>25111548</v>
      </c>
      <c r="AA155" s="1">
        <v>280058</v>
      </c>
      <c r="AC155" s="46">
        <v>45777</v>
      </c>
      <c r="AD155" s="1">
        <v>33</v>
      </c>
      <c r="AI155" s="2">
        <v>680955.74</v>
      </c>
      <c r="AJ155" s="2">
        <v>254268.41</v>
      </c>
      <c r="AK155" s="2">
        <v>12159.91</v>
      </c>
      <c r="AL155" s="2">
        <v>4540.51</v>
      </c>
      <c r="AM155" s="5">
        <v>8350.2100000000009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28056.71</v>
      </c>
      <c r="AT155" s="12">
        <v>25050.63</v>
      </c>
      <c r="AU155" s="2">
        <v>501.01</v>
      </c>
      <c r="AV155" s="5">
        <v>0</v>
      </c>
      <c r="BL155" s="1" t="s">
        <v>90</v>
      </c>
    </row>
    <row r="156" spans="1:64" x14ac:dyDescent="0.3">
      <c r="A156" t="s">
        <v>446</v>
      </c>
      <c r="B156" s="1" t="s">
        <v>446</v>
      </c>
      <c r="C156" s="9" t="s">
        <v>447</v>
      </c>
      <c r="D156" s="1" t="s">
        <v>44</v>
      </c>
      <c r="E156" s="1" t="s">
        <v>88</v>
      </c>
      <c r="F156" s="10" t="s">
        <v>178</v>
      </c>
      <c r="G156" s="1">
        <v>2.5000000000000001E-2</v>
      </c>
      <c r="H156" s="1">
        <v>0.02</v>
      </c>
      <c r="I156" s="8">
        <v>44092</v>
      </c>
      <c r="J156" s="6">
        <v>366391.82999999996</v>
      </c>
      <c r="K156" s="6">
        <v>79584.97</v>
      </c>
      <c r="L156" s="6">
        <v>6542.71</v>
      </c>
      <c r="M156" s="6">
        <v>1421.16</v>
      </c>
      <c r="N156" s="7">
        <v>3981.94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13379.31</v>
      </c>
      <c r="U156" s="6">
        <v>11945.81</v>
      </c>
      <c r="V156" s="6">
        <v>238.92</v>
      </c>
      <c r="X156" s="46">
        <v>45784</v>
      </c>
      <c r="Y156" s="1">
        <v>25111549</v>
      </c>
      <c r="AA156" s="1">
        <v>280059</v>
      </c>
      <c r="AC156" s="46">
        <v>45777</v>
      </c>
      <c r="AD156" s="1">
        <v>34</v>
      </c>
      <c r="AI156" s="2">
        <v>366391.82999999996</v>
      </c>
      <c r="AJ156" s="2">
        <v>79584.97</v>
      </c>
      <c r="AK156" s="2">
        <v>6542.71</v>
      </c>
      <c r="AL156" s="2">
        <v>1421.16</v>
      </c>
      <c r="AM156" s="5">
        <v>3981.94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13379.31</v>
      </c>
      <c r="AT156" s="12">
        <v>11945.81</v>
      </c>
      <c r="AU156" s="2">
        <v>238.92</v>
      </c>
      <c r="BL156" s="1" t="s">
        <v>90</v>
      </c>
    </row>
    <row r="157" spans="1:64" x14ac:dyDescent="0.3">
      <c r="A157" t="s">
        <v>454</v>
      </c>
      <c r="B157" s="1" t="s">
        <v>454</v>
      </c>
      <c r="C157" s="9" t="s">
        <v>455</v>
      </c>
      <c r="D157" s="1" t="s">
        <v>44</v>
      </c>
      <c r="E157" s="1" t="s">
        <v>88</v>
      </c>
      <c r="F157" s="10" t="s">
        <v>188</v>
      </c>
      <c r="G157" s="1">
        <v>2.5000000000000001E-2</v>
      </c>
      <c r="H157" s="1">
        <v>0.02</v>
      </c>
      <c r="I157" s="8">
        <v>44272</v>
      </c>
      <c r="J157" s="6">
        <v>517205.25000000006</v>
      </c>
      <c r="K157" s="6">
        <v>114750</v>
      </c>
      <c r="L157" s="6">
        <v>9235.81</v>
      </c>
      <c r="M157" s="6">
        <v>2049.1</v>
      </c>
      <c r="N157" s="7">
        <v>5642.45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18958.64</v>
      </c>
      <c r="U157" s="6">
        <v>16927.36</v>
      </c>
      <c r="V157" s="6">
        <v>338.54</v>
      </c>
      <c r="W157" s="6">
        <v>0</v>
      </c>
      <c r="X157" s="46">
        <v>45784</v>
      </c>
      <c r="Y157" s="1">
        <v>25111550</v>
      </c>
      <c r="AA157" s="1">
        <v>280060</v>
      </c>
      <c r="AC157" s="46">
        <v>45777</v>
      </c>
      <c r="AD157" s="1">
        <v>35</v>
      </c>
      <c r="AI157" s="2">
        <v>517205.25000000006</v>
      </c>
      <c r="AJ157" s="2">
        <v>114750</v>
      </c>
      <c r="AK157" s="2">
        <v>9235.81</v>
      </c>
      <c r="AL157" s="2">
        <v>2049.1</v>
      </c>
      <c r="AM157" s="5">
        <v>5642.45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18958.64</v>
      </c>
      <c r="AT157" s="12">
        <v>16927.36</v>
      </c>
      <c r="AU157" s="2">
        <v>338.54</v>
      </c>
      <c r="AV157" s="5">
        <v>0</v>
      </c>
      <c r="BL157" s="1" t="s">
        <v>90</v>
      </c>
    </row>
    <row r="158" spans="1:64" x14ac:dyDescent="0.3">
      <c r="A158" t="s">
        <v>498</v>
      </c>
      <c r="B158" s="1" t="s">
        <v>498</v>
      </c>
      <c r="C158" s="9" t="s">
        <v>499</v>
      </c>
      <c r="D158" s="1" t="s">
        <v>44</v>
      </c>
      <c r="E158" s="1" t="s">
        <v>88</v>
      </c>
      <c r="F158" s="10" t="s">
        <v>178</v>
      </c>
      <c r="G158" s="1">
        <v>3.5000000000000003E-2</v>
      </c>
      <c r="H158" s="1">
        <v>0.02</v>
      </c>
      <c r="I158" s="8">
        <v>45069</v>
      </c>
      <c r="J158" s="6">
        <v>391286</v>
      </c>
      <c r="K158" s="6">
        <v>78281</v>
      </c>
      <c r="L158" s="6">
        <v>6987.25</v>
      </c>
      <c r="M158" s="6">
        <v>1397.87</v>
      </c>
      <c r="N158" s="7">
        <v>4192.5600000000004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14087</v>
      </c>
      <c r="U158" s="6">
        <v>12577.68</v>
      </c>
      <c r="V158" s="6">
        <v>251.55</v>
      </c>
      <c r="X158" s="46">
        <v>45784</v>
      </c>
      <c r="Y158" s="1">
        <v>25111551</v>
      </c>
      <c r="AA158" s="1">
        <v>280061</v>
      </c>
      <c r="AC158" s="46">
        <v>45777</v>
      </c>
      <c r="AD158" s="1">
        <v>36</v>
      </c>
      <c r="AI158" s="2">
        <v>391286</v>
      </c>
      <c r="AJ158" s="2">
        <v>78281</v>
      </c>
      <c r="AK158" s="2">
        <v>6987.25</v>
      </c>
      <c r="AL158" s="2">
        <v>1397.87</v>
      </c>
      <c r="AM158" s="5">
        <v>4192.5600000000004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14087</v>
      </c>
      <c r="AT158" s="12">
        <v>12577.68</v>
      </c>
      <c r="AU158" s="2">
        <v>251.55</v>
      </c>
      <c r="BL158" s="1" t="s">
        <v>90</v>
      </c>
    </row>
    <row r="159" spans="1:64" x14ac:dyDescent="0.3">
      <c r="A159" t="s">
        <v>518</v>
      </c>
      <c r="B159" s="1" t="s">
        <v>518</v>
      </c>
      <c r="C159" s="9" t="s">
        <v>519</v>
      </c>
      <c r="D159" s="1" t="s">
        <v>44</v>
      </c>
      <c r="E159" s="1" t="s">
        <v>88</v>
      </c>
      <c r="F159" s="10" t="s">
        <v>89</v>
      </c>
      <c r="G159" s="1">
        <v>2.5000000000000001E-2</v>
      </c>
      <c r="H159" s="1">
        <v>0.02</v>
      </c>
      <c r="I159" s="8">
        <v>45437</v>
      </c>
      <c r="J159" s="6">
        <v>561280</v>
      </c>
      <c r="K159" s="6">
        <v>160537</v>
      </c>
      <c r="L159" s="6">
        <v>10022.869999999999</v>
      </c>
      <c r="M159" s="6">
        <v>2866.72</v>
      </c>
      <c r="N159" s="7">
        <v>6444.79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21654.51</v>
      </c>
      <c r="U159" s="6">
        <v>19334.379999999997</v>
      </c>
      <c r="V159" s="6">
        <v>386.69</v>
      </c>
      <c r="W159" s="6">
        <v>0</v>
      </c>
      <c r="X159" s="46">
        <v>45784</v>
      </c>
      <c r="Y159" s="1">
        <v>25111552</v>
      </c>
      <c r="AA159" s="1">
        <v>280062</v>
      </c>
      <c r="AC159" s="46">
        <v>45777</v>
      </c>
      <c r="AD159" s="1">
        <v>37</v>
      </c>
      <c r="AI159" s="2">
        <v>561280</v>
      </c>
      <c r="AJ159" s="2">
        <v>160537</v>
      </c>
      <c r="AK159" s="2">
        <v>10022.869999999999</v>
      </c>
      <c r="AL159" s="2">
        <v>2866.72</v>
      </c>
      <c r="AM159" s="5">
        <v>6444.79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21654.51</v>
      </c>
      <c r="AT159" s="12">
        <v>19334.379999999997</v>
      </c>
      <c r="AU159" s="2">
        <v>386.69</v>
      </c>
      <c r="AV159" s="5">
        <v>0</v>
      </c>
      <c r="BL159" s="1" t="s">
        <v>90</v>
      </c>
    </row>
    <row r="160" spans="1:64" x14ac:dyDescent="0.3">
      <c r="A160" t="s">
        <v>569</v>
      </c>
      <c r="B160" s="1" t="s">
        <v>569</v>
      </c>
      <c r="C160" s="9" t="s">
        <v>570</v>
      </c>
      <c r="D160" s="1" t="s">
        <v>44</v>
      </c>
      <c r="E160" s="1" t="s">
        <v>88</v>
      </c>
      <c r="F160" s="10" t="s">
        <v>104</v>
      </c>
      <c r="G160" s="1">
        <v>2.5000000000000001E-2</v>
      </c>
      <c r="H160" s="1">
        <v>0.02</v>
      </c>
      <c r="I160" s="8">
        <v>44228</v>
      </c>
      <c r="J160" s="6">
        <v>1143488</v>
      </c>
      <c r="K160" s="6">
        <v>267557.25</v>
      </c>
      <c r="L160" s="6">
        <v>20419.43</v>
      </c>
      <c r="M160" s="6">
        <v>4777.8</v>
      </c>
      <c r="N160" s="7">
        <v>12598.62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42331.35</v>
      </c>
      <c r="U160" s="6">
        <v>37795.85</v>
      </c>
      <c r="V160" s="6">
        <v>755.92</v>
      </c>
      <c r="X160" s="46">
        <v>45784</v>
      </c>
      <c r="Y160" s="1">
        <v>25111553</v>
      </c>
      <c r="AA160" s="1">
        <v>280063</v>
      </c>
      <c r="AC160" s="46">
        <v>45777</v>
      </c>
      <c r="AD160" s="1">
        <v>38</v>
      </c>
      <c r="AI160" s="2">
        <v>1143488</v>
      </c>
      <c r="AJ160" s="2">
        <v>267557.25</v>
      </c>
      <c r="AK160" s="2">
        <v>20419.43</v>
      </c>
      <c r="AL160" s="2">
        <v>4777.8</v>
      </c>
      <c r="AM160" s="5">
        <v>12598.62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42331.35</v>
      </c>
      <c r="AT160" s="12">
        <v>37795.85</v>
      </c>
      <c r="AU160" s="2">
        <v>755.92</v>
      </c>
      <c r="BL160" s="1" t="s">
        <v>90</v>
      </c>
    </row>
    <row r="161" spans="1:64" x14ac:dyDescent="0.3">
      <c r="A161" t="s">
        <v>586</v>
      </c>
      <c r="B161" s="1" t="s">
        <v>586</v>
      </c>
      <c r="C161" s="9" t="s">
        <v>587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44520</v>
      </c>
      <c r="J161" s="6">
        <v>716839.05</v>
      </c>
      <c r="K161" s="6">
        <v>286641.05</v>
      </c>
      <c r="L161" s="6">
        <v>12800.7</v>
      </c>
      <c r="M161" s="6">
        <v>5118.59</v>
      </c>
      <c r="N161" s="7">
        <v>8959.64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30104.400000000001</v>
      </c>
      <c r="U161" s="6">
        <v>26878.93</v>
      </c>
      <c r="V161" s="6">
        <v>537.58000000000004</v>
      </c>
      <c r="X161" s="46">
        <v>45784</v>
      </c>
      <c r="Y161" s="1">
        <v>25111554</v>
      </c>
      <c r="AA161" s="1">
        <v>280064</v>
      </c>
      <c r="AC161" s="46">
        <v>45777</v>
      </c>
      <c r="AD161" s="1">
        <v>39</v>
      </c>
      <c r="AI161" s="2">
        <v>716839.05</v>
      </c>
      <c r="AJ161" s="2">
        <v>286641.05</v>
      </c>
      <c r="AK161" s="2">
        <v>12800.7</v>
      </c>
      <c r="AL161" s="2">
        <v>5118.59</v>
      </c>
      <c r="AM161" s="5">
        <v>8959.64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30104.400000000001</v>
      </c>
      <c r="AT161" s="12">
        <v>26878.93</v>
      </c>
      <c r="AU161" s="2">
        <v>537.58000000000004</v>
      </c>
      <c r="BL161" s="1" t="s">
        <v>90</v>
      </c>
    </row>
    <row r="162" spans="1:64" x14ac:dyDescent="0.3">
      <c r="A162" t="s">
        <v>624</v>
      </c>
      <c r="B162" s="1" t="s">
        <v>625</v>
      </c>
      <c r="C162" s="9" t="s">
        <v>626</v>
      </c>
      <c r="D162" s="1" t="s">
        <v>44</v>
      </c>
      <c r="E162" s="1" t="s">
        <v>88</v>
      </c>
      <c r="F162" s="10" t="s">
        <v>181</v>
      </c>
      <c r="G162" s="1">
        <v>3.5000000000000003E-2</v>
      </c>
      <c r="H162" s="1">
        <v>0.02</v>
      </c>
      <c r="I162" s="8">
        <v>44805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AI162" s="2">
        <v>0</v>
      </c>
      <c r="AJ162" s="2">
        <v>0</v>
      </c>
      <c r="AK162" s="2">
        <v>0</v>
      </c>
      <c r="AL162" s="2">
        <v>0</v>
      </c>
      <c r="AM162" s="5">
        <v>0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0</v>
      </c>
      <c r="AT162" s="12">
        <v>0</v>
      </c>
      <c r="AU162" s="2">
        <v>0</v>
      </c>
      <c r="BL162" s="1" t="s">
        <v>90</v>
      </c>
    </row>
    <row r="163" spans="1:64" x14ac:dyDescent="0.3">
      <c r="A163" t="s">
        <v>629</v>
      </c>
      <c r="B163" s="1" t="s">
        <v>629</v>
      </c>
      <c r="C163" s="9" t="s">
        <v>630</v>
      </c>
      <c r="D163" s="1" t="s">
        <v>44</v>
      </c>
      <c r="E163" s="1" t="s">
        <v>88</v>
      </c>
      <c r="F163" s="10" t="s">
        <v>89</v>
      </c>
      <c r="G163" s="1">
        <v>3.5000000000000003E-2</v>
      </c>
      <c r="H163" s="1">
        <v>0.02</v>
      </c>
      <c r="I163" s="8">
        <v>45046</v>
      </c>
      <c r="J163" s="6">
        <v>684421.55</v>
      </c>
      <c r="K163" s="6">
        <v>153191.1</v>
      </c>
      <c r="L163" s="6">
        <v>12221.82</v>
      </c>
      <c r="M163" s="6">
        <v>2735.56</v>
      </c>
      <c r="N163" s="7">
        <v>7478.6900000000005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25128.400000000001</v>
      </c>
      <c r="U163" s="6">
        <v>22436.07</v>
      </c>
      <c r="V163" s="6">
        <v>448.73000000000008</v>
      </c>
      <c r="W163" s="6">
        <v>0</v>
      </c>
      <c r="X163" s="46">
        <v>45784</v>
      </c>
      <c r="Y163" s="1">
        <v>25111555</v>
      </c>
      <c r="AA163" s="1">
        <v>280065</v>
      </c>
      <c r="AC163" s="46">
        <v>45777</v>
      </c>
      <c r="AD163" s="1">
        <v>40</v>
      </c>
      <c r="AI163" s="2">
        <v>684421.55</v>
      </c>
      <c r="AJ163" s="2">
        <v>153191.1</v>
      </c>
      <c r="AK163" s="2">
        <v>12221.82</v>
      </c>
      <c r="AL163" s="2">
        <v>2735.56</v>
      </c>
      <c r="AM163" s="5">
        <v>7478.6900000000005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25128.400000000001</v>
      </c>
      <c r="AT163" s="12">
        <v>22436.07</v>
      </c>
      <c r="AU163" s="2">
        <v>448.73000000000008</v>
      </c>
      <c r="AV163" s="5">
        <v>0</v>
      </c>
      <c r="BL163" s="1" t="s">
        <v>90</v>
      </c>
    </row>
    <row r="164" spans="1:64" x14ac:dyDescent="0.3">
      <c r="A164" t="s">
        <v>644</v>
      </c>
      <c r="B164" s="1" t="s">
        <v>644</v>
      </c>
      <c r="C164" s="9" t="s">
        <v>645</v>
      </c>
      <c r="D164" s="1" t="s">
        <v>44</v>
      </c>
      <c r="E164" s="1" t="s">
        <v>88</v>
      </c>
      <c r="F164" s="10" t="s">
        <v>188</v>
      </c>
      <c r="G164" s="1">
        <v>0</v>
      </c>
      <c r="H164" s="1">
        <v>0.02</v>
      </c>
      <c r="I164" s="8">
        <v>45153</v>
      </c>
      <c r="J164" s="6">
        <v>678838.97</v>
      </c>
      <c r="K164" s="6">
        <v>137015.37</v>
      </c>
      <c r="L164" s="6">
        <v>12122.119999999999</v>
      </c>
      <c r="M164" s="6">
        <v>2446.71</v>
      </c>
      <c r="N164" s="7">
        <v>7284.42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24475.64</v>
      </c>
      <c r="U164" s="6">
        <v>21853.249999999996</v>
      </c>
      <c r="V164" s="6">
        <v>437.07</v>
      </c>
      <c r="W164" s="6">
        <v>0</v>
      </c>
      <c r="X164" s="46">
        <v>45784</v>
      </c>
      <c r="Y164" s="1">
        <v>25111556</v>
      </c>
      <c r="AA164" s="1">
        <v>280066</v>
      </c>
      <c r="AC164" s="46">
        <v>45777</v>
      </c>
      <c r="AD164" s="1">
        <v>41</v>
      </c>
      <c r="AI164" s="2">
        <v>678838.97</v>
      </c>
      <c r="AJ164" s="2">
        <v>137015.37</v>
      </c>
      <c r="AK164" s="2">
        <v>12122.119999999999</v>
      </c>
      <c r="AL164" s="2">
        <v>2446.71</v>
      </c>
      <c r="AM164" s="5">
        <v>7284.42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24475.64</v>
      </c>
      <c r="AT164" s="12">
        <v>21853.249999999996</v>
      </c>
      <c r="AU164" s="2">
        <v>437.07</v>
      </c>
      <c r="AV164" s="5">
        <v>0</v>
      </c>
      <c r="BL164" s="1" t="s">
        <v>90</v>
      </c>
    </row>
    <row r="165" spans="1:64" x14ac:dyDescent="0.3">
      <c r="A165" t="s">
        <v>648</v>
      </c>
      <c r="B165" s="1" t="s">
        <v>648</v>
      </c>
      <c r="C165" s="9" t="s">
        <v>649</v>
      </c>
      <c r="D165" s="1" t="s">
        <v>44</v>
      </c>
      <c r="E165" s="1" t="s">
        <v>88</v>
      </c>
      <c r="F165" s="10" t="s">
        <v>178</v>
      </c>
      <c r="G165" s="1">
        <v>3.5000000000000003E-2</v>
      </c>
      <c r="H165" s="1">
        <v>0.02</v>
      </c>
      <c r="I165" s="8">
        <v>45201</v>
      </c>
      <c r="J165" s="6">
        <v>215305</v>
      </c>
      <c r="K165" s="6">
        <v>42509</v>
      </c>
      <c r="L165" s="6">
        <v>3844.73</v>
      </c>
      <c r="M165" s="6">
        <v>759.09</v>
      </c>
      <c r="N165" s="7">
        <v>2301.91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7734.42</v>
      </c>
      <c r="U165" s="6">
        <v>6905.73</v>
      </c>
      <c r="V165" s="6">
        <v>138.11000000000001</v>
      </c>
      <c r="X165" s="46">
        <v>45784</v>
      </c>
      <c r="Y165" s="1">
        <v>25111557</v>
      </c>
      <c r="AA165" s="1">
        <v>280067</v>
      </c>
      <c r="AC165" s="46">
        <v>45777</v>
      </c>
      <c r="AD165" s="1">
        <v>42</v>
      </c>
      <c r="AI165" s="2">
        <v>215305</v>
      </c>
      <c r="AJ165" s="2">
        <v>42509</v>
      </c>
      <c r="AK165" s="2">
        <v>3844.73</v>
      </c>
      <c r="AL165" s="2">
        <v>759.09</v>
      </c>
      <c r="AM165" s="5">
        <v>2301.91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7734.42</v>
      </c>
      <c r="AT165" s="12">
        <v>6905.73</v>
      </c>
      <c r="AU165" s="2">
        <v>138.11000000000001</v>
      </c>
      <c r="BL165" s="1" t="s">
        <v>90</v>
      </c>
    </row>
    <row r="166" spans="1:64" x14ac:dyDescent="0.3">
      <c r="A166" t="s">
        <v>702</v>
      </c>
      <c r="B166" s="1" t="s">
        <v>702</v>
      </c>
      <c r="C166" s="9" t="s">
        <v>703</v>
      </c>
      <c r="D166" s="1" t="s">
        <v>44</v>
      </c>
      <c r="E166" s="1" t="s">
        <v>88</v>
      </c>
      <c r="F166" s="10" t="s">
        <v>104</v>
      </c>
      <c r="G166" s="1">
        <v>0</v>
      </c>
      <c r="H166" s="1">
        <v>0.02</v>
      </c>
      <c r="I166" s="8">
        <v>45777</v>
      </c>
      <c r="J166" s="6">
        <v>302085.55000000005</v>
      </c>
      <c r="K166" s="6">
        <v>119694.75</v>
      </c>
      <c r="L166" s="6">
        <v>179.81</v>
      </c>
      <c r="M166" s="6">
        <v>71.25</v>
      </c>
      <c r="N166" s="7">
        <v>3765.89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4498.9799999999996</v>
      </c>
      <c r="U166" s="6">
        <v>4016.95</v>
      </c>
      <c r="V166" s="6">
        <v>80.34</v>
      </c>
      <c r="X166" s="46">
        <v>45784</v>
      </c>
      <c r="Y166" s="1">
        <v>25111558</v>
      </c>
      <c r="AA166" s="1">
        <v>280068</v>
      </c>
      <c r="AC166" s="46">
        <v>45777</v>
      </c>
      <c r="AD166" s="1">
        <v>43</v>
      </c>
      <c r="AI166" s="2">
        <v>302085.55000000005</v>
      </c>
      <c r="AJ166" s="2">
        <v>119694.75</v>
      </c>
      <c r="AK166" s="2">
        <v>179.81</v>
      </c>
      <c r="AL166" s="2">
        <v>71.25</v>
      </c>
      <c r="AM166" s="5">
        <v>3765.89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4498.9799999999996</v>
      </c>
      <c r="AT166" s="12">
        <v>4016.95</v>
      </c>
      <c r="AU166" s="2">
        <v>80.34</v>
      </c>
      <c r="BL166" s="1" t="s">
        <v>90</v>
      </c>
    </row>
    <row r="167" spans="1:64" x14ac:dyDescent="0.3">
      <c r="A167" t="s">
        <v>740</v>
      </c>
      <c r="B167" s="1" t="s">
        <v>740</v>
      </c>
      <c r="C167" s="9" t="s">
        <v>741</v>
      </c>
      <c r="D167" s="1" t="s">
        <v>44</v>
      </c>
      <c r="E167" s="1" t="s">
        <v>88</v>
      </c>
      <c r="F167" s="10" t="s">
        <v>101</v>
      </c>
      <c r="G167" s="1">
        <v>0</v>
      </c>
      <c r="H167" s="1">
        <v>0.02</v>
      </c>
      <c r="I167" s="8">
        <v>44009</v>
      </c>
      <c r="J167" s="6">
        <v>298424.75000000006</v>
      </c>
      <c r="K167" s="6">
        <v>73293.850000000006</v>
      </c>
      <c r="L167" s="6">
        <v>5329.02</v>
      </c>
      <c r="M167" s="6">
        <v>1308.82</v>
      </c>
      <c r="N167" s="7">
        <v>3318.92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11151.57</v>
      </c>
      <c r="U167" s="6">
        <v>9956.76</v>
      </c>
      <c r="V167" s="6">
        <v>199.14</v>
      </c>
      <c r="X167" s="46">
        <v>45784</v>
      </c>
      <c r="Y167" s="1">
        <v>25111559</v>
      </c>
      <c r="AA167" s="1">
        <v>280069</v>
      </c>
      <c r="AC167" s="46">
        <v>45777</v>
      </c>
      <c r="AD167" s="1">
        <v>44</v>
      </c>
      <c r="AI167" s="2">
        <v>298424.75000000006</v>
      </c>
      <c r="AJ167" s="2">
        <v>73293.850000000006</v>
      </c>
      <c r="AK167" s="2">
        <v>5329.02</v>
      </c>
      <c r="AL167" s="2">
        <v>1308.82</v>
      </c>
      <c r="AM167" s="5">
        <v>3318.92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11151.57</v>
      </c>
      <c r="AT167" s="12">
        <v>9956.76</v>
      </c>
      <c r="AU167" s="2">
        <v>199.14</v>
      </c>
      <c r="BL167" s="1" t="s">
        <v>90</v>
      </c>
    </row>
    <row r="168" spans="1:64" x14ac:dyDescent="0.3">
      <c r="A168" t="s">
        <v>742</v>
      </c>
      <c r="B168" s="1" t="s">
        <v>742</v>
      </c>
      <c r="C168" s="9" t="s">
        <v>743</v>
      </c>
      <c r="D168" s="1" t="s">
        <v>44</v>
      </c>
      <c r="E168" s="1" t="s">
        <v>88</v>
      </c>
      <c r="F168" s="10" t="s">
        <v>114</v>
      </c>
      <c r="G168" s="1">
        <v>3.5000000000000003E-2</v>
      </c>
      <c r="H168" s="1">
        <v>0.02</v>
      </c>
      <c r="I168" s="8">
        <v>45083</v>
      </c>
      <c r="J168" s="6">
        <v>353621.69</v>
      </c>
      <c r="K168" s="6">
        <v>106777.74</v>
      </c>
      <c r="L168" s="6">
        <v>6314.67</v>
      </c>
      <c r="M168" s="6">
        <v>1906.74</v>
      </c>
      <c r="N168" s="7">
        <v>4110.71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13811.97</v>
      </c>
      <c r="U168" s="6">
        <v>12332.119999999999</v>
      </c>
      <c r="V168" s="6">
        <v>246.64</v>
      </c>
      <c r="X168" s="46">
        <v>45784</v>
      </c>
      <c r="Y168" s="1">
        <v>25111560</v>
      </c>
      <c r="AA168" s="1">
        <v>280070</v>
      </c>
      <c r="AC168" s="46">
        <v>45777</v>
      </c>
      <c r="AD168" s="1">
        <v>45</v>
      </c>
      <c r="AI168" s="2">
        <v>353621.69</v>
      </c>
      <c r="AJ168" s="2">
        <v>106777.74</v>
      </c>
      <c r="AK168" s="2">
        <v>6314.67</v>
      </c>
      <c r="AL168" s="2">
        <v>1906.74</v>
      </c>
      <c r="AM168" s="5">
        <v>4110.71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13811.97</v>
      </c>
      <c r="AT168" s="12">
        <v>12332.119999999999</v>
      </c>
      <c r="AU168" s="2">
        <v>246.64</v>
      </c>
      <c r="BL168" s="1" t="s">
        <v>90</v>
      </c>
    </row>
    <row r="169" spans="1:64" x14ac:dyDescent="0.3">
      <c r="A169" t="s">
        <v>755</v>
      </c>
      <c r="B169" s="1" t="s">
        <v>755</v>
      </c>
      <c r="C169" s="9" t="s">
        <v>756</v>
      </c>
      <c r="D169" s="1" t="s">
        <v>44</v>
      </c>
      <c r="E169" s="1" t="s">
        <v>88</v>
      </c>
      <c r="F169" s="10" t="s">
        <v>104</v>
      </c>
      <c r="G169" s="1">
        <v>0</v>
      </c>
      <c r="H169" s="1">
        <v>0.02</v>
      </c>
      <c r="I169" s="8">
        <v>44612</v>
      </c>
      <c r="J169" s="6">
        <v>498460</v>
      </c>
      <c r="K169" s="6">
        <v>130457</v>
      </c>
      <c r="L169" s="6">
        <v>8901.07</v>
      </c>
      <c r="M169" s="6">
        <v>2329.59</v>
      </c>
      <c r="N169" s="7">
        <v>5615.33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18867.509999999998</v>
      </c>
      <c r="U169" s="6">
        <v>16845.989999999998</v>
      </c>
      <c r="V169" s="6">
        <v>336.92</v>
      </c>
      <c r="X169" s="46">
        <v>45784</v>
      </c>
      <c r="Y169" s="1">
        <v>25111561</v>
      </c>
      <c r="AA169" s="1">
        <v>280071</v>
      </c>
      <c r="AC169" s="46">
        <v>45777</v>
      </c>
      <c r="AD169" s="1">
        <v>46</v>
      </c>
      <c r="AI169" s="2">
        <v>498460</v>
      </c>
      <c r="AJ169" s="2">
        <v>130457</v>
      </c>
      <c r="AK169" s="2">
        <v>8901.07</v>
      </c>
      <c r="AL169" s="2">
        <v>2329.59</v>
      </c>
      <c r="AM169" s="5">
        <v>5615.33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18867.509999999998</v>
      </c>
      <c r="AT169" s="12">
        <v>16845.989999999998</v>
      </c>
      <c r="AU169" s="2">
        <v>336.92</v>
      </c>
      <c r="BL169" s="1" t="s">
        <v>90</v>
      </c>
    </row>
    <row r="170" spans="1:64" x14ac:dyDescent="0.3">
      <c r="A170" t="s">
        <v>765</v>
      </c>
      <c r="B170" s="1" t="s">
        <v>765</v>
      </c>
      <c r="C170" s="9" t="s">
        <v>766</v>
      </c>
      <c r="D170" s="1" t="s">
        <v>44</v>
      </c>
      <c r="E170" s="1" t="s">
        <v>88</v>
      </c>
      <c r="F170" s="10" t="s">
        <v>101</v>
      </c>
      <c r="G170" s="1">
        <v>3.5000000000000003E-2</v>
      </c>
      <c r="H170" s="1">
        <v>0.02</v>
      </c>
      <c r="I170" s="8">
        <v>45003</v>
      </c>
      <c r="J170" s="6">
        <v>1047475</v>
      </c>
      <c r="K170" s="6">
        <v>227286.31</v>
      </c>
      <c r="L170" s="6">
        <v>18704.91</v>
      </c>
      <c r="M170" s="6">
        <v>4058.69</v>
      </c>
      <c r="N170" s="7">
        <v>11381.79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38242.839999999997</v>
      </c>
      <c r="U170" s="6">
        <v>34145.39</v>
      </c>
      <c r="V170" s="6">
        <v>682.91</v>
      </c>
      <c r="X170" s="46">
        <v>45784</v>
      </c>
      <c r="Y170" s="1">
        <v>25111562</v>
      </c>
      <c r="AA170" s="1">
        <v>280072</v>
      </c>
      <c r="AC170" s="46">
        <v>45777</v>
      </c>
      <c r="AD170" s="1">
        <v>47</v>
      </c>
      <c r="AI170" s="2">
        <v>1047475</v>
      </c>
      <c r="AJ170" s="2">
        <v>227286.31</v>
      </c>
      <c r="AK170" s="2">
        <v>18704.91</v>
      </c>
      <c r="AL170" s="2">
        <v>4058.69</v>
      </c>
      <c r="AM170" s="5">
        <v>11381.79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38242.839999999997</v>
      </c>
      <c r="AT170" s="12">
        <v>34145.39</v>
      </c>
      <c r="AU170" s="2">
        <v>682.91</v>
      </c>
      <c r="BL170" s="1" t="s">
        <v>90</v>
      </c>
    </row>
    <row r="171" spans="1:64" x14ac:dyDescent="0.3">
      <c r="A171" t="s">
        <v>810</v>
      </c>
      <c r="B171" s="1" t="s">
        <v>810</v>
      </c>
      <c r="C171" s="9" t="s">
        <v>811</v>
      </c>
      <c r="D171" s="1" t="s">
        <v>44</v>
      </c>
      <c r="E171" s="1" t="s">
        <v>88</v>
      </c>
      <c r="F171" s="10" t="s">
        <v>104</v>
      </c>
      <c r="G171" s="1">
        <v>0</v>
      </c>
      <c r="H171" s="1">
        <v>0.02</v>
      </c>
      <c r="I171" s="8">
        <v>44936</v>
      </c>
      <c r="J171" s="6">
        <v>165579</v>
      </c>
      <c r="K171" s="6">
        <v>56670</v>
      </c>
      <c r="L171" s="6">
        <v>2956.77</v>
      </c>
      <c r="M171" s="6">
        <v>1011.96</v>
      </c>
      <c r="N171" s="7">
        <v>1984.37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6667.47</v>
      </c>
      <c r="U171" s="6">
        <v>5953.1</v>
      </c>
      <c r="V171" s="6">
        <v>119.06</v>
      </c>
      <c r="X171" s="46">
        <v>45784</v>
      </c>
      <c r="Y171" s="1">
        <v>25111563</v>
      </c>
      <c r="AA171" s="1">
        <v>280073</v>
      </c>
      <c r="AC171" s="46">
        <v>45777</v>
      </c>
      <c r="AD171" s="1">
        <v>48</v>
      </c>
      <c r="AI171" s="2">
        <v>165579</v>
      </c>
      <c r="AJ171" s="2">
        <v>56670</v>
      </c>
      <c r="AK171" s="2">
        <v>2956.77</v>
      </c>
      <c r="AL171" s="2">
        <v>1011.96</v>
      </c>
      <c r="AM171" s="5">
        <v>1984.37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6667.47</v>
      </c>
      <c r="AT171" s="12">
        <v>5953.1</v>
      </c>
      <c r="AU171" s="2">
        <v>119.06</v>
      </c>
      <c r="BL171" s="1" t="s">
        <v>90</v>
      </c>
    </row>
    <row r="172" spans="1:64" x14ac:dyDescent="0.3">
      <c r="A172" t="s">
        <v>836</v>
      </c>
      <c r="B172" s="1" t="s">
        <v>836</v>
      </c>
      <c r="C172" s="9" t="s">
        <v>837</v>
      </c>
      <c r="D172" s="1" t="s">
        <v>44</v>
      </c>
      <c r="E172" s="1" t="s">
        <v>88</v>
      </c>
      <c r="F172" s="10" t="s">
        <v>181</v>
      </c>
      <c r="G172" s="1">
        <v>0</v>
      </c>
      <c r="H172" s="1">
        <v>0.02</v>
      </c>
      <c r="I172" s="8">
        <v>45641</v>
      </c>
      <c r="J172" s="6">
        <v>871946.15</v>
      </c>
      <c r="K172" s="6">
        <v>213006</v>
      </c>
      <c r="L172" s="6">
        <v>15570.47</v>
      </c>
      <c r="M172" s="6">
        <v>3803.69</v>
      </c>
      <c r="N172" s="7">
        <v>9687.07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32548.58</v>
      </c>
      <c r="U172" s="6">
        <v>29061.23</v>
      </c>
      <c r="V172" s="6">
        <v>581.23</v>
      </c>
      <c r="W172" s="6">
        <v>0</v>
      </c>
      <c r="X172" s="46">
        <v>45784</v>
      </c>
      <c r="Y172" s="1">
        <v>25111564</v>
      </c>
      <c r="AA172" s="1">
        <v>280074</v>
      </c>
      <c r="AC172" s="46">
        <v>45777</v>
      </c>
      <c r="AD172" s="1">
        <v>49</v>
      </c>
      <c r="AI172" s="2">
        <v>871946.15</v>
      </c>
      <c r="AJ172" s="2">
        <v>213006</v>
      </c>
      <c r="AK172" s="2">
        <v>15570.47</v>
      </c>
      <c r="AL172" s="2">
        <v>3803.69</v>
      </c>
      <c r="AM172" s="5">
        <v>9687.07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32548.58</v>
      </c>
      <c r="AT172" s="12">
        <v>29061.23</v>
      </c>
      <c r="AU172" s="2">
        <v>581.23</v>
      </c>
      <c r="AV172" s="5">
        <v>0</v>
      </c>
      <c r="BL172" s="1" t="s">
        <v>90</v>
      </c>
    </row>
    <row r="173" spans="1:64" x14ac:dyDescent="0.3">
      <c r="A173" t="s">
        <v>842</v>
      </c>
      <c r="B173" s="1" t="s">
        <v>842</v>
      </c>
      <c r="C173" s="9" t="s">
        <v>843</v>
      </c>
      <c r="D173" s="1" t="s">
        <v>44</v>
      </c>
      <c r="E173" s="1" t="s">
        <v>88</v>
      </c>
      <c r="F173" s="10" t="s">
        <v>178</v>
      </c>
      <c r="G173" s="1">
        <v>0</v>
      </c>
      <c r="H173" s="1">
        <v>0.02</v>
      </c>
      <c r="I173" s="8">
        <v>44878</v>
      </c>
      <c r="J173" s="6">
        <v>403820.5</v>
      </c>
      <c r="K173" s="6">
        <v>116760</v>
      </c>
      <c r="L173" s="6">
        <v>7211.08</v>
      </c>
      <c r="M173" s="6">
        <v>2085</v>
      </c>
      <c r="N173" s="7">
        <v>4648.04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15617.41</v>
      </c>
      <c r="U173" s="6">
        <v>13944.119999999999</v>
      </c>
      <c r="V173" s="6">
        <v>278.88</v>
      </c>
      <c r="X173" s="46">
        <v>45784</v>
      </c>
      <c r="Y173" s="1">
        <v>25111565</v>
      </c>
      <c r="AA173" s="1">
        <v>280075</v>
      </c>
      <c r="AC173" s="46">
        <v>45777</v>
      </c>
      <c r="AD173" s="1">
        <v>50</v>
      </c>
      <c r="AI173" s="2">
        <v>403820.5</v>
      </c>
      <c r="AJ173" s="2">
        <v>116760</v>
      </c>
      <c r="AK173" s="2">
        <v>7211.08</v>
      </c>
      <c r="AL173" s="2">
        <v>2085</v>
      </c>
      <c r="AM173" s="5">
        <v>4648.04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15617.41</v>
      </c>
      <c r="AT173" s="12">
        <v>13944.119999999999</v>
      </c>
      <c r="AU173" s="2">
        <v>278.88</v>
      </c>
      <c r="BL173" s="1" t="s">
        <v>90</v>
      </c>
    </row>
    <row r="174" spans="1:64" x14ac:dyDescent="0.3">
      <c r="A174" t="s">
        <v>846</v>
      </c>
      <c r="B174" s="1" t="s">
        <v>846</v>
      </c>
      <c r="C174" s="9" t="s">
        <v>847</v>
      </c>
      <c r="D174" s="1" t="s">
        <v>44</v>
      </c>
      <c r="E174" s="1" t="s">
        <v>88</v>
      </c>
      <c r="F174" s="10" t="s">
        <v>848</v>
      </c>
      <c r="G174" s="1">
        <v>0</v>
      </c>
      <c r="H174" s="1">
        <v>0.02</v>
      </c>
      <c r="I174" s="8">
        <v>44009</v>
      </c>
      <c r="J174" s="6">
        <v>212544</v>
      </c>
      <c r="K174" s="6">
        <v>42314</v>
      </c>
      <c r="L174" s="6">
        <v>3795.43</v>
      </c>
      <c r="M174" s="6">
        <v>755.61</v>
      </c>
      <c r="N174" s="7">
        <v>2275.52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7645.75</v>
      </c>
      <c r="U174" s="6">
        <v>6826.5599999999995</v>
      </c>
      <c r="V174" s="6">
        <v>136.53</v>
      </c>
      <c r="X174" s="46">
        <v>45784</v>
      </c>
      <c r="Y174" s="1">
        <v>25111566</v>
      </c>
      <c r="AA174" s="1">
        <v>280076</v>
      </c>
      <c r="AC174" s="46">
        <v>45777</v>
      </c>
      <c r="AD174" s="1">
        <v>51</v>
      </c>
      <c r="AI174" s="2">
        <v>212544</v>
      </c>
      <c r="AJ174" s="2">
        <v>42314</v>
      </c>
      <c r="AK174" s="2">
        <v>3795.43</v>
      </c>
      <c r="AL174" s="2">
        <v>755.61</v>
      </c>
      <c r="AM174" s="5">
        <v>2275.52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7645.75</v>
      </c>
      <c r="AT174" s="12">
        <v>6826.5599999999995</v>
      </c>
      <c r="AU174" s="2">
        <v>136.53</v>
      </c>
      <c r="BL174" s="1" t="s">
        <v>90</v>
      </c>
    </row>
    <row r="175" spans="1:64" x14ac:dyDescent="0.3">
      <c r="A175" t="s">
        <v>851</v>
      </c>
      <c r="B175" s="1" t="s">
        <v>851</v>
      </c>
      <c r="C175" s="9" t="s">
        <v>852</v>
      </c>
      <c r="D175" s="1" t="s">
        <v>44</v>
      </c>
      <c r="E175" s="1" t="s">
        <v>88</v>
      </c>
      <c r="F175" s="10" t="s">
        <v>853</v>
      </c>
      <c r="G175" s="1">
        <v>2.5000000000000001E-2</v>
      </c>
      <c r="H175" s="1">
        <v>0.02</v>
      </c>
      <c r="I175" s="8">
        <v>45716</v>
      </c>
      <c r="J175" s="6">
        <v>215923.45</v>
      </c>
      <c r="K175" s="6">
        <v>93971</v>
      </c>
      <c r="L175" s="6">
        <v>3855.78</v>
      </c>
      <c r="M175" s="6">
        <v>1678.05</v>
      </c>
      <c r="N175" s="7">
        <v>2766.91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9296.83</v>
      </c>
      <c r="U175" s="6">
        <v>8300.74</v>
      </c>
      <c r="V175" s="6">
        <v>166.01</v>
      </c>
      <c r="X175" s="46">
        <v>45784</v>
      </c>
      <c r="Y175" s="1">
        <v>25111567</v>
      </c>
      <c r="AA175" s="1">
        <v>280077</v>
      </c>
      <c r="AC175" s="46">
        <v>45777</v>
      </c>
      <c r="AD175" s="1">
        <v>52</v>
      </c>
      <c r="AI175" s="2">
        <v>215923.45</v>
      </c>
      <c r="AJ175" s="2">
        <v>93971</v>
      </c>
      <c r="AK175" s="2">
        <v>3855.78</v>
      </c>
      <c r="AL175" s="2">
        <v>1678.05</v>
      </c>
      <c r="AM175" s="5">
        <v>2766.91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9296.83</v>
      </c>
      <c r="AT175" s="12">
        <v>8300.74</v>
      </c>
      <c r="AU175" s="2">
        <v>166.01</v>
      </c>
      <c r="BL175" s="1" t="s">
        <v>90</v>
      </c>
    </row>
    <row r="176" spans="1:64" x14ac:dyDescent="0.3">
      <c r="A176" t="s">
        <v>854</v>
      </c>
      <c r="B176" s="1" t="s">
        <v>854</v>
      </c>
      <c r="C176" s="9" t="s">
        <v>855</v>
      </c>
      <c r="D176" s="1" t="s">
        <v>44</v>
      </c>
      <c r="E176" s="1" t="s">
        <v>88</v>
      </c>
      <c r="F176" s="10" t="s">
        <v>853</v>
      </c>
      <c r="G176" s="1">
        <v>0</v>
      </c>
      <c r="H176" s="1">
        <v>0.02</v>
      </c>
      <c r="I176" s="8">
        <v>45716</v>
      </c>
      <c r="J176" s="6">
        <v>164324</v>
      </c>
      <c r="K176" s="6">
        <v>41491</v>
      </c>
      <c r="L176" s="6">
        <v>2934.36</v>
      </c>
      <c r="M176" s="6">
        <v>740.91</v>
      </c>
      <c r="N176" s="7">
        <v>1837.63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6174.45</v>
      </c>
      <c r="U176" s="6">
        <v>5512.9</v>
      </c>
      <c r="V176" s="6">
        <v>110.26</v>
      </c>
      <c r="X176" s="46">
        <v>45784</v>
      </c>
      <c r="Y176" s="1">
        <v>25111568</v>
      </c>
      <c r="AA176" s="1">
        <v>280078</v>
      </c>
      <c r="AC176" s="46">
        <v>45777</v>
      </c>
      <c r="AD176" s="1">
        <v>53</v>
      </c>
      <c r="AI176" s="2">
        <v>164324</v>
      </c>
      <c r="AJ176" s="2">
        <v>41491</v>
      </c>
      <c r="AK176" s="2">
        <v>2934.36</v>
      </c>
      <c r="AL176" s="2">
        <v>740.91</v>
      </c>
      <c r="AM176" s="5">
        <v>1837.63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6174.45</v>
      </c>
      <c r="AT176" s="12">
        <v>5512.9</v>
      </c>
      <c r="AU176" s="2">
        <v>110.26</v>
      </c>
      <c r="BL176" s="1" t="s">
        <v>90</v>
      </c>
    </row>
    <row r="177" spans="1:64" x14ac:dyDescent="0.3">
      <c r="A177" t="s">
        <v>856</v>
      </c>
      <c r="B177" s="1" t="s">
        <v>856</v>
      </c>
      <c r="C177" s="9" t="s">
        <v>857</v>
      </c>
      <c r="D177" s="1" t="s">
        <v>44</v>
      </c>
      <c r="E177" s="1" t="s">
        <v>88</v>
      </c>
      <c r="F177" s="10" t="s">
        <v>848</v>
      </c>
      <c r="G177" s="1">
        <v>2.5000000000000001E-2</v>
      </c>
      <c r="H177" s="1">
        <v>0.02</v>
      </c>
      <c r="I177" s="8">
        <v>44051</v>
      </c>
      <c r="J177" s="6">
        <v>224683</v>
      </c>
      <c r="K177" s="6">
        <v>94243</v>
      </c>
      <c r="L177" s="6">
        <v>4012.2</v>
      </c>
      <c r="M177" s="6">
        <v>1682.91</v>
      </c>
      <c r="N177" s="7">
        <v>2847.55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9567.7800000000007</v>
      </c>
      <c r="U177" s="6">
        <v>8542.66</v>
      </c>
      <c r="V177" s="6">
        <v>170.85</v>
      </c>
      <c r="X177" s="46">
        <v>45784</v>
      </c>
      <c r="Y177" s="1">
        <v>25111569</v>
      </c>
      <c r="AA177" s="1">
        <v>280079</v>
      </c>
      <c r="AC177" s="46">
        <v>45777</v>
      </c>
      <c r="AD177" s="1">
        <v>54</v>
      </c>
      <c r="AI177" s="2">
        <v>224683</v>
      </c>
      <c r="AJ177" s="2">
        <v>94243</v>
      </c>
      <c r="AK177" s="2">
        <v>4012.2</v>
      </c>
      <c r="AL177" s="2">
        <v>1682.91</v>
      </c>
      <c r="AM177" s="5">
        <v>2847.55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9567.7800000000007</v>
      </c>
      <c r="AT177" s="12">
        <v>8542.66</v>
      </c>
      <c r="AU177" s="2">
        <v>170.85</v>
      </c>
      <c r="BL177" s="1" t="s">
        <v>90</v>
      </c>
    </row>
    <row r="178" spans="1:64" x14ac:dyDescent="0.3">
      <c r="A178" t="s">
        <v>858</v>
      </c>
      <c r="B178" s="1" t="s">
        <v>858</v>
      </c>
      <c r="C178" s="9" t="s">
        <v>859</v>
      </c>
      <c r="D178" s="1" t="s">
        <v>44</v>
      </c>
      <c r="E178" s="1" t="s">
        <v>88</v>
      </c>
      <c r="F178" s="10" t="s">
        <v>848</v>
      </c>
      <c r="G178" s="1">
        <v>2.5000000000000001E-2</v>
      </c>
      <c r="H178" s="1">
        <v>0.02</v>
      </c>
      <c r="I178" s="8">
        <v>44054</v>
      </c>
      <c r="J178" s="6">
        <v>235271</v>
      </c>
      <c r="K178" s="6">
        <v>38111</v>
      </c>
      <c r="L178" s="6">
        <v>4201.2700000000004</v>
      </c>
      <c r="M178" s="6">
        <v>680.55</v>
      </c>
      <c r="N178" s="7">
        <v>2440.91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8201.4599999999991</v>
      </c>
      <c r="U178" s="6">
        <v>7322.7300000000005</v>
      </c>
      <c r="V178" s="6">
        <v>146.44999999999999</v>
      </c>
      <c r="X178" s="46">
        <v>45784</v>
      </c>
      <c r="Y178" s="1">
        <v>25111570</v>
      </c>
      <c r="AA178" s="1">
        <v>280080</v>
      </c>
      <c r="AC178" s="46">
        <v>45777</v>
      </c>
      <c r="AD178" s="1">
        <v>55</v>
      </c>
      <c r="AI178" s="2">
        <v>235271</v>
      </c>
      <c r="AJ178" s="2">
        <v>38111</v>
      </c>
      <c r="AK178" s="2">
        <v>4201.2700000000004</v>
      </c>
      <c r="AL178" s="2">
        <v>680.55</v>
      </c>
      <c r="AM178" s="5">
        <v>2440.91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8201.4599999999991</v>
      </c>
      <c r="AT178" s="12">
        <v>7322.7300000000005</v>
      </c>
      <c r="AU178" s="2">
        <v>146.44999999999999</v>
      </c>
      <c r="BL178" s="1" t="s">
        <v>90</v>
      </c>
    </row>
    <row r="179" spans="1:64" x14ac:dyDescent="0.3">
      <c r="A179" t="s">
        <v>862</v>
      </c>
      <c r="B179" s="1" t="s">
        <v>862</v>
      </c>
      <c r="C179" s="9" t="s">
        <v>863</v>
      </c>
      <c r="D179" s="1" t="s">
        <v>44</v>
      </c>
      <c r="E179" s="1" t="s">
        <v>88</v>
      </c>
      <c r="F179" s="10" t="s">
        <v>848</v>
      </c>
      <c r="G179" s="1">
        <v>3.5000000000000003E-2</v>
      </c>
      <c r="H179" s="1">
        <v>0.02</v>
      </c>
      <c r="I179" s="8">
        <v>44009</v>
      </c>
      <c r="J179" s="6">
        <v>147857</v>
      </c>
      <c r="K179" s="6">
        <v>29520</v>
      </c>
      <c r="L179" s="6">
        <v>2640.3</v>
      </c>
      <c r="M179" s="6">
        <v>527.14</v>
      </c>
      <c r="N179" s="7">
        <v>1583.72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5321.3</v>
      </c>
      <c r="U179" s="6">
        <v>4751.16</v>
      </c>
      <c r="V179" s="6">
        <v>95.02</v>
      </c>
      <c r="X179" s="46">
        <v>45784</v>
      </c>
      <c r="Y179" s="1">
        <v>25111571</v>
      </c>
      <c r="AA179" s="1">
        <v>280081</v>
      </c>
      <c r="AC179" s="46">
        <v>45777</v>
      </c>
      <c r="AD179" s="1">
        <v>56</v>
      </c>
      <c r="AI179" s="2">
        <v>147857</v>
      </c>
      <c r="AJ179" s="2">
        <v>29520</v>
      </c>
      <c r="AK179" s="2">
        <v>2640.3</v>
      </c>
      <c r="AL179" s="2">
        <v>527.14</v>
      </c>
      <c r="AM179" s="5">
        <v>1583.72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5321.3</v>
      </c>
      <c r="AT179" s="12">
        <v>4751.16</v>
      </c>
      <c r="AU179" s="2">
        <v>95.02</v>
      </c>
      <c r="BL179" s="1" t="s">
        <v>90</v>
      </c>
    </row>
    <row r="180" spans="1:64" x14ac:dyDescent="0.3">
      <c r="A180" t="s">
        <v>864</v>
      </c>
      <c r="B180" s="1" t="s">
        <v>864</v>
      </c>
      <c r="C180" s="9" t="s">
        <v>865</v>
      </c>
      <c r="D180" s="1" t="s">
        <v>44</v>
      </c>
      <c r="E180" s="1" t="s">
        <v>88</v>
      </c>
      <c r="F180" s="10" t="s">
        <v>853</v>
      </c>
      <c r="G180" s="1">
        <v>2.5000000000000001E-2</v>
      </c>
      <c r="H180" s="1">
        <v>0.02</v>
      </c>
      <c r="I180" s="8">
        <v>44204</v>
      </c>
      <c r="J180" s="6">
        <v>125180</v>
      </c>
      <c r="K180" s="6">
        <v>54345</v>
      </c>
      <c r="L180" s="6">
        <v>2235.36</v>
      </c>
      <c r="M180" s="6">
        <v>970.45</v>
      </c>
      <c r="N180" s="7">
        <v>1602.9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5385.76</v>
      </c>
      <c r="U180" s="6">
        <v>4808.7100000000009</v>
      </c>
      <c r="V180" s="6">
        <v>96.17</v>
      </c>
      <c r="X180" s="46">
        <v>45784</v>
      </c>
      <c r="Y180" s="1">
        <v>25111572</v>
      </c>
      <c r="AA180" s="1">
        <v>280082</v>
      </c>
      <c r="AC180" s="46">
        <v>45777</v>
      </c>
      <c r="AD180" s="1">
        <v>57</v>
      </c>
      <c r="AI180" s="2">
        <v>125180</v>
      </c>
      <c r="AJ180" s="2">
        <v>54345</v>
      </c>
      <c r="AK180" s="2">
        <v>2235.36</v>
      </c>
      <c r="AL180" s="2">
        <v>970.45</v>
      </c>
      <c r="AM180" s="5">
        <v>1602.9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5385.76</v>
      </c>
      <c r="AT180" s="12">
        <v>4808.7100000000009</v>
      </c>
      <c r="AU180" s="2">
        <v>96.17</v>
      </c>
      <c r="BL180" s="1" t="s">
        <v>90</v>
      </c>
    </row>
    <row r="181" spans="1:64" x14ac:dyDescent="0.3">
      <c r="A181" t="s">
        <v>866</v>
      </c>
      <c r="B181" s="1" t="s">
        <v>866</v>
      </c>
      <c r="C181" s="9" t="s">
        <v>867</v>
      </c>
      <c r="D181" s="1" t="s">
        <v>44</v>
      </c>
      <c r="E181" s="1" t="s">
        <v>88</v>
      </c>
      <c r="F181" s="10" t="s">
        <v>853</v>
      </c>
      <c r="G181" s="1">
        <v>3.5000000000000003E-2</v>
      </c>
      <c r="H181" s="1">
        <v>0.02</v>
      </c>
      <c r="I181" s="8">
        <v>44661</v>
      </c>
      <c r="J181" s="6">
        <v>153512</v>
      </c>
      <c r="K181" s="6">
        <v>41524</v>
      </c>
      <c r="L181" s="6">
        <v>2741.29</v>
      </c>
      <c r="M181" s="6">
        <v>741.5</v>
      </c>
      <c r="N181" s="7">
        <v>1741.39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5851.08</v>
      </c>
      <c r="U181" s="6">
        <v>5224.18</v>
      </c>
      <c r="V181" s="6">
        <v>104.48</v>
      </c>
      <c r="X181" s="46">
        <v>45784</v>
      </c>
      <c r="Y181" s="1">
        <v>25111573</v>
      </c>
      <c r="AA181" s="1">
        <v>280083</v>
      </c>
      <c r="AC181" s="46">
        <v>45777</v>
      </c>
      <c r="AD181" s="1">
        <v>58</v>
      </c>
      <c r="AI181" s="2">
        <v>153512</v>
      </c>
      <c r="AJ181" s="2">
        <v>41524</v>
      </c>
      <c r="AK181" s="2">
        <v>2741.29</v>
      </c>
      <c r="AL181" s="2">
        <v>741.5</v>
      </c>
      <c r="AM181" s="5">
        <v>1741.39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5851.08</v>
      </c>
      <c r="AT181" s="12">
        <v>5224.18</v>
      </c>
      <c r="AU181" s="2">
        <v>104.48</v>
      </c>
      <c r="BL181" s="1" t="s">
        <v>90</v>
      </c>
    </row>
    <row r="182" spans="1:64" x14ac:dyDescent="0.3">
      <c r="A182" t="s">
        <v>868</v>
      </c>
      <c r="B182" s="1" t="s">
        <v>868</v>
      </c>
      <c r="C182" s="9" t="s">
        <v>869</v>
      </c>
      <c r="D182" s="1" t="s">
        <v>44</v>
      </c>
      <c r="E182" s="1" t="s">
        <v>88</v>
      </c>
      <c r="F182" s="10" t="s">
        <v>188</v>
      </c>
      <c r="G182" s="1">
        <v>3.5000000000000003E-2</v>
      </c>
      <c r="H182" s="1">
        <v>0.02</v>
      </c>
      <c r="I182" s="8">
        <v>44755</v>
      </c>
      <c r="J182" s="6">
        <v>124538</v>
      </c>
      <c r="K182" s="6">
        <v>52325</v>
      </c>
      <c r="L182" s="6">
        <v>2223.89</v>
      </c>
      <c r="M182" s="6">
        <v>934.37</v>
      </c>
      <c r="N182" s="7">
        <v>1579.13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5305.88</v>
      </c>
      <c r="U182" s="6">
        <v>4737.3899999999994</v>
      </c>
      <c r="V182" s="6">
        <v>94.75</v>
      </c>
      <c r="X182" s="46">
        <v>45784</v>
      </c>
      <c r="Y182" s="1">
        <v>25111574</v>
      </c>
      <c r="AA182" s="1">
        <v>280084</v>
      </c>
      <c r="AC182" s="46">
        <v>45777</v>
      </c>
      <c r="AD182" s="1">
        <v>59</v>
      </c>
      <c r="AI182" s="2">
        <v>124538</v>
      </c>
      <c r="AJ182" s="2">
        <v>52325</v>
      </c>
      <c r="AK182" s="2">
        <v>2223.89</v>
      </c>
      <c r="AL182" s="2">
        <v>934.37</v>
      </c>
      <c r="AM182" s="5">
        <v>1579.13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5305.88</v>
      </c>
      <c r="AT182" s="12">
        <v>4737.3899999999994</v>
      </c>
      <c r="AU182" s="2">
        <v>94.75</v>
      </c>
      <c r="BL182" s="1" t="s">
        <v>90</v>
      </c>
    </row>
    <row r="183" spans="1:64" x14ac:dyDescent="0.3">
      <c r="A183" t="s">
        <v>870</v>
      </c>
      <c r="B183" s="1" t="s">
        <v>870</v>
      </c>
      <c r="C183" s="9" t="s">
        <v>871</v>
      </c>
      <c r="D183" s="1" t="s">
        <v>44</v>
      </c>
      <c r="E183" s="1" t="s">
        <v>88</v>
      </c>
      <c r="F183" s="10" t="s">
        <v>101</v>
      </c>
      <c r="G183" s="1">
        <v>3.5000000000000003E-2</v>
      </c>
      <c r="H183" s="1">
        <v>0.02</v>
      </c>
      <c r="I183" s="8">
        <v>45003</v>
      </c>
      <c r="J183" s="6">
        <v>595481.09</v>
      </c>
      <c r="K183" s="6">
        <v>94861</v>
      </c>
      <c r="L183" s="6">
        <v>10633.59</v>
      </c>
      <c r="M183" s="6">
        <v>1693.95</v>
      </c>
      <c r="N183" s="7">
        <v>6163.77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20710.27</v>
      </c>
      <c r="U183" s="6">
        <v>18491.310000000001</v>
      </c>
      <c r="V183" s="6">
        <v>369.83</v>
      </c>
      <c r="X183" s="46">
        <v>45784</v>
      </c>
      <c r="Y183" s="1">
        <v>25111575</v>
      </c>
      <c r="AA183" s="1">
        <v>280085</v>
      </c>
      <c r="AC183" s="46">
        <v>45777</v>
      </c>
      <c r="AD183" s="1">
        <v>60</v>
      </c>
      <c r="AI183" s="2">
        <v>595481.09</v>
      </c>
      <c r="AJ183" s="2">
        <v>94861</v>
      </c>
      <c r="AK183" s="2">
        <v>10633.59</v>
      </c>
      <c r="AL183" s="2">
        <v>1693.95</v>
      </c>
      <c r="AM183" s="5">
        <v>6163.77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20710.27</v>
      </c>
      <c r="AT183" s="12">
        <v>18491.310000000001</v>
      </c>
      <c r="AU183" s="2">
        <v>369.83</v>
      </c>
      <c r="BL183" s="1" t="s">
        <v>90</v>
      </c>
    </row>
    <row r="184" spans="1:64" x14ac:dyDescent="0.3">
      <c r="A184" t="s">
        <v>872</v>
      </c>
      <c r="B184" s="1" t="s">
        <v>872</v>
      </c>
      <c r="C184" s="9" t="s">
        <v>873</v>
      </c>
      <c r="D184" s="1" t="s">
        <v>44</v>
      </c>
      <c r="E184" s="1" t="s">
        <v>88</v>
      </c>
      <c r="F184" s="10" t="s">
        <v>89</v>
      </c>
      <c r="G184" s="1">
        <v>2.5000000000000001E-2</v>
      </c>
      <c r="H184" s="1">
        <v>0.02</v>
      </c>
      <c r="I184" s="8">
        <v>44424</v>
      </c>
      <c r="J184" s="6">
        <v>702455.85</v>
      </c>
      <c r="K184" s="6">
        <v>350747.75</v>
      </c>
      <c r="L184" s="6">
        <v>12543.86</v>
      </c>
      <c r="M184" s="6">
        <v>6263.3600000000006</v>
      </c>
      <c r="N184" s="7">
        <v>9403.61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31596.13</v>
      </c>
      <c r="U184" s="6">
        <v>28210.83</v>
      </c>
      <c r="V184" s="6">
        <v>564.22</v>
      </c>
      <c r="W184" s="6">
        <v>0</v>
      </c>
      <c r="X184" s="46">
        <v>45784</v>
      </c>
      <c r="Y184" s="1">
        <v>25111576</v>
      </c>
      <c r="AA184" s="1">
        <v>280086</v>
      </c>
      <c r="AC184" s="46">
        <v>45777</v>
      </c>
      <c r="AD184" s="1">
        <v>61</v>
      </c>
      <c r="AI184" s="2">
        <v>702455.85</v>
      </c>
      <c r="AJ184" s="2">
        <v>350747.75</v>
      </c>
      <c r="AK184" s="2">
        <v>12543.86</v>
      </c>
      <c r="AL184" s="2">
        <v>6263.3600000000006</v>
      </c>
      <c r="AM184" s="5">
        <v>9403.61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31596.13</v>
      </c>
      <c r="AT184" s="12">
        <v>28210.83</v>
      </c>
      <c r="AU184" s="2">
        <v>564.22</v>
      </c>
      <c r="AV184" s="5">
        <v>0</v>
      </c>
      <c r="BL184" s="1" t="s">
        <v>90</v>
      </c>
    </row>
    <row r="185" spans="1:64" x14ac:dyDescent="0.3">
      <c r="A185" t="s">
        <v>878</v>
      </c>
      <c r="B185" s="1" t="s">
        <v>878</v>
      </c>
      <c r="C185" s="9" t="s">
        <v>879</v>
      </c>
      <c r="D185" s="1" t="s">
        <v>44</v>
      </c>
      <c r="E185" s="1" t="s">
        <v>88</v>
      </c>
      <c r="F185" s="10" t="s">
        <v>848</v>
      </c>
      <c r="G185" s="1">
        <v>2.5000000000000001E-2</v>
      </c>
      <c r="H185" s="1">
        <v>0.02</v>
      </c>
      <c r="I185" s="8">
        <v>44228</v>
      </c>
      <c r="J185" s="6">
        <v>261356</v>
      </c>
      <c r="K185" s="6">
        <v>115373</v>
      </c>
      <c r="L185" s="6">
        <v>4667.07</v>
      </c>
      <c r="M185" s="6">
        <v>2060.23</v>
      </c>
      <c r="N185" s="7">
        <v>3363.65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11301.86</v>
      </c>
      <c r="U185" s="6">
        <v>10090.949999999999</v>
      </c>
      <c r="V185" s="6">
        <v>201.82</v>
      </c>
      <c r="X185" s="46">
        <v>45784</v>
      </c>
      <c r="Y185" s="1">
        <v>25111577</v>
      </c>
      <c r="AA185" s="1">
        <v>280087</v>
      </c>
      <c r="AC185" s="46">
        <v>45777</v>
      </c>
      <c r="AD185" s="1">
        <v>62</v>
      </c>
      <c r="AI185" s="2">
        <v>261356</v>
      </c>
      <c r="AJ185" s="2">
        <v>115373</v>
      </c>
      <c r="AK185" s="2">
        <v>4667.07</v>
      </c>
      <c r="AL185" s="2">
        <v>2060.23</v>
      </c>
      <c r="AM185" s="5">
        <v>3363.65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11301.86</v>
      </c>
      <c r="AT185" s="12">
        <v>10090.949999999999</v>
      </c>
      <c r="AU185" s="2">
        <v>201.82</v>
      </c>
      <c r="BL185" s="1" t="s">
        <v>90</v>
      </c>
    </row>
    <row r="186" spans="1:64" x14ac:dyDescent="0.3">
      <c r="A186" t="s">
        <v>880</v>
      </c>
      <c r="B186" s="1" t="s">
        <v>880</v>
      </c>
      <c r="C186" s="9" t="s">
        <v>881</v>
      </c>
      <c r="D186" s="1" t="s">
        <v>44</v>
      </c>
      <c r="E186" s="1" t="s">
        <v>88</v>
      </c>
      <c r="F186" s="10" t="s">
        <v>848</v>
      </c>
      <c r="G186" s="1">
        <v>3.5000000000000003E-2</v>
      </c>
      <c r="H186" s="1">
        <v>0.02</v>
      </c>
      <c r="I186" s="8">
        <v>45777</v>
      </c>
      <c r="J186" s="6">
        <v>236471</v>
      </c>
      <c r="K186" s="6">
        <v>62328</v>
      </c>
      <c r="L186" s="6">
        <v>7284.15</v>
      </c>
      <c r="M186" s="6">
        <v>1919.92</v>
      </c>
      <c r="N186" s="7">
        <v>2667.85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13296.55</v>
      </c>
      <c r="U186" s="6">
        <v>11871.92</v>
      </c>
      <c r="V186" s="6">
        <v>237.44</v>
      </c>
      <c r="X186" s="46">
        <v>45784</v>
      </c>
      <c r="Y186" s="1">
        <v>25111578</v>
      </c>
      <c r="AA186" s="1">
        <v>280088</v>
      </c>
      <c r="AC186" s="46">
        <v>45777</v>
      </c>
      <c r="AD186" s="1">
        <v>63</v>
      </c>
      <c r="AI186" s="2">
        <v>236471</v>
      </c>
      <c r="AJ186" s="2">
        <v>62328</v>
      </c>
      <c r="AK186" s="2">
        <v>7284.15</v>
      </c>
      <c r="AL186" s="2">
        <v>1919.92</v>
      </c>
      <c r="AM186" s="5">
        <v>2667.85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13296.55</v>
      </c>
      <c r="AT186" s="12">
        <v>11871.92</v>
      </c>
      <c r="AU186" s="2">
        <v>237.44</v>
      </c>
      <c r="BL186" s="1" t="s">
        <v>90</v>
      </c>
    </row>
    <row r="187" spans="1:64" x14ac:dyDescent="0.3">
      <c r="A187" t="s">
        <v>882</v>
      </c>
      <c r="B187" s="1" t="s">
        <v>882</v>
      </c>
      <c r="C187" s="9" t="s">
        <v>883</v>
      </c>
      <c r="D187" s="1" t="s">
        <v>44</v>
      </c>
      <c r="E187" s="1" t="s">
        <v>88</v>
      </c>
      <c r="F187" s="10" t="s">
        <v>853</v>
      </c>
      <c r="G187" s="1">
        <v>0</v>
      </c>
      <c r="H187" s="1">
        <v>0.02</v>
      </c>
      <c r="I187" s="8">
        <v>44009</v>
      </c>
      <c r="J187" s="6">
        <v>154804</v>
      </c>
      <c r="K187" s="6">
        <v>54859</v>
      </c>
      <c r="L187" s="6">
        <v>2764.36</v>
      </c>
      <c r="M187" s="6">
        <v>979.62</v>
      </c>
      <c r="N187" s="7">
        <v>1871.99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6289.89</v>
      </c>
      <c r="U187" s="6">
        <v>5615.97</v>
      </c>
      <c r="V187" s="6">
        <v>112.32</v>
      </c>
      <c r="X187" s="46">
        <v>45784</v>
      </c>
      <c r="Y187" s="1">
        <v>25111579</v>
      </c>
      <c r="AA187" s="1">
        <v>280089</v>
      </c>
      <c r="AC187" s="46">
        <v>45777</v>
      </c>
      <c r="AD187" s="1">
        <v>64</v>
      </c>
      <c r="AI187" s="2">
        <v>154804</v>
      </c>
      <c r="AJ187" s="2">
        <v>54859</v>
      </c>
      <c r="AK187" s="2">
        <v>2764.36</v>
      </c>
      <c r="AL187" s="2">
        <v>979.62</v>
      </c>
      <c r="AM187" s="5">
        <v>1871.99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6289.89</v>
      </c>
      <c r="AT187" s="12">
        <v>5615.97</v>
      </c>
      <c r="AU187" s="2">
        <v>112.32</v>
      </c>
      <c r="BL187" s="1" t="s">
        <v>90</v>
      </c>
    </row>
    <row r="188" spans="1:64" x14ac:dyDescent="0.3">
      <c r="A188" t="s">
        <v>884</v>
      </c>
      <c r="B188" s="1" t="s">
        <v>884</v>
      </c>
      <c r="C188" s="9" t="s">
        <v>885</v>
      </c>
      <c r="D188" s="1" t="s">
        <v>44</v>
      </c>
      <c r="E188" s="1" t="s">
        <v>88</v>
      </c>
      <c r="F188" s="10" t="s">
        <v>853</v>
      </c>
      <c r="G188" s="1">
        <v>0</v>
      </c>
      <c r="H188" s="1">
        <v>0.02</v>
      </c>
      <c r="I188" s="8">
        <v>44903</v>
      </c>
      <c r="J188" s="6">
        <v>196481</v>
      </c>
      <c r="K188" s="6">
        <v>79371</v>
      </c>
      <c r="L188" s="6">
        <v>3508.59</v>
      </c>
      <c r="M188" s="6">
        <v>1417.34</v>
      </c>
      <c r="N188" s="7">
        <v>2462.96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8275.56</v>
      </c>
      <c r="U188" s="6">
        <v>7388.89</v>
      </c>
      <c r="V188" s="6">
        <v>147.78</v>
      </c>
      <c r="X188" s="46">
        <v>45784</v>
      </c>
      <c r="Y188" s="1">
        <v>25111580</v>
      </c>
      <c r="AA188" s="1">
        <v>280090</v>
      </c>
      <c r="AC188" s="46">
        <v>45777</v>
      </c>
      <c r="AD188" s="1">
        <v>65</v>
      </c>
      <c r="AI188" s="2">
        <v>196481</v>
      </c>
      <c r="AJ188" s="2">
        <v>79371</v>
      </c>
      <c r="AK188" s="2">
        <v>3508.59</v>
      </c>
      <c r="AL188" s="2">
        <v>1417.34</v>
      </c>
      <c r="AM188" s="5">
        <v>2462.96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8275.56</v>
      </c>
      <c r="AT188" s="12">
        <v>7388.89</v>
      </c>
      <c r="AU188" s="2">
        <v>147.78</v>
      </c>
      <c r="BL188" s="1" t="s">
        <v>90</v>
      </c>
    </row>
    <row r="189" spans="1:64" x14ac:dyDescent="0.3">
      <c r="A189" t="s">
        <v>904</v>
      </c>
      <c r="B189" s="1" t="s">
        <v>904</v>
      </c>
      <c r="C189" s="9" t="s">
        <v>905</v>
      </c>
      <c r="D189" s="1" t="s">
        <v>44</v>
      </c>
      <c r="E189" s="1" t="s">
        <v>88</v>
      </c>
      <c r="F189" s="10" t="s">
        <v>853</v>
      </c>
      <c r="G189" s="1">
        <v>0</v>
      </c>
      <c r="H189" s="1">
        <v>0.02</v>
      </c>
      <c r="I189" s="8">
        <v>44903</v>
      </c>
      <c r="J189" s="6">
        <v>76289</v>
      </c>
      <c r="K189" s="6">
        <v>25242</v>
      </c>
      <c r="L189" s="6">
        <v>1362.3</v>
      </c>
      <c r="M189" s="6">
        <v>450.75</v>
      </c>
      <c r="N189" s="7">
        <v>906.53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3045.93</v>
      </c>
      <c r="U189" s="6">
        <v>2719.58</v>
      </c>
      <c r="V189" s="6">
        <v>54.39</v>
      </c>
      <c r="X189" s="46">
        <v>45784</v>
      </c>
      <c r="Y189" s="1">
        <v>25111581</v>
      </c>
      <c r="AA189" s="1">
        <v>280091</v>
      </c>
      <c r="AC189" s="46">
        <v>45777</v>
      </c>
      <c r="AD189" s="1">
        <v>66</v>
      </c>
      <c r="AI189" s="2">
        <v>76289</v>
      </c>
      <c r="AJ189" s="2">
        <v>25242</v>
      </c>
      <c r="AK189" s="2">
        <v>1362.3</v>
      </c>
      <c r="AL189" s="2">
        <v>450.75</v>
      </c>
      <c r="AM189" s="5">
        <v>906.53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3045.93</v>
      </c>
      <c r="AT189" s="12">
        <v>2719.58</v>
      </c>
      <c r="AU189" s="2">
        <v>54.39</v>
      </c>
      <c r="BL189" s="1" t="s">
        <v>90</v>
      </c>
    </row>
    <row r="190" spans="1:64" x14ac:dyDescent="0.3">
      <c r="A190" t="s">
        <v>906</v>
      </c>
      <c r="B190" s="1" t="s">
        <v>906</v>
      </c>
      <c r="C190" s="9" t="s">
        <v>907</v>
      </c>
      <c r="D190" s="1" t="s">
        <v>44</v>
      </c>
      <c r="E190" s="1" t="s">
        <v>88</v>
      </c>
      <c r="F190" s="10" t="s">
        <v>178</v>
      </c>
      <c r="G190" s="1">
        <v>0</v>
      </c>
      <c r="H190" s="1">
        <v>0.02</v>
      </c>
      <c r="I190" s="8">
        <v>45638</v>
      </c>
      <c r="J190" s="6">
        <v>405390</v>
      </c>
      <c r="K190" s="6">
        <v>126670</v>
      </c>
      <c r="L190" s="6">
        <v>7239.11</v>
      </c>
      <c r="M190" s="6">
        <v>2261.96</v>
      </c>
      <c r="N190" s="7">
        <v>4750.54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15961.8</v>
      </c>
      <c r="U190" s="6">
        <v>14251.61</v>
      </c>
      <c r="V190" s="6">
        <v>285.02999999999997</v>
      </c>
      <c r="X190" s="46">
        <v>45784</v>
      </c>
      <c r="Y190" s="1">
        <v>25111582</v>
      </c>
      <c r="AA190" s="1">
        <v>280092</v>
      </c>
      <c r="AC190" s="46">
        <v>45777</v>
      </c>
      <c r="AD190" s="1">
        <v>67</v>
      </c>
      <c r="AI190" s="2">
        <v>405390</v>
      </c>
      <c r="AJ190" s="2">
        <v>126670</v>
      </c>
      <c r="AK190" s="2">
        <v>7239.11</v>
      </c>
      <c r="AL190" s="2">
        <v>2261.96</v>
      </c>
      <c r="AM190" s="5">
        <v>4750.54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15961.8</v>
      </c>
      <c r="AT190" s="12">
        <v>14251.61</v>
      </c>
      <c r="AU190" s="2">
        <v>285.02999999999997</v>
      </c>
      <c r="BL190" s="1" t="s">
        <v>90</v>
      </c>
    </row>
    <row r="191" spans="1:64" x14ac:dyDescent="0.3">
      <c r="A191" t="s">
        <v>910</v>
      </c>
      <c r="B191" s="1" t="s">
        <v>910</v>
      </c>
      <c r="C191" s="9" t="s">
        <v>911</v>
      </c>
      <c r="D191" s="1" t="s">
        <v>44</v>
      </c>
      <c r="E191" s="1" t="s">
        <v>88</v>
      </c>
      <c r="F191" s="10" t="s">
        <v>848</v>
      </c>
      <c r="G191" s="1">
        <v>0</v>
      </c>
      <c r="H191" s="1">
        <v>0.02</v>
      </c>
      <c r="I191" s="8">
        <v>45561</v>
      </c>
      <c r="J191" s="6">
        <v>132086</v>
      </c>
      <c r="K191" s="6">
        <v>65255</v>
      </c>
      <c r="L191" s="6">
        <v>2358.6799999999998</v>
      </c>
      <c r="M191" s="6">
        <v>1165.27</v>
      </c>
      <c r="N191" s="7">
        <v>1761.97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5920.23</v>
      </c>
      <c r="U191" s="6">
        <v>5285.92</v>
      </c>
      <c r="V191" s="6">
        <v>105.72</v>
      </c>
      <c r="X191" s="46">
        <v>45784</v>
      </c>
      <c r="Y191" s="1">
        <v>25111583</v>
      </c>
      <c r="AA191" s="1">
        <v>280093</v>
      </c>
      <c r="AC191" s="46">
        <v>45777</v>
      </c>
      <c r="AD191" s="1">
        <v>68</v>
      </c>
      <c r="AI191" s="2">
        <v>132086</v>
      </c>
      <c r="AJ191" s="2">
        <v>65255</v>
      </c>
      <c r="AK191" s="2">
        <v>2358.6799999999998</v>
      </c>
      <c r="AL191" s="2">
        <v>1165.27</v>
      </c>
      <c r="AM191" s="5">
        <v>1761.97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5920.23</v>
      </c>
      <c r="AT191" s="12">
        <v>5285.92</v>
      </c>
      <c r="AU191" s="2">
        <v>105.72</v>
      </c>
      <c r="BL191" s="1" t="s">
        <v>90</v>
      </c>
    </row>
    <row r="192" spans="1:64" x14ac:dyDescent="0.3">
      <c r="A192" t="s">
        <v>936</v>
      </c>
      <c r="B192" s="1" t="s">
        <v>936</v>
      </c>
      <c r="C192" s="9" t="s">
        <v>937</v>
      </c>
      <c r="D192" s="1" t="s">
        <v>44</v>
      </c>
      <c r="E192" s="1" t="s">
        <v>88</v>
      </c>
      <c r="F192" s="10" t="s">
        <v>848</v>
      </c>
      <c r="G192" s="1">
        <v>0</v>
      </c>
      <c r="H192" s="1">
        <v>0.02</v>
      </c>
      <c r="I192" s="8">
        <v>44009</v>
      </c>
      <c r="J192" s="6">
        <v>152886</v>
      </c>
      <c r="K192" s="6">
        <v>54710</v>
      </c>
      <c r="L192" s="6">
        <v>2730.11</v>
      </c>
      <c r="M192" s="6">
        <v>976.96</v>
      </c>
      <c r="N192" s="7">
        <v>1853.54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6227.88</v>
      </c>
      <c r="U192" s="6">
        <v>5560.6100000000006</v>
      </c>
      <c r="V192" s="6">
        <v>111.21</v>
      </c>
      <c r="X192" s="46">
        <v>45784</v>
      </c>
      <c r="Y192" s="1">
        <v>25111584</v>
      </c>
      <c r="AA192" s="1">
        <v>280094</v>
      </c>
      <c r="AC192" s="46">
        <v>45777</v>
      </c>
      <c r="AD192" s="1">
        <v>69</v>
      </c>
      <c r="AI192" s="2">
        <v>152886</v>
      </c>
      <c r="AJ192" s="2">
        <v>54710</v>
      </c>
      <c r="AK192" s="2">
        <v>2730.11</v>
      </c>
      <c r="AL192" s="2">
        <v>976.96</v>
      </c>
      <c r="AM192" s="5">
        <v>1853.54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6227.88</v>
      </c>
      <c r="AT192" s="12">
        <v>5560.6100000000006</v>
      </c>
      <c r="AU192" s="2">
        <v>111.21</v>
      </c>
      <c r="BL192" s="1" t="s">
        <v>90</v>
      </c>
    </row>
    <row r="193" spans="1:64" x14ac:dyDescent="0.3">
      <c r="A193" t="s">
        <v>956</v>
      </c>
      <c r="B193" s="1" t="s">
        <v>956</v>
      </c>
      <c r="C193" s="9" t="s">
        <v>957</v>
      </c>
      <c r="D193" s="1" t="s">
        <v>44</v>
      </c>
      <c r="E193" s="1" t="s">
        <v>88</v>
      </c>
      <c r="F193" s="10" t="s">
        <v>848</v>
      </c>
      <c r="G193" s="1">
        <v>0</v>
      </c>
      <c r="H193" s="1">
        <v>0.02</v>
      </c>
      <c r="I193" s="8">
        <v>44520</v>
      </c>
      <c r="J193" s="6">
        <v>205767</v>
      </c>
      <c r="K193" s="6">
        <v>53272</v>
      </c>
      <c r="L193" s="6">
        <v>3674.41</v>
      </c>
      <c r="M193" s="6">
        <v>951.29</v>
      </c>
      <c r="N193" s="7">
        <v>2312.85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7771.18</v>
      </c>
      <c r="U193" s="6">
        <v>6938.5499999999993</v>
      </c>
      <c r="V193" s="6">
        <v>138.77000000000001</v>
      </c>
      <c r="X193" s="46">
        <v>45784</v>
      </c>
      <c r="Y193" s="1">
        <v>25111585</v>
      </c>
      <c r="AA193" s="1">
        <v>280095</v>
      </c>
      <c r="AC193" s="46">
        <v>45777</v>
      </c>
      <c r="AD193" s="1">
        <v>70</v>
      </c>
      <c r="AI193" s="2">
        <v>205767</v>
      </c>
      <c r="AJ193" s="2">
        <v>53272</v>
      </c>
      <c r="AK193" s="2">
        <v>3674.41</v>
      </c>
      <c r="AL193" s="2">
        <v>951.29</v>
      </c>
      <c r="AM193" s="5">
        <v>2312.85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7771.18</v>
      </c>
      <c r="AT193" s="12">
        <v>6938.5499999999993</v>
      </c>
      <c r="AU193" s="2">
        <v>138.77000000000001</v>
      </c>
      <c r="BL193" s="1" t="s">
        <v>90</v>
      </c>
    </row>
    <row r="194" spans="1:64" x14ac:dyDescent="0.3">
      <c r="A194" t="s">
        <v>962</v>
      </c>
      <c r="B194" s="1" t="s">
        <v>962</v>
      </c>
      <c r="C194" s="9" t="s">
        <v>963</v>
      </c>
      <c r="D194" s="1" t="s">
        <v>44</v>
      </c>
      <c r="E194" s="1" t="s">
        <v>88</v>
      </c>
      <c r="F194" s="10" t="s">
        <v>101</v>
      </c>
      <c r="G194" s="1">
        <v>0</v>
      </c>
      <c r="H194" s="1">
        <v>0.02</v>
      </c>
      <c r="I194" s="8">
        <v>44075</v>
      </c>
      <c r="J194" s="6">
        <v>396818.57999999996</v>
      </c>
      <c r="K194" s="6">
        <v>81389.759999999995</v>
      </c>
      <c r="L194" s="6">
        <v>7086.04</v>
      </c>
      <c r="M194" s="6">
        <v>1453.39</v>
      </c>
      <c r="N194" s="7">
        <v>4269.71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14346.24</v>
      </c>
      <c r="U194" s="6">
        <v>12809.14</v>
      </c>
      <c r="V194" s="6">
        <v>256.18</v>
      </c>
      <c r="X194" s="46">
        <v>45784</v>
      </c>
      <c r="Y194" s="1">
        <v>25111586</v>
      </c>
      <c r="AA194" s="1">
        <v>280096</v>
      </c>
      <c r="AC194" s="46">
        <v>45777</v>
      </c>
      <c r="AD194" s="1">
        <v>71</v>
      </c>
      <c r="AI194" s="2">
        <v>396818.57999999996</v>
      </c>
      <c r="AJ194" s="2">
        <v>81389.759999999995</v>
      </c>
      <c r="AK194" s="2">
        <v>7086.04</v>
      </c>
      <c r="AL194" s="2">
        <v>1453.39</v>
      </c>
      <c r="AM194" s="5">
        <v>4269.71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14346.24</v>
      </c>
      <c r="AT194" s="12">
        <v>12809.14</v>
      </c>
      <c r="AU194" s="2">
        <v>256.18</v>
      </c>
      <c r="BL194" s="1" t="s">
        <v>90</v>
      </c>
    </row>
    <row r="195" spans="1:64" x14ac:dyDescent="0.3">
      <c r="A195" t="s">
        <v>972</v>
      </c>
      <c r="B195" s="1" t="s">
        <v>972</v>
      </c>
      <c r="C195" s="9" t="s">
        <v>973</v>
      </c>
      <c r="D195" s="1" t="s">
        <v>44</v>
      </c>
      <c r="E195" s="1" t="s">
        <v>88</v>
      </c>
      <c r="F195" s="10" t="s">
        <v>848</v>
      </c>
      <c r="G195" s="1">
        <v>0</v>
      </c>
      <c r="H195" s="1">
        <v>0.02</v>
      </c>
      <c r="I195" s="8">
        <v>44163</v>
      </c>
      <c r="J195" s="6">
        <v>80797</v>
      </c>
      <c r="K195" s="6">
        <v>15578</v>
      </c>
      <c r="L195" s="6">
        <v>1442.8</v>
      </c>
      <c r="M195" s="6">
        <v>278.18</v>
      </c>
      <c r="N195" s="7">
        <v>860.49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2891.25</v>
      </c>
      <c r="U195" s="6">
        <v>2581.4700000000003</v>
      </c>
      <c r="V195" s="6">
        <v>51.63</v>
      </c>
      <c r="X195" s="46">
        <v>45784</v>
      </c>
      <c r="Y195" s="1">
        <v>25111587</v>
      </c>
      <c r="AA195" s="1">
        <v>280097</v>
      </c>
      <c r="AC195" s="46">
        <v>45777</v>
      </c>
      <c r="AD195" s="1">
        <v>72</v>
      </c>
      <c r="AI195" s="2">
        <v>80797</v>
      </c>
      <c r="AJ195" s="2">
        <v>15578</v>
      </c>
      <c r="AK195" s="2">
        <v>1442.8</v>
      </c>
      <c r="AL195" s="2">
        <v>278.18</v>
      </c>
      <c r="AM195" s="5">
        <v>860.49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2891.25</v>
      </c>
      <c r="AT195" s="12">
        <v>2581.4700000000003</v>
      </c>
      <c r="AU195" s="2">
        <v>51.63</v>
      </c>
      <c r="BL195" s="1" t="s">
        <v>90</v>
      </c>
    </row>
    <row r="196" spans="1:64" x14ac:dyDescent="0.3">
      <c r="A196" t="s">
        <v>984</v>
      </c>
      <c r="B196" s="1" t="s">
        <v>984</v>
      </c>
      <c r="C196" s="9" t="s">
        <v>985</v>
      </c>
      <c r="D196" s="1" t="s">
        <v>44</v>
      </c>
      <c r="E196" s="1" t="s">
        <v>88</v>
      </c>
      <c r="F196" s="10" t="s">
        <v>853</v>
      </c>
      <c r="G196" s="1">
        <v>0</v>
      </c>
      <c r="H196" s="1">
        <v>0.02</v>
      </c>
      <c r="I196" s="8">
        <v>44358</v>
      </c>
      <c r="J196" s="6">
        <v>178989.77</v>
      </c>
      <c r="K196" s="6">
        <v>38287.009999999995</v>
      </c>
      <c r="L196" s="6">
        <v>3196.25</v>
      </c>
      <c r="M196" s="6">
        <v>683.7</v>
      </c>
      <c r="N196" s="7">
        <v>1939.97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6518.31</v>
      </c>
      <c r="U196" s="6">
        <v>5819.92</v>
      </c>
      <c r="V196" s="6">
        <v>116.4</v>
      </c>
      <c r="X196" s="46">
        <v>45784</v>
      </c>
      <c r="Y196" s="1">
        <v>25111588</v>
      </c>
      <c r="AA196" s="1">
        <v>280098</v>
      </c>
      <c r="AC196" s="46">
        <v>45777</v>
      </c>
      <c r="AD196" s="1">
        <v>73</v>
      </c>
      <c r="AI196" s="2">
        <v>178989.77</v>
      </c>
      <c r="AJ196" s="2">
        <v>38287.009999999995</v>
      </c>
      <c r="AK196" s="2">
        <v>3196.25</v>
      </c>
      <c r="AL196" s="2">
        <v>683.7</v>
      </c>
      <c r="AM196" s="5">
        <v>1939.97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6518.31</v>
      </c>
      <c r="AT196" s="12">
        <v>5819.92</v>
      </c>
      <c r="AU196" s="2">
        <v>116.4</v>
      </c>
      <c r="BL196" s="1" t="s">
        <v>90</v>
      </c>
    </row>
    <row r="197" spans="1:64" x14ac:dyDescent="0.3">
      <c r="A197" t="s">
        <v>999</v>
      </c>
      <c r="B197" s="1" t="s">
        <v>1000</v>
      </c>
      <c r="C197" s="9" t="s">
        <v>1001</v>
      </c>
      <c r="D197" s="1" t="s">
        <v>44</v>
      </c>
      <c r="E197" s="1" t="s">
        <v>88</v>
      </c>
      <c r="F197" s="10" t="s">
        <v>181</v>
      </c>
      <c r="G197" s="1">
        <v>0</v>
      </c>
      <c r="H197" s="1">
        <v>0.02</v>
      </c>
      <c r="I197" s="8">
        <v>44377</v>
      </c>
      <c r="J197" s="6">
        <v>602117.19999999995</v>
      </c>
      <c r="K197" s="6">
        <v>128169.70999999999</v>
      </c>
      <c r="L197" s="6">
        <v>10752.09</v>
      </c>
      <c r="M197" s="6">
        <v>2288.73</v>
      </c>
      <c r="N197" s="7">
        <v>6520.42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21908.59</v>
      </c>
      <c r="U197" s="6">
        <v>19561.240000000002</v>
      </c>
      <c r="V197" s="6">
        <v>391.22</v>
      </c>
      <c r="W197" s="6">
        <v>0</v>
      </c>
      <c r="X197" s="46">
        <v>45784</v>
      </c>
      <c r="Y197" s="1">
        <v>25111589</v>
      </c>
      <c r="AA197" s="1">
        <v>280099</v>
      </c>
      <c r="AC197" s="46">
        <v>45777</v>
      </c>
      <c r="AD197" s="1">
        <v>74</v>
      </c>
      <c r="AI197" s="2">
        <v>602117.19999999995</v>
      </c>
      <c r="AJ197" s="2">
        <v>128169.70999999999</v>
      </c>
      <c r="AK197" s="2">
        <v>10752.09</v>
      </c>
      <c r="AL197" s="2">
        <v>2288.73</v>
      </c>
      <c r="AM197" s="5">
        <v>6520.42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21908.59</v>
      </c>
      <c r="AT197" s="12">
        <v>19561.240000000002</v>
      </c>
      <c r="AU197" s="2">
        <v>391.22</v>
      </c>
      <c r="AV197" s="5">
        <v>0</v>
      </c>
      <c r="BL197" s="1" t="s">
        <v>90</v>
      </c>
    </row>
    <row r="198" spans="1:64" x14ac:dyDescent="0.3">
      <c r="A198" t="s">
        <v>1051</v>
      </c>
      <c r="B198" s="1" t="s">
        <v>1051</v>
      </c>
      <c r="C198" s="9" t="s">
        <v>1052</v>
      </c>
      <c r="D198" s="1" t="s">
        <v>44</v>
      </c>
      <c r="E198" s="1" t="s">
        <v>88</v>
      </c>
      <c r="F198" s="10" t="s">
        <v>848</v>
      </c>
      <c r="G198" s="1">
        <v>0</v>
      </c>
      <c r="H198" s="1">
        <v>0.02</v>
      </c>
      <c r="I198" s="8">
        <v>44709</v>
      </c>
      <c r="J198" s="6">
        <v>93742</v>
      </c>
      <c r="K198" s="6">
        <v>33515</v>
      </c>
      <c r="L198" s="6">
        <v>1673.96</v>
      </c>
      <c r="M198" s="6">
        <v>598.48</v>
      </c>
      <c r="N198" s="7">
        <v>1136.22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3817.7</v>
      </c>
      <c r="U198" s="6">
        <v>3408.66</v>
      </c>
      <c r="V198" s="6">
        <v>68.17</v>
      </c>
      <c r="X198" s="46">
        <v>45784</v>
      </c>
      <c r="Y198" s="1">
        <v>25111590</v>
      </c>
      <c r="AA198" s="1">
        <v>280100</v>
      </c>
      <c r="AC198" s="46">
        <v>45777</v>
      </c>
      <c r="AD198" s="1">
        <v>75</v>
      </c>
      <c r="AI198" s="2">
        <v>93742</v>
      </c>
      <c r="AJ198" s="2">
        <v>33515</v>
      </c>
      <c r="AK198" s="2">
        <v>1673.96</v>
      </c>
      <c r="AL198" s="2">
        <v>598.48</v>
      </c>
      <c r="AM198" s="5">
        <v>1136.22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3817.7</v>
      </c>
      <c r="AT198" s="12">
        <v>3408.66</v>
      </c>
      <c r="AU198" s="2">
        <v>68.17</v>
      </c>
      <c r="BL198" s="1" t="s">
        <v>90</v>
      </c>
    </row>
    <row r="199" spans="1:64" x14ac:dyDescent="0.3">
      <c r="A199" t="s">
        <v>1057</v>
      </c>
      <c r="B199" s="1" t="s">
        <v>1057</v>
      </c>
      <c r="C199" s="9" t="s">
        <v>1058</v>
      </c>
      <c r="D199" s="1" t="s">
        <v>44</v>
      </c>
      <c r="E199" s="1" t="s">
        <v>88</v>
      </c>
      <c r="F199" s="10" t="s">
        <v>178</v>
      </c>
      <c r="G199" s="1">
        <v>0</v>
      </c>
      <c r="H199" s="1">
        <v>0.02</v>
      </c>
      <c r="I199" s="8">
        <v>44743</v>
      </c>
      <c r="J199" s="6">
        <v>432418.1</v>
      </c>
      <c r="K199" s="6">
        <v>60465.5</v>
      </c>
      <c r="L199" s="6">
        <v>7721.75</v>
      </c>
      <c r="M199" s="6">
        <v>1079.74</v>
      </c>
      <c r="N199" s="7">
        <v>4400.75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14786.51</v>
      </c>
      <c r="U199" s="6">
        <v>13202.24</v>
      </c>
      <c r="V199" s="6">
        <v>264.04000000000002</v>
      </c>
      <c r="X199" s="46">
        <v>45784</v>
      </c>
      <c r="Y199" s="1">
        <v>25111591</v>
      </c>
      <c r="AA199" s="1">
        <v>280101</v>
      </c>
      <c r="AC199" s="46">
        <v>45777</v>
      </c>
      <c r="AD199" s="1">
        <v>76</v>
      </c>
      <c r="AI199" s="2">
        <v>432418.1</v>
      </c>
      <c r="AJ199" s="2">
        <v>60465.5</v>
      </c>
      <c r="AK199" s="2">
        <v>7721.75</v>
      </c>
      <c r="AL199" s="2">
        <v>1079.74</v>
      </c>
      <c r="AM199" s="5">
        <v>4400.75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14786.51</v>
      </c>
      <c r="AT199" s="12">
        <v>13202.24</v>
      </c>
      <c r="AU199" s="2">
        <v>264.04000000000002</v>
      </c>
      <c r="BL199" s="1" t="s">
        <v>90</v>
      </c>
    </row>
    <row r="200" spans="1:64" x14ac:dyDescent="0.3">
      <c r="A200" t="s">
        <v>1061</v>
      </c>
      <c r="B200" s="1" t="s">
        <v>1061</v>
      </c>
      <c r="C200" s="9" t="s">
        <v>1062</v>
      </c>
      <c r="D200" s="1" t="s">
        <v>44</v>
      </c>
      <c r="E200" s="1" t="s">
        <v>88</v>
      </c>
      <c r="F200" s="10" t="s">
        <v>101</v>
      </c>
      <c r="G200" s="1">
        <v>0</v>
      </c>
      <c r="H200" s="1">
        <v>0.02</v>
      </c>
      <c r="I200" s="8">
        <v>44760</v>
      </c>
      <c r="J200" s="6">
        <v>293918.55</v>
      </c>
      <c r="K200" s="6">
        <v>101741</v>
      </c>
      <c r="L200" s="6">
        <v>5248.54</v>
      </c>
      <c r="M200" s="6">
        <v>1816.8</v>
      </c>
      <c r="N200" s="7">
        <v>3532.68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11869.78</v>
      </c>
      <c r="U200" s="6">
        <v>10598.02</v>
      </c>
      <c r="V200" s="6">
        <v>211.96</v>
      </c>
      <c r="X200" s="46">
        <v>45784</v>
      </c>
      <c r="Y200" s="1">
        <v>25111592</v>
      </c>
      <c r="AA200" s="1">
        <v>280102</v>
      </c>
      <c r="AC200" s="46">
        <v>45777</v>
      </c>
      <c r="AD200" s="1">
        <v>77</v>
      </c>
      <c r="AI200" s="2">
        <v>293918.55</v>
      </c>
      <c r="AJ200" s="2">
        <v>101741</v>
      </c>
      <c r="AK200" s="2">
        <v>5248.54</v>
      </c>
      <c r="AL200" s="2">
        <v>1816.8</v>
      </c>
      <c r="AM200" s="5">
        <v>3532.68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11869.78</v>
      </c>
      <c r="AT200" s="12">
        <v>10598.02</v>
      </c>
      <c r="AU200" s="2">
        <v>211.96</v>
      </c>
      <c r="BL200" s="1" t="s">
        <v>90</v>
      </c>
    </row>
    <row r="201" spans="1:64" x14ac:dyDescent="0.3">
      <c r="A201" t="s">
        <v>1069</v>
      </c>
      <c r="B201" s="1" t="s">
        <v>1069</v>
      </c>
      <c r="C201" s="9" t="s">
        <v>1070</v>
      </c>
      <c r="D201" s="1" t="s">
        <v>44</v>
      </c>
      <c r="E201" s="1" t="s">
        <v>88</v>
      </c>
      <c r="F201" s="10" t="s">
        <v>848</v>
      </c>
      <c r="G201" s="1">
        <v>0</v>
      </c>
      <c r="H201" s="1">
        <v>0.02</v>
      </c>
      <c r="I201" s="8">
        <v>44771</v>
      </c>
      <c r="J201" s="6">
        <v>214416</v>
      </c>
      <c r="K201" s="6">
        <v>39997</v>
      </c>
      <c r="L201" s="6">
        <v>3828.86</v>
      </c>
      <c r="M201" s="6">
        <v>714.23</v>
      </c>
      <c r="N201" s="7">
        <v>2271.54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7632.39</v>
      </c>
      <c r="U201" s="6">
        <v>6814.63</v>
      </c>
      <c r="V201" s="6">
        <v>136.29</v>
      </c>
      <c r="X201" s="46">
        <v>45784</v>
      </c>
      <c r="Y201" s="1">
        <v>25111593</v>
      </c>
      <c r="AA201" s="1">
        <v>280103</v>
      </c>
      <c r="AC201" s="46">
        <v>45777</v>
      </c>
      <c r="AD201" s="1">
        <v>78</v>
      </c>
      <c r="AI201" s="2">
        <v>214416</v>
      </c>
      <c r="AJ201" s="2">
        <v>39997</v>
      </c>
      <c r="AK201" s="2">
        <v>3828.86</v>
      </c>
      <c r="AL201" s="2">
        <v>714.23</v>
      </c>
      <c r="AM201" s="5">
        <v>2271.54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7632.39</v>
      </c>
      <c r="AT201" s="12">
        <v>6814.63</v>
      </c>
      <c r="AU201" s="2">
        <v>136.29</v>
      </c>
      <c r="BL201" s="1" t="s">
        <v>90</v>
      </c>
    </row>
    <row r="202" spans="1:64" x14ac:dyDescent="0.3">
      <c r="A202" t="s">
        <v>1071</v>
      </c>
      <c r="B202" s="1" t="s">
        <v>1071</v>
      </c>
      <c r="C202" s="9" t="s">
        <v>1072</v>
      </c>
      <c r="D202" s="1" t="s">
        <v>44</v>
      </c>
      <c r="E202" s="1" t="s">
        <v>88</v>
      </c>
      <c r="F202" s="10" t="s">
        <v>853</v>
      </c>
      <c r="G202" s="1">
        <v>0</v>
      </c>
      <c r="H202" s="1">
        <v>0.02</v>
      </c>
      <c r="I202" s="8">
        <v>45003</v>
      </c>
      <c r="J202" s="6">
        <v>163496</v>
      </c>
      <c r="K202" s="6">
        <v>60553</v>
      </c>
      <c r="L202" s="6">
        <v>2919.57</v>
      </c>
      <c r="M202" s="6">
        <v>1081.3</v>
      </c>
      <c r="N202" s="7">
        <v>2000.44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6721.47</v>
      </c>
      <c r="U202" s="6">
        <v>6001.3099999999995</v>
      </c>
      <c r="V202" s="6">
        <v>120.03</v>
      </c>
      <c r="X202" s="46">
        <v>45784</v>
      </c>
      <c r="Y202" s="1">
        <v>25111594</v>
      </c>
      <c r="AA202" s="1">
        <v>280104</v>
      </c>
      <c r="AC202" s="46">
        <v>45777</v>
      </c>
      <c r="AD202" s="1">
        <v>79</v>
      </c>
      <c r="AI202" s="2">
        <v>163496</v>
      </c>
      <c r="AJ202" s="2">
        <v>60553</v>
      </c>
      <c r="AK202" s="2">
        <v>2919.57</v>
      </c>
      <c r="AL202" s="2">
        <v>1081.3</v>
      </c>
      <c r="AM202" s="5">
        <v>2000.44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6721.47</v>
      </c>
      <c r="AT202" s="12">
        <v>6001.3099999999995</v>
      </c>
      <c r="AU202" s="2">
        <v>120.03</v>
      </c>
      <c r="BL202" s="1" t="s">
        <v>90</v>
      </c>
    </row>
    <row r="203" spans="1:64" x14ac:dyDescent="0.3">
      <c r="A203" t="s">
        <v>1122</v>
      </c>
      <c r="B203" s="1" t="s">
        <v>1122</v>
      </c>
      <c r="C203" s="9" t="s">
        <v>1123</v>
      </c>
      <c r="D203" s="1" t="s">
        <v>44</v>
      </c>
      <c r="E203" s="1" t="s">
        <v>88</v>
      </c>
      <c r="F203" s="10" t="s">
        <v>848</v>
      </c>
      <c r="G203" s="1">
        <v>0</v>
      </c>
      <c r="H203" s="1">
        <v>0.02</v>
      </c>
      <c r="I203" s="8">
        <v>44832</v>
      </c>
      <c r="J203" s="6">
        <v>77175</v>
      </c>
      <c r="K203" s="6">
        <v>25831</v>
      </c>
      <c r="L203" s="6">
        <v>1378.12</v>
      </c>
      <c r="M203" s="6">
        <v>461.27</v>
      </c>
      <c r="N203" s="7">
        <v>919.7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3090.18</v>
      </c>
      <c r="U203" s="6">
        <v>2759.09</v>
      </c>
      <c r="V203" s="6">
        <v>55.18</v>
      </c>
      <c r="X203" s="46">
        <v>45784</v>
      </c>
      <c r="Y203" s="1">
        <v>25111595</v>
      </c>
      <c r="AA203" s="1">
        <v>280105</v>
      </c>
      <c r="AC203" s="46">
        <v>45777</v>
      </c>
      <c r="AD203" s="1">
        <v>80</v>
      </c>
      <c r="AI203" s="2">
        <v>77175</v>
      </c>
      <c r="AJ203" s="2">
        <v>25831</v>
      </c>
      <c r="AK203" s="2">
        <v>1378.12</v>
      </c>
      <c r="AL203" s="2">
        <v>461.27</v>
      </c>
      <c r="AM203" s="5">
        <v>919.7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3090.18</v>
      </c>
      <c r="AT203" s="12">
        <v>2759.09</v>
      </c>
      <c r="AU203" s="2">
        <v>55.18</v>
      </c>
      <c r="BL203" s="1" t="s">
        <v>90</v>
      </c>
    </row>
    <row r="204" spans="1:64" x14ac:dyDescent="0.3">
      <c r="A204" t="s">
        <v>1124</v>
      </c>
      <c r="B204" s="1" t="s">
        <v>1124</v>
      </c>
      <c r="C204" s="9" t="s">
        <v>1125</v>
      </c>
      <c r="D204" s="1" t="s">
        <v>44</v>
      </c>
      <c r="E204" s="1" t="s">
        <v>88</v>
      </c>
      <c r="F204" s="10" t="s">
        <v>104</v>
      </c>
      <c r="G204" s="1">
        <v>0</v>
      </c>
      <c r="H204" s="1">
        <v>0.02</v>
      </c>
      <c r="I204" s="8">
        <v>44844</v>
      </c>
      <c r="J204" s="6">
        <v>495500</v>
      </c>
      <c r="K204" s="6">
        <v>190538</v>
      </c>
      <c r="L204" s="6">
        <v>8848.2099999999991</v>
      </c>
      <c r="M204" s="6">
        <v>3402.46</v>
      </c>
      <c r="N204" s="7">
        <v>6125.34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20581.13</v>
      </c>
      <c r="U204" s="6">
        <v>18376.009999999998</v>
      </c>
      <c r="V204" s="6">
        <v>367.52</v>
      </c>
      <c r="X204" s="46">
        <v>45784</v>
      </c>
      <c r="Y204" s="1">
        <v>25111596</v>
      </c>
      <c r="AA204" s="1">
        <v>280106</v>
      </c>
      <c r="AC204" s="46">
        <v>45777</v>
      </c>
      <c r="AD204" s="1">
        <v>81</v>
      </c>
      <c r="AI204" s="2">
        <v>495500</v>
      </c>
      <c r="AJ204" s="2">
        <v>190538</v>
      </c>
      <c r="AK204" s="2">
        <v>8848.2099999999991</v>
      </c>
      <c r="AL204" s="2">
        <v>3402.46</v>
      </c>
      <c r="AM204" s="5">
        <v>6125.34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20581.13</v>
      </c>
      <c r="AT204" s="12">
        <v>18376.009999999998</v>
      </c>
      <c r="AU204" s="2">
        <v>367.52</v>
      </c>
      <c r="BL204" s="1" t="s">
        <v>90</v>
      </c>
    </row>
    <row r="205" spans="1:64" x14ac:dyDescent="0.3">
      <c r="A205" t="s">
        <v>1152</v>
      </c>
      <c r="B205" s="1" t="s">
        <v>1152</v>
      </c>
      <c r="C205" s="9" t="s">
        <v>1153</v>
      </c>
      <c r="D205" s="1" t="s">
        <v>44</v>
      </c>
      <c r="E205" s="1" t="s">
        <v>88</v>
      </c>
      <c r="F205" s="10" t="s">
        <v>853</v>
      </c>
      <c r="G205" s="1">
        <v>0</v>
      </c>
      <c r="H205" s="1">
        <v>0.02</v>
      </c>
      <c r="I205" s="8">
        <v>44873</v>
      </c>
      <c r="J205" s="6">
        <v>238720.25</v>
      </c>
      <c r="K205" s="6">
        <v>24599</v>
      </c>
      <c r="L205" s="6">
        <v>4262.8599999999997</v>
      </c>
      <c r="M205" s="6">
        <v>439.27</v>
      </c>
      <c r="N205" s="7">
        <v>2351.06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7899.57</v>
      </c>
      <c r="U205" s="6">
        <v>7053.1899999999987</v>
      </c>
      <c r="V205" s="6">
        <v>141.06</v>
      </c>
      <c r="X205" s="46">
        <v>45784</v>
      </c>
      <c r="Y205" s="1">
        <v>25111597</v>
      </c>
      <c r="AA205" s="1">
        <v>280107</v>
      </c>
      <c r="AC205" s="46">
        <v>45777</v>
      </c>
      <c r="AD205" s="1">
        <v>82</v>
      </c>
      <c r="AI205" s="2">
        <v>238720.25</v>
      </c>
      <c r="AJ205" s="2">
        <v>24599</v>
      </c>
      <c r="AK205" s="2">
        <v>4262.8599999999997</v>
      </c>
      <c r="AL205" s="2">
        <v>439.27</v>
      </c>
      <c r="AM205" s="5">
        <v>2351.06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7899.57</v>
      </c>
      <c r="AT205" s="12">
        <v>7053.1899999999987</v>
      </c>
      <c r="AU205" s="2">
        <v>141.06</v>
      </c>
      <c r="BL205" s="1" t="s">
        <v>90</v>
      </c>
    </row>
    <row r="206" spans="1:64" x14ac:dyDescent="0.3">
      <c r="A206" t="s">
        <v>1166</v>
      </c>
      <c r="B206" s="1" t="s">
        <v>1166</v>
      </c>
      <c r="C206" s="9" t="s">
        <v>1167</v>
      </c>
      <c r="D206" s="1" t="s">
        <v>44</v>
      </c>
      <c r="E206" s="1" t="s">
        <v>88</v>
      </c>
      <c r="F206" s="10" t="s">
        <v>848</v>
      </c>
      <c r="G206" s="1">
        <v>0</v>
      </c>
      <c r="H206" s="1">
        <v>0.02</v>
      </c>
      <c r="I206" s="8">
        <v>45036</v>
      </c>
      <c r="J206" s="6">
        <v>70412</v>
      </c>
      <c r="K206" s="6">
        <v>17335</v>
      </c>
      <c r="L206" s="6">
        <v>1257.3599999999999</v>
      </c>
      <c r="M206" s="6">
        <v>309.55</v>
      </c>
      <c r="N206" s="7">
        <v>783.46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2632.41</v>
      </c>
      <c r="U206" s="6">
        <v>2350.37</v>
      </c>
      <c r="V206" s="6">
        <v>47.01</v>
      </c>
      <c r="X206" s="46">
        <v>45784</v>
      </c>
      <c r="Y206" s="1">
        <v>25111598</v>
      </c>
      <c r="AA206" s="1">
        <v>280108</v>
      </c>
      <c r="AC206" s="46">
        <v>45777</v>
      </c>
      <c r="AD206" s="1">
        <v>83</v>
      </c>
      <c r="AI206" s="2">
        <v>70412</v>
      </c>
      <c r="AJ206" s="2">
        <v>17335</v>
      </c>
      <c r="AK206" s="2">
        <v>1257.3599999999999</v>
      </c>
      <c r="AL206" s="2">
        <v>309.55</v>
      </c>
      <c r="AM206" s="5">
        <v>783.46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2632.41</v>
      </c>
      <c r="AT206" s="12">
        <v>2350.37</v>
      </c>
      <c r="AU206" s="2">
        <v>47.01</v>
      </c>
      <c r="BL206" s="1" t="s">
        <v>90</v>
      </c>
    </row>
    <row r="207" spans="1:64" x14ac:dyDescent="0.3">
      <c r="A207" t="s">
        <v>1254</v>
      </c>
      <c r="B207" s="1" t="s">
        <v>1254</v>
      </c>
      <c r="C207" s="9" t="s">
        <v>1255</v>
      </c>
      <c r="D207" s="1" t="s">
        <v>44</v>
      </c>
      <c r="E207" s="1" t="s">
        <v>88</v>
      </c>
      <c r="F207" s="10" t="s">
        <v>114</v>
      </c>
      <c r="G207" s="1">
        <v>0</v>
      </c>
      <c r="H207" s="1">
        <v>0.02</v>
      </c>
      <c r="I207" s="8">
        <v>45271</v>
      </c>
      <c r="J207" s="6">
        <v>399315.1</v>
      </c>
      <c r="K207" s="6">
        <v>93779</v>
      </c>
      <c r="L207" s="6">
        <v>7130.62</v>
      </c>
      <c r="M207" s="6">
        <v>1674.62</v>
      </c>
      <c r="N207" s="7">
        <v>4402.62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14792.8</v>
      </c>
      <c r="U207" s="6">
        <v>13207.86</v>
      </c>
      <c r="V207" s="6">
        <v>264.16000000000003</v>
      </c>
      <c r="X207" s="46">
        <v>45784</v>
      </c>
      <c r="Y207" s="1">
        <v>25111599</v>
      </c>
      <c r="AA207" s="1">
        <v>280109</v>
      </c>
      <c r="AC207" s="46">
        <v>45777</v>
      </c>
      <c r="AD207" s="1">
        <v>84</v>
      </c>
      <c r="AI207" s="2">
        <v>399315.1</v>
      </c>
      <c r="AJ207" s="2">
        <v>93779</v>
      </c>
      <c r="AK207" s="2">
        <v>7130.62</v>
      </c>
      <c r="AL207" s="2">
        <v>1674.62</v>
      </c>
      <c r="AM207" s="5">
        <v>4402.62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14792.8</v>
      </c>
      <c r="AT207" s="12">
        <v>13207.86</v>
      </c>
      <c r="AU207" s="2">
        <v>264.16000000000003</v>
      </c>
      <c r="BL207" s="1" t="s">
        <v>90</v>
      </c>
    </row>
    <row r="208" spans="1:64" x14ac:dyDescent="0.3">
      <c r="A208" t="s">
        <v>1296</v>
      </c>
      <c r="B208" s="1" t="s">
        <v>1296</v>
      </c>
      <c r="C208" s="9" t="s">
        <v>1297</v>
      </c>
      <c r="D208" s="1" t="s">
        <v>44</v>
      </c>
      <c r="E208" s="1" t="s">
        <v>88</v>
      </c>
      <c r="F208" s="10" t="s">
        <v>114</v>
      </c>
      <c r="G208" s="1">
        <v>0</v>
      </c>
      <c r="H208" s="1">
        <v>0.02</v>
      </c>
      <c r="I208" s="8">
        <v>45163</v>
      </c>
      <c r="J208" s="6">
        <v>524906</v>
      </c>
      <c r="K208" s="6">
        <v>127419</v>
      </c>
      <c r="L208" s="6">
        <v>9373.32</v>
      </c>
      <c r="M208" s="6">
        <v>2275.34</v>
      </c>
      <c r="N208" s="7">
        <v>5824.33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19569.75</v>
      </c>
      <c r="U208" s="6">
        <v>17472.989999999998</v>
      </c>
      <c r="V208" s="6">
        <v>349.46</v>
      </c>
      <c r="X208" s="46">
        <v>45784</v>
      </c>
      <c r="Y208" s="1">
        <v>25111600</v>
      </c>
      <c r="AA208" s="1">
        <v>280110</v>
      </c>
      <c r="AC208" s="46">
        <v>45777</v>
      </c>
      <c r="AD208" s="1">
        <v>85</v>
      </c>
      <c r="AI208" s="2">
        <v>524906</v>
      </c>
      <c r="AJ208" s="2">
        <v>127419</v>
      </c>
      <c r="AK208" s="2">
        <v>9373.32</v>
      </c>
      <c r="AL208" s="2">
        <v>2275.34</v>
      </c>
      <c r="AM208" s="5">
        <v>5824.33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19569.75</v>
      </c>
      <c r="AT208" s="12">
        <v>17472.989999999998</v>
      </c>
      <c r="AU208" s="2">
        <v>349.46</v>
      </c>
      <c r="BL208" s="1" t="s">
        <v>90</v>
      </c>
    </row>
    <row r="209" spans="1:64" x14ac:dyDescent="0.3">
      <c r="A209" t="s">
        <v>1298</v>
      </c>
      <c r="B209" s="1" t="s">
        <v>1298</v>
      </c>
      <c r="C209" s="9" t="s">
        <v>1299</v>
      </c>
      <c r="D209" s="1" t="s">
        <v>44</v>
      </c>
      <c r="E209" s="1" t="s">
        <v>88</v>
      </c>
      <c r="F209" s="10" t="s">
        <v>853</v>
      </c>
      <c r="G209" s="1">
        <v>0</v>
      </c>
      <c r="H209" s="1">
        <v>0.02</v>
      </c>
      <c r="I209" s="8">
        <v>45163</v>
      </c>
      <c r="J209" s="6">
        <v>176893.5</v>
      </c>
      <c r="K209" s="6">
        <v>58445</v>
      </c>
      <c r="L209" s="6">
        <v>3158.81</v>
      </c>
      <c r="M209" s="6">
        <v>1043.6600000000001</v>
      </c>
      <c r="N209" s="7">
        <v>2101.2399999999998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7060.16</v>
      </c>
      <c r="U209" s="6">
        <v>6303.71</v>
      </c>
      <c r="V209" s="6">
        <v>126.07</v>
      </c>
      <c r="X209" s="46">
        <v>45784</v>
      </c>
      <c r="Y209" s="1">
        <v>25111601</v>
      </c>
      <c r="AA209" s="1">
        <v>280111</v>
      </c>
      <c r="AC209" s="46">
        <v>45777</v>
      </c>
      <c r="AD209" s="1">
        <v>86</v>
      </c>
      <c r="AI209" s="2">
        <v>176893.5</v>
      </c>
      <c r="AJ209" s="2">
        <v>58445</v>
      </c>
      <c r="AK209" s="2">
        <v>3158.81</v>
      </c>
      <c r="AL209" s="2">
        <v>1043.6600000000001</v>
      </c>
      <c r="AM209" s="5">
        <v>2101.2399999999998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7060.16</v>
      </c>
      <c r="AT209" s="12">
        <v>6303.71</v>
      </c>
      <c r="AU209" s="2">
        <v>126.07</v>
      </c>
      <c r="BL209" s="1" t="s">
        <v>90</v>
      </c>
    </row>
    <row r="210" spans="1:64" x14ac:dyDescent="0.3">
      <c r="A210" t="s">
        <v>1312</v>
      </c>
      <c r="B210" s="1" t="s">
        <v>1312</v>
      </c>
      <c r="C210" s="9" t="s">
        <v>1313</v>
      </c>
      <c r="D210" s="1" t="s">
        <v>44</v>
      </c>
      <c r="E210" s="1" t="s">
        <v>88</v>
      </c>
      <c r="F210" s="10" t="s">
        <v>848</v>
      </c>
      <c r="G210" s="1">
        <v>0</v>
      </c>
      <c r="H210" s="1">
        <v>0.02</v>
      </c>
      <c r="I210" s="8">
        <v>44936</v>
      </c>
      <c r="J210" s="6">
        <v>130848</v>
      </c>
      <c r="K210" s="6">
        <v>33819</v>
      </c>
      <c r="L210" s="6">
        <v>2336.5700000000002</v>
      </c>
      <c r="M210" s="6">
        <v>603.91</v>
      </c>
      <c r="N210" s="7">
        <v>1470.24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4940.01</v>
      </c>
      <c r="U210" s="6">
        <v>4410.72</v>
      </c>
      <c r="V210" s="6">
        <v>88.21</v>
      </c>
      <c r="X210" s="46">
        <v>45784</v>
      </c>
      <c r="Y210" s="1">
        <v>25111602</v>
      </c>
      <c r="AA210" s="1">
        <v>280112</v>
      </c>
      <c r="AC210" s="46">
        <v>45777</v>
      </c>
      <c r="AD210" s="1">
        <v>87</v>
      </c>
      <c r="AI210" s="2">
        <v>130848</v>
      </c>
      <c r="AJ210" s="2">
        <v>33819</v>
      </c>
      <c r="AK210" s="2">
        <v>2336.5700000000002</v>
      </c>
      <c r="AL210" s="2">
        <v>603.91</v>
      </c>
      <c r="AM210" s="5">
        <v>1470.24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4940.01</v>
      </c>
      <c r="AT210" s="12">
        <v>4410.72</v>
      </c>
      <c r="AU210" s="2">
        <v>88.21</v>
      </c>
      <c r="BL210" s="1" t="s">
        <v>90</v>
      </c>
    </row>
    <row r="211" spans="1:64" x14ac:dyDescent="0.3">
      <c r="A211" t="s">
        <v>1314</v>
      </c>
      <c r="B211" s="1" t="s">
        <v>1314</v>
      </c>
      <c r="C211" s="9" t="s">
        <v>1315</v>
      </c>
      <c r="D211" s="1" t="s">
        <v>44</v>
      </c>
      <c r="E211" s="1" t="s">
        <v>88</v>
      </c>
      <c r="F211" s="10" t="s">
        <v>848</v>
      </c>
      <c r="G211" s="1">
        <v>0</v>
      </c>
      <c r="H211" s="1">
        <v>0.02</v>
      </c>
      <c r="I211" s="8">
        <v>44844</v>
      </c>
      <c r="J211" s="6">
        <v>145196</v>
      </c>
      <c r="K211" s="6">
        <v>28700</v>
      </c>
      <c r="L211" s="6">
        <v>2592.79</v>
      </c>
      <c r="M211" s="6">
        <v>512.5</v>
      </c>
      <c r="N211" s="7">
        <v>1552.64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5216.88</v>
      </c>
      <c r="U211" s="6">
        <v>4657.93</v>
      </c>
      <c r="V211" s="6">
        <v>93.16</v>
      </c>
      <c r="X211" s="46">
        <v>45784</v>
      </c>
      <c r="Y211" s="1">
        <v>25111603</v>
      </c>
      <c r="AA211" s="1">
        <v>280113</v>
      </c>
      <c r="AC211" s="46">
        <v>45777</v>
      </c>
      <c r="AD211" s="1">
        <v>88</v>
      </c>
      <c r="AI211" s="2">
        <v>145196</v>
      </c>
      <c r="AJ211" s="2">
        <v>28700</v>
      </c>
      <c r="AK211" s="2">
        <v>2592.79</v>
      </c>
      <c r="AL211" s="2">
        <v>512.5</v>
      </c>
      <c r="AM211" s="5">
        <v>1552.64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5216.88</v>
      </c>
      <c r="AT211" s="12">
        <v>4657.93</v>
      </c>
      <c r="AU211" s="2">
        <v>93.16</v>
      </c>
      <c r="BL211" s="1" t="s">
        <v>90</v>
      </c>
    </row>
    <row r="212" spans="1:64" x14ac:dyDescent="0.3">
      <c r="A212" t="s">
        <v>93</v>
      </c>
      <c r="B212" s="1" t="s">
        <v>93</v>
      </c>
      <c r="C212" s="9" t="s">
        <v>94</v>
      </c>
      <c r="D212" s="1" t="s">
        <v>95</v>
      </c>
      <c r="E212" s="1" t="s">
        <v>88</v>
      </c>
      <c r="F212" s="10" t="s">
        <v>96</v>
      </c>
      <c r="G212" s="1">
        <v>0.05</v>
      </c>
      <c r="H212" s="1">
        <v>0</v>
      </c>
      <c r="I212" s="8">
        <v>45703</v>
      </c>
      <c r="J212" s="6">
        <v>843916</v>
      </c>
      <c r="K212" s="6">
        <v>114608</v>
      </c>
      <c r="L212" s="6">
        <v>0</v>
      </c>
      <c r="M212" s="6">
        <v>0</v>
      </c>
      <c r="N212" s="7">
        <v>8558.25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9585.24</v>
      </c>
      <c r="U212" s="6">
        <v>8558.25</v>
      </c>
      <c r="V212" s="6">
        <v>0</v>
      </c>
      <c r="W212" s="6">
        <v>4792.62</v>
      </c>
      <c r="X212" s="46">
        <v>45784</v>
      </c>
      <c r="Y212" s="1">
        <v>25111604</v>
      </c>
      <c r="Z212" s="1">
        <v>25111605</v>
      </c>
      <c r="AI212" s="2">
        <v>843916</v>
      </c>
      <c r="AJ212" s="2">
        <v>114608</v>
      </c>
      <c r="AK212" s="2">
        <v>0</v>
      </c>
      <c r="AL212" s="2">
        <v>0</v>
      </c>
      <c r="AM212" s="5">
        <v>8558.25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9585.24</v>
      </c>
      <c r="AT212" s="12">
        <v>8558.25</v>
      </c>
      <c r="AU212" s="2">
        <v>0</v>
      </c>
      <c r="AV212" s="5">
        <v>4792.62</v>
      </c>
      <c r="BL212" s="1" t="s">
        <v>90</v>
      </c>
    </row>
    <row r="213" spans="1:64" x14ac:dyDescent="0.3">
      <c r="A213" t="s">
        <v>126</v>
      </c>
      <c r="B213" s="1" t="s">
        <v>126</v>
      </c>
      <c r="C213" s="9" t="s">
        <v>127</v>
      </c>
      <c r="D213" s="1" t="s">
        <v>95</v>
      </c>
      <c r="E213" s="1" t="s">
        <v>128</v>
      </c>
      <c r="F213" s="10" t="s">
        <v>129</v>
      </c>
      <c r="G213" s="1">
        <v>3.5000000000000003E-2</v>
      </c>
      <c r="H213" s="1">
        <v>0.05</v>
      </c>
      <c r="I213" s="8">
        <v>45543</v>
      </c>
      <c r="J213" s="6">
        <v>772264</v>
      </c>
      <c r="K213" s="6">
        <v>69054</v>
      </c>
      <c r="L213" s="6">
        <v>34476.07</v>
      </c>
      <c r="M213" s="6">
        <v>3082.77</v>
      </c>
      <c r="N213" s="7">
        <v>7511.76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50479.07</v>
      </c>
      <c r="U213" s="6">
        <v>45070.6</v>
      </c>
      <c r="V213" s="6">
        <v>0</v>
      </c>
      <c r="W213" s="6">
        <v>4206.59</v>
      </c>
      <c r="X213" s="46">
        <v>45784</v>
      </c>
      <c r="Y213" s="1">
        <v>25111606</v>
      </c>
      <c r="Z213" s="1">
        <v>25111607</v>
      </c>
      <c r="AI213" s="2">
        <v>772264</v>
      </c>
      <c r="AJ213" s="2">
        <v>69054</v>
      </c>
      <c r="AK213" s="2">
        <v>34476.07</v>
      </c>
      <c r="AL213" s="2">
        <v>3082.77</v>
      </c>
      <c r="AM213" s="5">
        <v>7511.76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50479.07</v>
      </c>
      <c r="AT213" s="12">
        <v>45070.6</v>
      </c>
      <c r="AU213" s="2">
        <v>0</v>
      </c>
      <c r="AV213" s="5">
        <v>4206.59</v>
      </c>
      <c r="BL213" s="1" t="s">
        <v>130</v>
      </c>
    </row>
    <row r="214" spans="1:64" x14ac:dyDescent="0.3">
      <c r="A214" t="s">
        <v>133</v>
      </c>
      <c r="B214" s="1" t="s">
        <v>133</v>
      </c>
      <c r="C214" s="9" t="s">
        <v>134</v>
      </c>
      <c r="D214" s="1" t="s">
        <v>95</v>
      </c>
      <c r="E214" s="1" t="s">
        <v>135</v>
      </c>
      <c r="F214" s="10" t="s">
        <v>136</v>
      </c>
      <c r="G214" s="1">
        <v>3.5000000000000003E-2</v>
      </c>
      <c r="H214" s="1">
        <v>0.05</v>
      </c>
      <c r="I214" s="8">
        <v>45608</v>
      </c>
      <c r="J214" s="6">
        <v>1848219</v>
      </c>
      <c r="K214" s="6">
        <v>324629</v>
      </c>
      <c r="L214" s="6">
        <v>82509.76999999999</v>
      </c>
      <c r="M214" s="6">
        <v>14492.369999999999</v>
      </c>
      <c r="N214" s="7">
        <v>19400.43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130370.88</v>
      </c>
      <c r="U214" s="6">
        <v>116402.57</v>
      </c>
      <c r="V214" s="6">
        <v>0</v>
      </c>
      <c r="W214" s="6">
        <v>10864.24</v>
      </c>
      <c r="X214" s="46">
        <v>45784</v>
      </c>
      <c r="Y214" s="1">
        <v>25111608</v>
      </c>
      <c r="Z214" s="1">
        <v>25111609</v>
      </c>
      <c r="AI214" s="2">
        <v>1848219</v>
      </c>
      <c r="AJ214" s="2">
        <v>324629</v>
      </c>
      <c r="AK214" s="2">
        <v>82509.76999999999</v>
      </c>
      <c r="AL214" s="2">
        <v>14492.369999999999</v>
      </c>
      <c r="AM214" s="5">
        <v>19400.43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130370.88</v>
      </c>
      <c r="AT214" s="12">
        <v>116402.57</v>
      </c>
      <c r="AU214" s="2">
        <v>0</v>
      </c>
      <c r="AV214" s="5">
        <v>10864.24</v>
      </c>
      <c r="BL214" s="1" t="s">
        <v>137</v>
      </c>
    </row>
    <row r="215" spans="1:64" x14ac:dyDescent="0.3">
      <c r="A215" t="s">
        <v>145</v>
      </c>
      <c r="B215" s="1" t="s">
        <v>145</v>
      </c>
      <c r="C215" s="9" t="s">
        <v>146</v>
      </c>
      <c r="D215" s="1" t="s">
        <v>95</v>
      </c>
      <c r="E215" s="1" t="s">
        <v>128</v>
      </c>
      <c r="F215" s="10" t="s">
        <v>147</v>
      </c>
      <c r="G215" s="1">
        <v>3.5000000000000003E-2</v>
      </c>
      <c r="H215" s="1">
        <v>0.05</v>
      </c>
      <c r="I215" s="8">
        <v>45467</v>
      </c>
      <c r="J215" s="6">
        <v>782146</v>
      </c>
      <c r="K215" s="6">
        <v>61303</v>
      </c>
      <c r="L215" s="6">
        <v>34917.240000000005</v>
      </c>
      <c r="M215" s="6">
        <v>2736.73</v>
      </c>
      <c r="N215" s="7">
        <v>7530.8</v>
      </c>
      <c r="O215" s="6">
        <v>298495.10000000003</v>
      </c>
      <c r="P215" s="6">
        <v>16516.900000000001</v>
      </c>
      <c r="Q215" s="6">
        <v>13325.68</v>
      </c>
      <c r="R215" s="6">
        <v>737.36</v>
      </c>
      <c r="S215" s="7">
        <v>1622.0800000000002</v>
      </c>
      <c r="T215" s="11">
        <v>68174.28</v>
      </c>
      <c r="U215" s="6">
        <v>60869.89</v>
      </c>
      <c r="V215" s="6">
        <v>0</v>
      </c>
      <c r="W215" s="6">
        <v>5792.3</v>
      </c>
      <c r="X215" s="46">
        <v>45784</v>
      </c>
      <c r="Y215" s="1">
        <v>25111610</v>
      </c>
      <c r="Z215" s="1">
        <v>25111611</v>
      </c>
      <c r="AI215" s="2">
        <v>782146</v>
      </c>
      <c r="AJ215" s="2">
        <v>61303</v>
      </c>
      <c r="AK215" s="2">
        <v>34917.240000000005</v>
      </c>
      <c r="AL215" s="2">
        <v>2736.73</v>
      </c>
      <c r="AM215" s="5">
        <v>7530.8</v>
      </c>
      <c r="AN215" s="12">
        <v>298495.10000000003</v>
      </c>
      <c r="AO215" s="2">
        <v>16516.900000000001</v>
      </c>
      <c r="AP215" s="2">
        <v>13325.68</v>
      </c>
      <c r="AQ215" s="2">
        <v>737.36</v>
      </c>
      <c r="AR215" s="5">
        <v>1622.0800000000002</v>
      </c>
      <c r="AS215" s="2">
        <v>68174.28</v>
      </c>
      <c r="AT215" s="12">
        <v>60869.89</v>
      </c>
      <c r="AU215" s="2">
        <v>0</v>
      </c>
      <c r="AV215" s="5">
        <v>5792.3</v>
      </c>
      <c r="BL215" s="1" t="s">
        <v>130</v>
      </c>
    </row>
    <row r="216" spans="1:64" x14ac:dyDescent="0.3">
      <c r="A216" t="s">
        <v>191</v>
      </c>
      <c r="B216" s="1" t="s">
        <v>191</v>
      </c>
      <c r="C216" s="9" t="s">
        <v>192</v>
      </c>
      <c r="D216" s="1" t="s">
        <v>95</v>
      </c>
      <c r="E216" s="1" t="s">
        <v>135</v>
      </c>
      <c r="F216" s="10" t="s">
        <v>193</v>
      </c>
      <c r="G216" s="1">
        <v>3.5000000000000003E-2</v>
      </c>
      <c r="H216" s="1">
        <v>0.05</v>
      </c>
      <c r="I216" s="8">
        <v>44092</v>
      </c>
      <c r="J216" s="6">
        <v>4287626</v>
      </c>
      <c r="K216" s="6">
        <v>269719</v>
      </c>
      <c r="L216" s="6">
        <v>191411.87</v>
      </c>
      <c r="M216" s="6">
        <v>12041.029999999999</v>
      </c>
      <c r="N216" s="7">
        <v>40690.590000000004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273440.71000000002</v>
      </c>
      <c r="U216" s="6">
        <v>244143.49</v>
      </c>
      <c r="V216" s="6">
        <v>0</v>
      </c>
      <c r="W216" s="6">
        <v>22786.73</v>
      </c>
      <c r="X216" s="46">
        <v>45784</v>
      </c>
      <c r="Y216" s="1">
        <v>25111612</v>
      </c>
      <c r="Z216" s="1">
        <v>25111613</v>
      </c>
      <c r="AI216" s="2">
        <v>4287626</v>
      </c>
      <c r="AJ216" s="2">
        <v>269719</v>
      </c>
      <c r="AK216" s="2">
        <v>191411.87</v>
      </c>
      <c r="AL216" s="2">
        <v>12041.029999999999</v>
      </c>
      <c r="AM216" s="5">
        <v>40690.590000000004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273440.71000000002</v>
      </c>
      <c r="AT216" s="12">
        <v>244143.49</v>
      </c>
      <c r="AU216" s="2">
        <v>0</v>
      </c>
      <c r="AV216" s="5">
        <v>22786.73</v>
      </c>
      <c r="BL216" s="1" t="s">
        <v>137</v>
      </c>
    </row>
    <row r="217" spans="1:64" x14ac:dyDescent="0.3">
      <c r="A217" t="s">
        <v>216</v>
      </c>
      <c r="B217" s="1" t="s">
        <v>216</v>
      </c>
      <c r="C217" s="9" t="s">
        <v>217</v>
      </c>
      <c r="D217" s="1" t="s">
        <v>95</v>
      </c>
      <c r="E217" s="1" t="s">
        <v>88</v>
      </c>
      <c r="F217" s="10" t="s">
        <v>218</v>
      </c>
      <c r="G217" s="1">
        <v>0.04</v>
      </c>
      <c r="H217" s="1">
        <v>0.05</v>
      </c>
      <c r="I217" s="8">
        <v>44606</v>
      </c>
      <c r="J217" s="6">
        <v>1528588</v>
      </c>
      <c r="K217" s="6">
        <v>237791</v>
      </c>
      <c r="L217" s="6">
        <v>68240.539999999994</v>
      </c>
      <c r="M217" s="6">
        <v>10615.67</v>
      </c>
      <c r="N217" s="7">
        <v>15771.24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105982.74</v>
      </c>
      <c r="U217" s="6">
        <v>94627.45</v>
      </c>
      <c r="V217" s="6">
        <v>0</v>
      </c>
      <c r="W217" s="6">
        <v>8831.9</v>
      </c>
      <c r="X217" s="46">
        <v>45784</v>
      </c>
      <c r="Y217" s="1">
        <v>25111614</v>
      </c>
      <c r="Z217" s="1">
        <v>25111615</v>
      </c>
      <c r="AI217" s="2">
        <v>1528588</v>
      </c>
      <c r="AJ217" s="2">
        <v>237791</v>
      </c>
      <c r="AK217" s="2">
        <v>68240.539999999994</v>
      </c>
      <c r="AL217" s="2">
        <v>10615.67</v>
      </c>
      <c r="AM217" s="5">
        <v>15771.24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105982.74</v>
      </c>
      <c r="AT217" s="12">
        <v>94627.45</v>
      </c>
      <c r="AU217" s="2">
        <v>0</v>
      </c>
      <c r="AV217" s="5">
        <v>8831.9</v>
      </c>
      <c r="BL217" s="1" t="s">
        <v>90</v>
      </c>
    </row>
    <row r="218" spans="1:64" x14ac:dyDescent="0.3">
      <c r="A218" t="s">
        <v>237</v>
      </c>
      <c r="B218" s="1" t="s">
        <v>237</v>
      </c>
      <c r="C218" s="9" t="s">
        <v>238</v>
      </c>
      <c r="D218" s="1" t="s">
        <v>95</v>
      </c>
      <c r="E218" s="1" t="s">
        <v>135</v>
      </c>
      <c r="F218" s="10" t="s">
        <v>193</v>
      </c>
      <c r="G218" s="1">
        <v>3.5000000000000003E-2</v>
      </c>
      <c r="H218" s="1">
        <v>0.05</v>
      </c>
      <c r="I218" s="8">
        <v>45496</v>
      </c>
      <c r="J218" s="6">
        <v>1117061</v>
      </c>
      <c r="K218" s="6">
        <v>229355</v>
      </c>
      <c r="L218" s="6">
        <v>49868.79</v>
      </c>
      <c r="M218" s="6">
        <v>10239.06</v>
      </c>
      <c r="N218" s="7">
        <v>12021.57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80784.95</v>
      </c>
      <c r="U218" s="6">
        <v>72129.42</v>
      </c>
      <c r="V218" s="6">
        <v>0</v>
      </c>
      <c r="W218" s="6">
        <v>6732.08</v>
      </c>
      <c r="X218" s="46">
        <v>45784</v>
      </c>
      <c r="Y218" s="1">
        <v>25111616</v>
      </c>
      <c r="Z218" s="1">
        <v>25111617</v>
      </c>
      <c r="AI218" s="2">
        <v>1117061</v>
      </c>
      <c r="AJ218" s="2">
        <v>229355</v>
      </c>
      <c r="AK218" s="2">
        <v>49868.79</v>
      </c>
      <c r="AL218" s="2">
        <v>10239.06</v>
      </c>
      <c r="AM218" s="5">
        <v>12021.57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80784.95</v>
      </c>
      <c r="AT218" s="12">
        <v>72129.42</v>
      </c>
      <c r="AU218" s="2">
        <v>0</v>
      </c>
      <c r="AV218" s="5">
        <v>6732.08</v>
      </c>
      <c r="BL218" s="1" t="s">
        <v>137</v>
      </c>
    </row>
    <row r="219" spans="1:64" x14ac:dyDescent="0.3">
      <c r="A219" t="s">
        <v>249</v>
      </c>
      <c r="B219" s="1" t="s">
        <v>249</v>
      </c>
      <c r="C219" s="9" t="s">
        <v>250</v>
      </c>
      <c r="D219" s="1" t="s">
        <v>95</v>
      </c>
      <c r="E219" s="1" t="s">
        <v>88</v>
      </c>
      <c r="F219" s="10" t="s">
        <v>218</v>
      </c>
      <c r="G219" s="1">
        <v>3.5000000000000003E-2</v>
      </c>
      <c r="H219" s="1">
        <v>0.05</v>
      </c>
      <c r="I219" s="8">
        <v>45657</v>
      </c>
      <c r="J219" s="6">
        <v>2153178</v>
      </c>
      <c r="K219" s="6">
        <v>475846</v>
      </c>
      <c r="L219" s="6">
        <v>96124.02</v>
      </c>
      <c r="M219" s="6">
        <v>21243.13</v>
      </c>
      <c r="N219" s="7">
        <v>23473.43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157741.45000000001</v>
      </c>
      <c r="U219" s="6">
        <v>140840.58000000002</v>
      </c>
      <c r="V219" s="6">
        <v>0</v>
      </c>
      <c r="W219" s="6">
        <v>13145.119999999999</v>
      </c>
      <c r="X219" s="46">
        <v>45784</v>
      </c>
      <c r="Y219" s="1">
        <v>25111618</v>
      </c>
      <c r="Z219" s="1">
        <v>25111619</v>
      </c>
      <c r="AI219" s="2">
        <v>2153178</v>
      </c>
      <c r="AJ219" s="2">
        <v>475846</v>
      </c>
      <c r="AK219" s="2">
        <v>96124.02</v>
      </c>
      <c r="AL219" s="2">
        <v>21243.13</v>
      </c>
      <c r="AM219" s="5">
        <v>23473.43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157741.45000000001</v>
      </c>
      <c r="AT219" s="12">
        <v>140840.58000000002</v>
      </c>
      <c r="AU219" s="2">
        <v>0</v>
      </c>
      <c r="AV219" s="5">
        <v>13145.119999999999</v>
      </c>
      <c r="BL219" s="1" t="s">
        <v>90</v>
      </c>
    </row>
    <row r="220" spans="1:64" x14ac:dyDescent="0.3">
      <c r="A220" t="s">
        <v>255</v>
      </c>
      <c r="B220" s="1" t="s">
        <v>255</v>
      </c>
      <c r="C220" s="9" t="s">
        <v>256</v>
      </c>
      <c r="D220" s="1" t="s">
        <v>95</v>
      </c>
      <c r="E220" s="1" t="s">
        <v>135</v>
      </c>
      <c r="F220" s="10" t="s">
        <v>136</v>
      </c>
      <c r="G220" s="1">
        <v>3.5000000000000003E-2</v>
      </c>
      <c r="H220" s="1">
        <v>0.05</v>
      </c>
      <c r="I220" s="8">
        <v>45608</v>
      </c>
      <c r="J220" s="6">
        <v>2115690.08</v>
      </c>
      <c r="K220" s="6">
        <v>477794</v>
      </c>
      <c r="L220" s="6">
        <v>94450.450000000012</v>
      </c>
      <c r="M220" s="6">
        <v>21330.1</v>
      </c>
      <c r="N220" s="7">
        <v>23156.12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155609.07</v>
      </c>
      <c r="U220" s="6">
        <v>138936.67000000001</v>
      </c>
      <c r="V220" s="6">
        <v>0</v>
      </c>
      <c r="W220" s="6">
        <v>12967.43</v>
      </c>
      <c r="X220" s="46">
        <v>45784</v>
      </c>
      <c r="Y220" s="1">
        <v>25111620</v>
      </c>
      <c r="Z220" s="1">
        <v>25111621</v>
      </c>
      <c r="AI220" s="2">
        <v>2115690.08</v>
      </c>
      <c r="AJ220" s="2">
        <v>477794</v>
      </c>
      <c r="AK220" s="2">
        <v>94450.450000000012</v>
      </c>
      <c r="AL220" s="2">
        <v>21330.1</v>
      </c>
      <c r="AM220" s="5">
        <v>23156.12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155609.07</v>
      </c>
      <c r="AT220" s="12">
        <v>138936.67000000001</v>
      </c>
      <c r="AU220" s="2">
        <v>0</v>
      </c>
      <c r="AV220" s="5">
        <v>12967.43</v>
      </c>
      <c r="BL220" s="1" t="s">
        <v>137</v>
      </c>
    </row>
    <row r="221" spans="1:64" x14ac:dyDescent="0.3">
      <c r="A221" t="s">
        <v>278</v>
      </c>
      <c r="B221" s="1" t="s">
        <v>278</v>
      </c>
      <c r="C221" s="9" t="s">
        <v>279</v>
      </c>
      <c r="D221" s="1" t="s">
        <v>95</v>
      </c>
      <c r="E221" s="1" t="s">
        <v>88</v>
      </c>
      <c r="F221" s="10" t="s">
        <v>218</v>
      </c>
      <c r="G221" s="1">
        <v>3.5000000000000003E-2</v>
      </c>
      <c r="H221" s="1">
        <v>0.05</v>
      </c>
      <c r="I221" s="8">
        <v>44262</v>
      </c>
      <c r="J221" s="6">
        <v>216052</v>
      </c>
      <c r="K221" s="6">
        <v>52925</v>
      </c>
      <c r="L221" s="6">
        <v>9645.18</v>
      </c>
      <c r="M221" s="6">
        <v>2362.7199999999998</v>
      </c>
      <c r="N221" s="7">
        <v>2401.58</v>
      </c>
      <c r="O221" s="6">
        <v>112558.18</v>
      </c>
      <c r="P221" s="6">
        <v>26061.14</v>
      </c>
      <c r="Q221" s="6">
        <v>5024.92</v>
      </c>
      <c r="R221" s="6">
        <v>1163.45</v>
      </c>
      <c r="S221" s="7">
        <v>1237.67</v>
      </c>
      <c r="T221" s="11">
        <v>24455.78</v>
      </c>
      <c r="U221" s="6">
        <v>21835.520000000004</v>
      </c>
      <c r="V221" s="6">
        <v>0</v>
      </c>
      <c r="W221" s="6">
        <v>2037.98</v>
      </c>
      <c r="X221" s="46">
        <v>45784</v>
      </c>
      <c r="Y221" s="1">
        <v>25111622</v>
      </c>
      <c r="Z221" s="1">
        <v>25111623</v>
      </c>
      <c r="AI221" s="2">
        <v>216052</v>
      </c>
      <c r="AJ221" s="2">
        <v>52925</v>
      </c>
      <c r="AK221" s="2">
        <v>9645.18</v>
      </c>
      <c r="AL221" s="2">
        <v>2362.7199999999998</v>
      </c>
      <c r="AM221" s="5">
        <v>2401.58</v>
      </c>
      <c r="AN221" s="12">
        <v>112558.18</v>
      </c>
      <c r="AO221" s="2">
        <v>26061.14</v>
      </c>
      <c r="AP221" s="2">
        <v>5024.92</v>
      </c>
      <c r="AQ221" s="2">
        <v>1163.45</v>
      </c>
      <c r="AR221" s="5">
        <v>1237.67</v>
      </c>
      <c r="AS221" s="2">
        <v>24455.78</v>
      </c>
      <c r="AT221" s="12">
        <v>21835.520000000004</v>
      </c>
      <c r="AU221" s="2">
        <v>0</v>
      </c>
      <c r="AV221" s="5">
        <v>2037.98</v>
      </c>
      <c r="BL221" s="1" t="s">
        <v>90</v>
      </c>
    </row>
    <row r="222" spans="1:64" x14ac:dyDescent="0.3">
      <c r="A222" t="s">
        <v>282</v>
      </c>
      <c r="B222" s="1" t="s">
        <v>282</v>
      </c>
      <c r="C222" s="9" t="s">
        <v>283</v>
      </c>
      <c r="D222" s="1" t="s">
        <v>95</v>
      </c>
      <c r="E222" s="1" t="s">
        <v>135</v>
      </c>
      <c r="F222" s="10" t="s">
        <v>193</v>
      </c>
      <c r="G222" s="1">
        <v>3.5000000000000003E-2</v>
      </c>
      <c r="H222" s="1">
        <v>0.05</v>
      </c>
      <c r="I222" s="8">
        <v>45496</v>
      </c>
      <c r="J222" s="6">
        <v>1725696</v>
      </c>
      <c r="K222" s="6">
        <v>844650</v>
      </c>
      <c r="L222" s="6">
        <v>77040</v>
      </c>
      <c r="M222" s="6">
        <v>37707.590000000004</v>
      </c>
      <c r="N222" s="7">
        <v>22949.52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154220.76</v>
      </c>
      <c r="U222" s="6">
        <v>137697.11000000002</v>
      </c>
      <c r="V222" s="6">
        <v>0</v>
      </c>
      <c r="W222" s="6">
        <v>12851.73</v>
      </c>
      <c r="X222" s="46">
        <v>45784</v>
      </c>
      <c r="Y222" s="1">
        <v>25111624</v>
      </c>
      <c r="Z222" s="1">
        <v>25111625</v>
      </c>
      <c r="AI222" s="2">
        <v>1725696</v>
      </c>
      <c r="AJ222" s="2">
        <v>844650</v>
      </c>
      <c r="AK222" s="2">
        <v>77040</v>
      </c>
      <c r="AL222" s="2">
        <v>37707.590000000004</v>
      </c>
      <c r="AM222" s="5">
        <v>22949.52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154220.76</v>
      </c>
      <c r="AT222" s="12">
        <v>137697.11000000002</v>
      </c>
      <c r="AU222" s="2">
        <v>0</v>
      </c>
      <c r="AV222" s="5">
        <v>12851.73</v>
      </c>
      <c r="BL222" s="1" t="s">
        <v>137</v>
      </c>
    </row>
    <row r="223" spans="1:64" x14ac:dyDescent="0.3">
      <c r="A223" t="s">
        <v>298</v>
      </c>
      <c r="B223" s="1" t="s">
        <v>298</v>
      </c>
      <c r="C223" s="9" t="s">
        <v>299</v>
      </c>
      <c r="D223" s="1" t="s">
        <v>95</v>
      </c>
      <c r="E223" s="1" t="s">
        <v>88</v>
      </c>
      <c r="F223" s="10" t="s">
        <v>218</v>
      </c>
      <c r="G223" s="1">
        <v>3.5000000000000003E-2</v>
      </c>
      <c r="H223" s="1">
        <v>0.05</v>
      </c>
      <c r="I223" s="8">
        <v>44000</v>
      </c>
      <c r="J223" s="6">
        <v>147879</v>
      </c>
      <c r="K223" s="6">
        <v>55010</v>
      </c>
      <c r="L223" s="6">
        <v>6601.74</v>
      </c>
      <c r="M223" s="6">
        <v>2455.8000000000002</v>
      </c>
      <c r="N223" s="7">
        <v>1811.51</v>
      </c>
      <c r="O223" s="6">
        <v>421213.60000000003</v>
      </c>
      <c r="P223" s="6">
        <v>111727.19999999998</v>
      </c>
      <c r="Q223" s="6">
        <v>18804.18</v>
      </c>
      <c r="R223" s="6">
        <v>4987.82</v>
      </c>
      <c r="S223" s="7">
        <v>4758.3999999999996</v>
      </c>
      <c r="T223" s="11">
        <v>44149.78</v>
      </c>
      <c r="U223" s="6">
        <v>39419.450000000004</v>
      </c>
      <c r="V223" s="6">
        <v>0</v>
      </c>
      <c r="W223" s="6">
        <v>3679.15</v>
      </c>
      <c r="X223" s="46">
        <v>45784</v>
      </c>
      <c r="Y223" s="1">
        <v>25111626</v>
      </c>
      <c r="Z223" s="1">
        <v>25111627</v>
      </c>
      <c r="AI223" s="2">
        <v>147879</v>
      </c>
      <c r="AJ223" s="2">
        <v>55010</v>
      </c>
      <c r="AK223" s="2">
        <v>6601.74</v>
      </c>
      <c r="AL223" s="2">
        <v>2455.8000000000002</v>
      </c>
      <c r="AM223" s="5">
        <v>1811.51</v>
      </c>
      <c r="AN223" s="12">
        <v>421213.60000000003</v>
      </c>
      <c r="AO223" s="2">
        <v>111727.19999999998</v>
      </c>
      <c r="AP223" s="2">
        <v>18804.18</v>
      </c>
      <c r="AQ223" s="2">
        <v>4987.82</v>
      </c>
      <c r="AR223" s="5">
        <v>4758.3999999999996</v>
      </c>
      <c r="AS223" s="2">
        <v>44149.78</v>
      </c>
      <c r="AT223" s="12">
        <v>39419.450000000004</v>
      </c>
      <c r="AU223" s="2">
        <v>0</v>
      </c>
      <c r="AV223" s="5">
        <v>3679.15</v>
      </c>
      <c r="BL223" s="1" t="s">
        <v>90</v>
      </c>
    </row>
    <row r="224" spans="1:64" x14ac:dyDescent="0.3">
      <c r="A224" t="s">
        <v>300</v>
      </c>
      <c r="B224" s="1" t="s">
        <v>300</v>
      </c>
      <c r="C224" s="9" t="s">
        <v>301</v>
      </c>
      <c r="D224" s="1" t="s">
        <v>95</v>
      </c>
      <c r="E224" s="1" t="s">
        <v>135</v>
      </c>
      <c r="F224" s="10" t="s">
        <v>136</v>
      </c>
      <c r="G224" s="1">
        <v>3.5000000000000003E-2</v>
      </c>
      <c r="H224" s="1">
        <v>0.05</v>
      </c>
      <c r="I224" s="8">
        <v>44019</v>
      </c>
      <c r="J224" s="6">
        <v>1830668</v>
      </c>
      <c r="K224" s="6">
        <v>186567</v>
      </c>
      <c r="L224" s="6">
        <v>81726.25</v>
      </c>
      <c r="M224" s="6">
        <v>8328.8799999999992</v>
      </c>
      <c r="N224" s="7">
        <v>18011.03</v>
      </c>
      <c r="O224" s="6">
        <v>670479.6</v>
      </c>
      <c r="P224" s="6">
        <v>82522.8</v>
      </c>
      <c r="Q224" s="6">
        <v>22424.71</v>
      </c>
      <c r="R224" s="6">
        <v>3684.05</v>
      </c>
      <c r="S224" s="7">
        <v>4352.47</v>
      </c>
      <c r="T224" s="11">
        <v>155150.68</v>
      </c>
      <c r="U224" s="6">
        <v>138527.39000000001</v>
      </c>
      <c r="V224" s="6">
        <v>0</v>
      </c>
      <c r="W224" s="6">
        <v>13851.2</v>
      </c>
      <c r="X224" s="46">
        <v>45784</v>
      </c>
      <c r="Y224" s="1">
        <v>25111628</v>
      </c>
      <c r="Z224" s="1">
        <v>25111629</v>
      </c>
      <c r="AI224" s="2">
        <v>1830668</v>
      </c>
      <c r="AJ224" s="2">
        <v>186567</v>
      </c>
      <c r="AK224" s="2">
        <v>81726.25</v>
      </c>
      <c r="AL224" s="2">
        <v>8328.8799999999992</v>
      </c>
      <c r="AM224" s="5">
        <v>18011.03</v>
      </c>
      <c r="AN224" s="12">
        <v>670479.6</v>
      </c>
      <c r="AO224" s="2">
        <v>82522.8</v>
      </c>
      <c r="AP224" s="2">
        <v>22424.71</v>
      </c>
      <c r="AQ224" s="2">
        <v>3684.05</v>
      </c>
      <c r="AR224" s="5">
        <v>4352.47</v>
      </c>
      <c r="AS224" s="2">
        <v>155150.68</v>
      </c>
      <c r="AT224" s="12">
        <v>138527.39000000001</v>
      </c>
      <c r="AU224" s="2">
        <v>0</v>
      </c>
      <c r="AV224" s="5">
        <v>13851.2</v>
      </c>
      <c r="BL224" s="1" t="s">
        <v>302</v>
      </c>
    </row>
    <row r="225" spans="1:64" x14ac:dyDescent="0.3">
      <c r="A225" t="s">
        <v>307</v>
      </c>
      <c r="B225" s="1" t="s">
        <v>307</v>
      </c>
      <c r="C225" s="9" t="s">
        <v>308</v>
      </c>
      <c r="D225" s="1" t="s">
        <v>95</v>
      </c>
      <c r="E225" s="1" t="s">
        <v>128</v>
      </c>
      <c r="F225" s="10" t="s">
        <v>309</v>
      </c>
      <c r="G225" s="1">
        <v>3.5000000000000003E-2</v>
      </c>
      <c r="H225" s="1">
        <v>0.05</v>
      </c>
      <c r="I225" s="8">
        <v>44040</v>
      </c>
      <c r="J225" s="6">
        <v>1033116</v>
      </c>
      <c r="K225" s="6">
        <v>111771</v>
      </c>
      <c r="L225" s="6">
        <v>46121.25</v>
      </c>
      <c r="M225" s="6">
        <v>4989.78</v>
      </c>
      <c r="N225" s="7">
        <v>10222.200000000001</v>
      </c>
      <c r="O225" s="6">
        <v>344494.08000000002</v>
      </c>
      <c r="P225" s="6">
        <v>17644.2</v>
      </c>
      <c r="Q225" s="6">
        <v>15379.199999999999</v>
      </c>
      <c r="R225" s="6">
        <v>787.69</v>
      </c>
      <c r="S225" s="7">
        <v>3233.38</v>
      </c>
      <c r="T225" s="11">
        <v>90421.52</v>
      </c>
      <c r="U225" s="6">
        <v>80733.5</v>
      </c>
      <c r="V225" s="6">
        <v>0</v>
      </c>
      <c r="W225" s="6">
        <v>7535.1299999999992</v>
      </c>
      <c r="X225" s="46">
        <v>45784</v>
      </c>
      <c r="Y225" s="1">
        <v>25111630</v>
      </c>
      <c r="Z225" s="1">
        <v>25111631</v>
      </c>
      <c r="AI225" s="2">
        <v>1033116</v>
      </c>
      <c r="AJ225" s="2">
        <v>111771</v>
      </c>
      <c r="AK225" s="2">
        <v>46121.25</v>
      </c>
      <c r="AL225" s="2">
        <v>4989.78</v>
      </c>
      <c r="AM225" s="5">
        <v>10222.200000000001</v>
      </c>
      <c r="AN225" s="12">
        <v>344494.08000000002</v>
      </c>
      <c r="AO225" s="2">
        <v>17644.2</v>
      </c>
      <c r="AP225" s="2">
        <v>15379.199999999999</v>
      </c>
      <c r="AQ225" s="2">
        <v>787.69</v>
      </c>
      <c r="AR225" s="5">
        <v>3233.38</v>
      </c>
      <c r="AS225" s="2">
        <v>90421.52</v>
      </c>
      <c r="AT225" s="12">
        <v>80733.5</v>
      </c>
      <c r="AU225" s="2">
        <v>0</v>
      </c>
      <c r="AV225" s="5">
        <v>7535.1299999999992</v>
      </c>
      <c r="BL225" s="1" t="s">
        <v>130</v>
      </c>
    </row>
    <row r="226" spans="1:64" x14ac:dyDescent="0.3">
      <c r="A226" t="s">
        <v>323</v>
      </c>
      <c r="B226" s="1" t="s">
        <v>323</v>
      </c>
      <c r="C226" s="9" t="s">
        <v>324</v>
      </c>
      <c r="D226" s="1" t="s">
        <v>95</v>
      </c>
      <c r="E226" s="1" t="s">
        <v>128</v>
      </c>
      <c r="F226" s="10" t="s">
        <v>325</v>
      </c>
      <c r="G226" s="1">
        <v>3.5000000000000003E-2</v>
      </c>
      <c r="H226" s="1">
        <v>0.05</v>
      </c>
      <c r="I226" s="8">
        <v>44424</v>
      </c>
      <c r="J226" s="6">
        <v>2422911</v>
      </c>
      <c r="K226" s="6">
        <v>159918</v>
      </c>
      <c r="L226" s="6">
        <v>108165.67</v>
      </c>
      <c r="M226" s="6">
        <v>7139.2</v>
      </c>
      <c r="N226" s="7">
        <v>23060.97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154969.74</v>
      </c>
      <c r="U226" s="6">
        <v>138365.84</v>
      </c>
      <c r="V226" s="6">
        <v>0</v>
      </c>
      <c r="W226" s="6">
        <v>12914.14</v>
      </c>
      <c r="X226" s="46">
        <v>45784</v>
      </c>
      <c r="Y226" s="1">
        <v>25111632</v>
      </c>
      <c r="Z226" s="1">
        <v>25111633</v>
      </c>
      <c r="AI226" s="2">
        <v>2422911</v>
      </c>
      <c r="AJ226" s="2">
        <v>159918</v>
      </c>
      <c r="AK226" s="2">
        <v>108165.67</v>
      </c>
      <c r="AL226" s="2">
        <v>7139.2</v>
      </c>
      <c r="AM226" s="5">
        <v>23060.97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154969.74</v>
      </c>
      <c r="AT226" s="12">
        <v>138365.84</v>
      </c>
      <c r="AU226" s="2">
        <v>0</v>
      </c>
      <c r="AV226" s="5">
        <v>12914.14</v>
      </c>
      <c r="BL226" s="1" t="s">
        <v>326</v>
      </c>
    </row>
    <row r="227" spans="1:64" x14ac:dyDescent="0.3">
      <c r="A227" t="s">
        <v>342</v>
      </c>
      <c r="B227" s="1" t="s">
        <v>342</v>
      </c>
      <c r="C227" s="9" t="s">
        <v>343</v>
      </c>
      <c r="D227" s="1" t="s">
        <v>95</v>
      </c>
      <c r="E227" s="1" t="s">
        <v>128</v>
      </c>
      <c r="F227" s="10" t="s">
        <v>147</v>
      </c>
      <c r="G227" s="1">
        <v>0.04</v>
      </c>
      <c r="H227" s="1">
        <v>0.05</v>
      </c>
      <c r="I227" s="8">
        <v>44615</v>
      </c>
      <c r="J227" s="6">
        <v>575586</v>
      </c>
      <c r="K227" s="6">
        <v>105877</v>
      </c>
      <c r="L227" s="6">
        <v>25695.800000000003</v>
      </c>
      <c r="M227" s="6">
        <v>4726.6499999999996</v>
      </c>
      <c r="N227" s="7">
        <v>6084.49</v>
      </c>
      <c r="O227" s="6">
        <v>311037.90000000002</v>
      </c>
      <c r="P227" s="6">
        <v>23131.300000000003</v>
      </c>
      <c r="Q227" s="6">
        <v>13885.619999999999</v>
      </c>
      <c r="R227" s="6">
        <v>1032.6500000000001</v>
      </c>
      <c r="S227" s="7">
        <v>2983.65</v>
      </c>
      <c r="T227" s="11">
        <v>60937.919999999998</v>
      </c>
      <c r="U227" s="6">
        <v>54408.86</v>
      </c>
      <c r="V227" s="6">
        <v>0</v>
      </c>
      <c r="W227" s="6">
        <v>5078.16</v>
      </c>
      <c r="X227" s="46">
        <v>45784</v>
      </c>
      <c r="Y227" s="1">
        <v>25111634</v>
      </c>
      <c r="Z227" s="1">
        <v>25111635</v>
      </c>
      <c r="AI227" s="2">
        <v>575586</v>
      </c>
      <c r="AJ227" s="2">
        <v>105877</v>
      </c>
      <c r="AK227" s="2">
        <v>25695.800000000003</v>
      </c>
      <c r="AL227" s="2">
        <v>4726.6499999999996</v>
      </c>
      <c r="AM227" s="5">
        <v>6084.49</v>
      </c>
      <c r="AN227" s="12">
        <v>311037.90000000002</v>
      </c>
      <c r="AO227" s="2">
        <v>23131.300000000003</v>
      </c>
      <c r="AP227" s="2">
        <v>13885.619999999999</v>
      </c>
      <c r="AQ227" s="2">
        <v>1032.6500000000001</v>
      </c>
      <c r="AR227" s="5">
        <v>2983.65</v>
      </c>
      <c r="AS227" s="2">
        <v>60937.919999999998</v>
      </c>
      <c r="AT227" s="12">
        <v>54408.86</v>
      </c>
      <c r="AU227" s="2">
        <v>0</v>
      </c>
      <c r="AV227" s="5">
        <v>5078.16</v>
      </c>
      <c r="BL227" s="1" t="s">
        <v>130</v>
      </c>
    </row>
    <row r="228" spans="1:64" x14ac:dyDescent="0.3">
      <c r="A228" t="s">
        <v>346</v>
      </c>
      <c r="B228" s="1" t="s">
        <v>346</v>
      </c>
      <c r="C228" s="9" t="s">
        <v>347</v>
      </c>
      <c r="D228" s="1" t="s">
        <v>95</v>
      </c>
      <c r="E228" s="1" t="s">
        <v>135</v>
      </c>
      <c r="F228" s="10" t="s">
        <v>348</v>
      </c>
      <c r="G228" s="1">
        <v>0.04</v>
      </c>
      <c r="H228" s="1">
        <v>0.05</v>
      </c>
      <c r="I228" s="8">
        <v>44630</v>
      </c>
      <c r="J228" s="6">
        <v>261336</v>
      </c>
      <c r="K228" s="6">
        <v>80322</v>
      </c>
      <c r="L228" s="6">
        <v>11666.79</v>
      </c>
      <c r="M228" s="6">
        <v>3585.81</v>
      </c>
      <c r="N228" s="7">
        <v>3050.5099999999998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20499.48</v>
      </c>
      <c r="U228" s="6">
        <v>18303.11</v>
      </c>
      <c r="V228" s="6">
        <v>0</v>
      </c>
      <c r="W228" s="6">
        <v>1708.29</v>
      </c>
      <c r="X228" s="46">
        <v>45784</v>
      </c>
      <c r="Y228" s="1">
        <v>25111636</v>
      </c>
      <c r="Z228" s="1">
        <v>25111637</v>
      </c>
      <c r="AI228" s="2">
        <v>261336</v>
      </c>
      <c r="AJ228" s="2">
        <v>80322</v>
      </c>
      <c r="AK228" s="2">
        <v>11666.79</v>
      </c>
      <c r="AL228" s="2">
        <v>3585.81</v>
      </c>
      <c r="AM228" s="5">
        <v>3050.5099999999998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20499.48</v>
      </c>
      <c r="AT228" s="12">
        <v>18303.11</v>
      </c>
      <c r="AU228" s="2">
        <v>0</v>
      </c>
      <c r="AV228" s="5">
        <v>1708.29</v>
      </c>
      <c r="BL228" s="1" t="s">
        <v>137</v>
      </c>
    </row>
    <row r="229" spans="1:64" x14ac:dyDescent="0.3">
      <c r="A229" t="s">
        <v>353</v>
      </c>
      <c r="B229" s="1" t="s">
        <v>353</v>
      </c>
      <c r="C229" s="9" t="s">
        <v>354</v>
      </c>
      <c r="D229" s="1" t="s">
        <v>95</v>
      </c>
      <c r="E229" s="1" t="s">
        <v>128</v>
      </c>
      <c r="F229" s="10" t="s">
        <v>355</v>
      </c>
      <c r="G229" s="1">
        <v>0.04</v>
      </c>
      <c r="H229" s="1">
        <v>0.05</v>
      </c>
      <c r="I229" s="8">
        <v>44679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1132473.3</v>
      </c>
      <c r="P229" s="6">
        <v>51363.900000000009</v>
      </c>
      <c r="Q229" s="6">
        <v>50556.86</v>
      </c>
      <c r="R229" s="6">
        <v>2293.0299999999997</v>
      </c>
      <c r="S229" s="7">
        <v>4415.29</v>
      </c>
      <c r="T229" s="11">
        <v>64137</v>
      </c>
      <c r="U229" s="6">
        <v>57265.179999999993</v>
      </c>
      <c r="V229" s="6">
        <v>0</v>
      </c>
      <c r="W229" s="6">
        <v>5919.18</v>
      </c>
      <c r="X229" s="46">
        <v>45784</v>
      </c>
      <c r="Y229" s="1">
        <v>25111638</v>
      </c>
      <c r="Z229" s="1">
        <v>25111639</v>
      </c>
      <c r="AI229" s="2">
        <v>0</v>
      </c>
      <c r="AJ229" s="2">
        <v>0</v>
      </c>
      <c r="AK229" s="2">
        <v>0</v>
      </c>
      <c r="AL229" s="2">
        <v>0</v>
      </c>
      <c r="AM229" s="5">
        <v>0</v>
      </c>
      <c r="AN229" s="12">
        <v>1132473.3</v>
      </c>
      <c r="AO229" s="2">
        <v>51363.900000000009</v>
      </c>
      <c r="AP229" s="2">
        <v>50556.86</v>
      </c>
      <c r="AQ229" s="2">
        <v>2293.0299999999997</v>
      </c>
      <c r="AR229" s="5">
        <v>4415.29</v>
      </c>
      <c r="AS229" s="2">
        <v>64137</v>
      </c>
      <c r="AT229" s="12">
        <v>57265.179999999993</v>
      </c>
      <c r="AU229" s="2">
        <v>0</v>
      </c>
      <c r="AV229" s="5">
        <v>5919.18</v>
      </c>
      <c r="BL229" s="1" t="s">
        <v>130</v>
      </c>
    </row>
    <row r="230" spans="1:64" x14ac:dyDescent="0.3">
      <c r="A230" t="s">
        <v>360</v>
      </c>
      <c r="B230" s="1" t="s">
        <v>360</v>
      </c>
      <c r="C230" s="9" t="s">
        <v>361</v>
      </c>
      <c r="D230" s="1" t="s">
        <v>95</v>
      </c>
      <c r="E230" s="1" t="s">
        <v>128</v>
      </c>
      <c r="F230" s="10" t="s">
        <v>309</v>
      </c>
      <c r="G230" s="1">
        <v>0.04</v>
      </c>
      <c r="H230" s="1">
        <v>0.05</v>
      </c>
      <c r="I230" s="8">
        <v>44705</v>
      </c>
      <c r="J230" s="6">
        <v>341517</v>
      </c>
      <c r="K230" s="6">
        <v>49658</v>
      </c>
      <c r="L230" s="6">
        <v>15246.29</v>
      </c>
      <c r="M230" s="6">
        <v>2216.88</v>
      </c>
      <c r="N230" s="7">
        <v>3492.63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23470.5</v>
      </c>
      <c r="U230" s="6">
        <v>20955.800000000003</v>
      </c>
      <c r="V230" s="6">
        <v>0</v>
      </c>
      <c r="W230" s="6">
        <v>1955.88</v>
      </c>
      <c r="X230" s="46">
        <v>45784</v>
      </c>
      <c r="Y230" s="1">
        <v>25111640</v>
      </c>
      <c r="Z230" s="1">
        <v>25111641</v>
      </c>
      <c r="AI230" s="2">
        <v>341517</v>
      </c>
      <c r="AJ230" s="2">
        <v>49658</v>
      </c>
      <c r="AK230" s="2">
        <v>15246.29</v>
      </c>
      <c r="AL230" s="2">
        <v>2216.88</v>
      </c>
      <c r="AM230" s="5">
        <v>3492.63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23470.5</v>
      </c>
      <c r="AT230" s="12">
        <v>20955.800000000003</v>
      </c>
      <c r="AU230" s="2">
        <v>0</v>
      </c>
      <c r="AV230" s="5">
        <v>1955.88</v>
      </c>
      <c r="BL230" s="1" t="s">
        <v>130</v>
      </c>
    </row>
    <row r="231" spans="1:64" x14ac:dyDescent="0.3">
      <c r="A231" t="s">
        <v>362</v>
      </c>
      <c r="B231" s="1" t="s">
        <v>362</v>
      </c>
      <c r="C231" s="9" t="s">
        <v>363</v>
      </c>
      <c r="D231" s="1" t="s">
        <v>95</v>
      </c>
      <c r="E231" s="1" t="s">
        <v>128</v>
      </c>
      <c r="F231" s="10" t="s">
        <v>129</v>
      </c>
      <c r="G231" s="1">
        <v>0.04</v>
      </c>
      <c r="H231" s="1">
        <v>0.05</v>
      </c>
      <c r="I231" s="8">
        <v>44725</v>
      </c>
      <c r="J231" s="6">
        <v>602209</v>
      </c>
      <c r="K231" s="6">
        <v>33262</v>
      </c>
      <c r="L231" s="6">
        <v>26884.329999999998</v>
      </c>
      <c r="M231" s="6">
        <v>1484.91</v>
      </c>
      <c r="N231" s="7">
        <v>5673.85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38128.26</v>
      </c>
      <c r="U231" s="6">
        <v>34043.089999999997</v>
      </c>
      <c r="V231" s="6">
        <v>0</v>
      </c>
      <c r="W231" s="6">
        <v>3177.35</v>
      </c>
      <c r="X231" s="46">
        <v>45784</v>
      </c>
      <c r="Y231" s="1">
        <v>25111642</v>
      </c>
      <c r="Z231" s="1">
        <v>25111643</v>
      </c>
      <c r="AI231" s="2">
        <v>602209</v>
      </c>
      <c r="AJ231" s="2">
        <v>33262</v>
      </c>
      <c r="AK231" s="2">
        <v>26884.329999999998</v>
      </c>
      <c r="AL231" s="2">
        <v>1484.91</v>
      </c>
      <c r="AM231" s="5">
        <v>5673.85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38128.26</v>
      </c>
      <c r="AT231" s="12">
        <v>34043.089999999997</v>
      </c>
      <c r="AU231" s="2">
        <v>0</v>
      </c>
      <c r="AV231" s="5">
        <v>3177.35</v>
      </c>
      <c r="BL231" s="1" t="s">
        <v>326</v>
      </c>
    </row>
    <row r="232" spans="1:64" x14ac:dyDescent="0.3">
      <c r="A232" t="s">
        <v>366</v>
      </c>
      <c r="B232" s="1" t="s">
        <v>366</v>
      </c>
      <c r="C232" s="9" t="s">
        <v>367</v>
      </c>
      <c r="D232" s="1" t="s">
        <v>95</v>
      </c>
      <c r="E232" s="1" t="s">
        <v>128</v>
      </c>
      <c r="F232" s="10" t="s">
        <v>325</v>
      </c>
      <c r="G232" s="1">
        <v>3.5000000000000003E-2</v>
      </c>
      <c r="H232" s="1">
        <v>0.05</v>
      </c>
      <c r="I232" s="8">
        <v>44741</v>
      </c>
      <c r="J232" s="6">
        <v>3355917</v>
      </c>
      <c r="K232" s="6">
        <v>421536</v>
      </c>
      <c r="L232" s="6">
        <v>149817.71999999997</v>
      </c>
      <c r="M232" s="6">
        <v>18818.57</v>
      </c>
      <c r="N232" s="7">
        <v>33727.26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226647.18</v>
      </c>
      <c r="U232" s="6">
        <v>202363.55</v>
      </c>
      <c r="V232" s="6">
        <v>0</v>
      </c>
      <c r="W232" s="6">
        <v>18887.27</v>
      </c>
      <c r="X232" s="46">
        <v>45784</v>
      </c>
      <c r="Y232" s="1">
        <v>25111644</v>
      </c>
      <c r="Z232" s="1">
        <v>25111645</v>
      </c>
      <c r="AI232" s="2">
        <v>3355917</v>
      </c>
      <c r="AJ232" s="2">
        <v>421536</v>
      </c>
      <c r="AK232" s="2">
        <v>149817.71999999997</v>
      </c>
      <c r="AL232" s="2">
        <v>18818.57</v>
      </c>
      <c r="AM232" s="5">
        <v>33727.26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226647.18</v>
      </c>
      <c r="AT232" s="12">
        <v>202363.55</v>
      </c>
      <c r="AU232" s="2">
        <v>0</v>
      </c>
      <c r="AV232" s="5">
        <v>18887.27</v>
      </c>
      <c r="BL232" s="1" t="s">
        <v>326</v>
      </c>
    </row>
    <row r="233" spans="1:64" x14ac:dyDescent="0.3">
      <c r="A233" t="s">
        <v>399</v>
      </c>
      <c r="B233" s="1" t="s">
        <v>399</v>
      </c>
      <c r="C233" s="9" t="s">
        <v>400</v>
      </c>
      <c r="D233" s="1" t="s">
        <v>95</v>
      </c>
      <c r="E233" s="1" t="s">
        <v>128</v>
      </c>
      <c r="F233" s="10" t="s">
        <v>401</v>
      </c>
      <c r="G233" s="1">
        <v>4.4999999999999998E-2</v>
      </c>
      <c r="H233" s="1">
        <v>0.05</v>
      </c>
      <c r="I233" s="8">
        <v>45209</v>
      </c>
      <c r="J233" s="6">
        <v>2162304</v>
      </c>
      <c r="K233" s="6">
        <v>87600</v>
      </c>
      <c r="L233" s="6">
        <v>96531.419999999984</v>
      </c>
      <c r="M233" s="6">
        <v>3910.72</v>
      </c>
      <c r="N233" s="7">
        <v>20088.420000000002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134994.23000000001</v>
      </c>
      <c r="U233" s="6">
        <v>120530.56</v>
      </c>
      <c r="V233" s="6">
        <v>0</v>
      </c>
      <c r="W233" s="6">
        <v>11249.52</v>
      </c>
      <c r="X233" s="46">
        <v>45784</v>
      </c>
      <c r="Y233" s="1">
        <v>25111646</v>
      </c>
      <c r="Z233" s="1">
        <v>25111647</v>
      </c>
      <c r="AI233" s="2">
        <v>2162304</v>
      </c>
      <c r="AJ233" s="2">
        <v>87600</v>
      </c>
      <c r="AK233" s="2">
        <v>96531.419999999984</v>
      </c>
      <c r="AL233" s="2">
        <v>3910.72</v>
      </c>
      <c r="AM233" s="5">
        <v>20088.420000000002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134994.23000000001</v>
      </c>
      <c r="AT233" s="12">
        <v>120530.56</v>
      </c>
      <c r="AU233" s="2">
        <v>0</v>
      </c>
      <c r="AV233" s="5">
        <v>11249.52</v>
      </c>
      <c r="BL233" s="1" t="s">
        <v>130</v>
      </c>
    </row>
    <row r="234" spans="1:64" x14ac:dyDescent="0.3">
      <c r="A234" t="s">
        <v>414</v>
      </c>
      <c r="B234" s="1" t="s">
        <v>414</v>
      </c>
      <c r="C234" s="9" t="s">
        <v>415</v>
      </c>
      <c r="D234" s="1" t="s">
        <v>95</v>
      </c>
      <c r="E234" s="1" t="s">
        <v>128</v>
      </c>
      <c r="F234" s="10" t="s">
        <v>325</v>
      </c>
      <c r="G234" s="1">
        <v>3.5000000000000003E-2</v>
      </c>
      <c r="H234" s="1">
        <v>0.05</v>
      </c>
      <c r="I234" s="8">
        <v>45337</v>
      </c>
      <c r="J234" s="6">
        <v>2845282.55</v>
      </c>
      <c r="K234" s="6">
        <v>222754</v>
      </c>
      <c r="L234" s="6">
        <v>127021.54999999999</v>
      </c>
      <c r="M234" s="6">
        <v>9944.369999999999</v>
      </c>
      <c r="N234" s="7">
        <v>27393.19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184082.2</v>
      </c>
      <c r="U234" s="6">
        <v>164359.10999999999</v>
      </c>
      <c r="V234" s="6">
        <v>0</v>
      </c>
      <c r="W234" s="6">
        <v>15340.18</v>
      </c>
      <c r="X234" s="46">
        <v>45784</v>
      </c>
      <c r="Y234" s="1">
        <v>25111648</v>
      </c>
      <c r="Z234" s="1">
        <v>25111649</v>
      </c>
      <c r="AI234" s="2">
        <v>2845282.55</v>
      </c>
      <c r="AJ234" s="2">
        <v>222754</v>
      </c>
      <c r="AK234" s="2">
        <v>127021.54999999999</v>
      </c>
      <c r="AL234" s="2">
        <v>9944.369999999999</v>
      </c>
      <c r="AM234" s="5">
        <v>27393.19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184082.2</v>
      </c>
      <c r="AT234" s="12">
        <v>164359.10999999999</v>
      </c>
      <c r="AU234" s="2">
        <v>0</v>
      </c>
      <c r="AV234" s="5">
        <v>15340.18</v>
      </c>
      <c r="BL234" s="1" t="s">
        <v>326</v>
      </c>
    </row>
    <row r="235" spans="1:64" x14ac:dyDescent="0.3">
      <c r="A235" t="s">
        <v>422</v>
      </c>
      <c r="B235" s="1" t="s">
        <v>422</v>
      </c>
      <c r="C235" s="9" t="s">
        <v>423</v>
      </c>
      <c r="D235" s="1" t="s">
        <v>95</v>
      </c>
      <c r="E235" s="1" t="s">
        <v>128</v>
      </c>
      <c r="F235" s="10" t="s">
        <v>401</v>
      </c>
      <c r="G235" s="1">
        <v>3.5000000000000003E-2</v>
      </c>
      <c r="H235" s="1">
        <v>0.05</v>
      </c>
      <c r="I235" s="8">
        <v>45555</v>
      </c>
      <c r="J235" s="6">
        <v>667269</v>
      </c>
      <c r="K235" s="6">
        <v>66865</v>
      </c>
      <c r="L235" s="6">
        <v>29788.79</v>
      </c>
      <c r="M235" s="6">
        <v>2985.04</v>
      </c>
      <c r="N235" s="7">
        <v>6554.77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44048.03</v>
      </c>
      <c r="U235" s="6">
        <v>39328.600000000006</v>
      </c>
      <c r="V235" s="6">
        <v>0</v>
      </c>
      <c r="W235" s="6">
        <v>3670.67</v>
      </c>
      <c r="X235" s="46">
        <v>45784</v>
      </c>
      <c r="Y235" s="1">
        <v>25111650</v>
      </c>
      <c r="Z235" s="1">
        <v>25111651</v>
      </c>
      <c r="AI235" s="2">
        <v>667269</v>
      </c>
      <c r="AJ235" s="2">
        <v>66865</v>
      </c>
      <c r="AK235" s="2">
        <v>29788.79</v>
      </c>
      <c r="AL235" s="2">
        <v>2985.04</v>
      </c>
      <c r="AM235" s="5">
        <v>6554.77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44048.03</v>
      </c>
      <c r="AT235" s="12">
        <v>39328.600000000006</v>
      </c>
      <c r="AU235" s="2">
        <v>0</v>
      </c>
      <c r="AV235" s="5">
        <v>3670.67</v>
      </c>
      <c r="BL235" s="1" t="s">
        <v>130</v>
      </c>
    </row>
    <row r="236" spans="1:64" x14ac:dyDescent="0.3">
      <c r="A236" t="s">
        <v>424</v>
      </c>
      <c r="B236" s="1" t="s">
        <v>424</v>
      </c>
      <c r="C236" s="9" t="s">
        <v>425</v>
      </c>
      <c r="D236" s="1" t="s">
        <v>95</v>
      </c>
      <c r="E236" s="1" t="s">
        <v>128</v>
      </c>
      <c r="F236" s="10" t="s">
        <v>401</v>
      </c>
      <c r="G236" s="1">
        <v>3.5000000000000003E-2</v>
      </c>
      <c r="H236" s="1">
        <v>0.05</v>
      </c>
      <c r="I236" s="8">
        <v>45664</v>
      </c>
      <c r="J236" s="6">
        <v>2151331</v>
      </c>
      <c r="K236" s="6">
        <v>127138</v>
      </c>
      <c r="L236" s="6">
        <v>96041.56</v>
      </c>
      <c r="M236" s="6">
        <v>5675.8</v>
      </c>
      <c r="N236" s="7">
        <v>20343.469999999998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136708.13</v>
      </c>
      <c r="U236" s="6">
        <v>122060.82999999999</v>
      </c>
      <c r="V236" s="6">
        <v>0</v>
      </c>
      <c r="W236" s="6">
        <v>11392.35</v>
      </c>
      <c r="X236" s="46">
        <v>45784</v>
      </c>
      <c r="Y236" s="1">
        <v>25111652</v>
      </c>
      <c r="Z236" s="1">
        <v>25111653</v>
      </c>
      <c r="AI236" s="2">
        <v>2151331</v>
      </c>
      <c r="AJ236" s="2">
        <v>127138</v>
      </c>
      <c r="AK236" s="2">
        <v>96041.56</v>
      </c>
      <c r="AL236" s="2">
        <v>5675.8</v>
      </c>
      <c r="AM236" s="5">
        <v>20343.469999999998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136708.13</v>
      </c>
      <c r="AT236" s="12">
        <v>122060.82999999999</v>
      </c>
      <c r="AU236" s="2">
        <v>0</v>
      </c>
      <c r="AV236" s="5">
        <v>11392.35</v>
      </c>
      <c r="BL236" s="1" t="s">
        <v>326</v>
      </c>
    </row>
    <row r="237" spans="1:64" x14ac:dyDescent="0.3">
      <c r="A237" t="s">
        <v>430</v>
      </c>
      <c r="B237" s="1" t="s">
        <v>430</v>
      </c>
      <c r="C237" s="9" t="s">
        <v>431</v>
      </c>
      <c r="D237" s="1" t="s">
        <v>95</v>
      </c>
      <c r="E237" s="1" t="s">
        <v>88</v>
      </c>
      <c r="F237" s="10" t="s">
        <v>432</v>
      </c>
      <c r="G237" s="1">
        <v>3.5000000000000003E-2</v>
      </c>
      <c r="H237" s="1">
        <v>0.05</v>
      </c>
      <c r="I237" s="8">
        <v>43993</v>
      </c>
      <c r="J237" s="6">
        <v>197401</v>
      </c>
      <c r="K237" s="6">
        <v>12684</v>
      </c>
      <c r="L237" s="6">
        <v>8812.5400000000009</v>
      </c>
      <c r="M237" s="6">
        <v>566.25</v>
      </c>
      <c r="N237" s="7">
        <v>1875.76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12605.1</v>
      </c>
      <c r="U237" s="6">
        <v>11254.550000000001</v>
      </c>
      <c r="V237" s="6">
        <v>0</v>
      </c>
      <c r="W237" s="6">
        <v>1050.42</v>
      </c>
      <c r="X237" s="46">
        <v>45784</v>
      </c>
      <c r="Y237" s="1">
        <v>25111654</v>
      </c>
      <c r="Z237" s="1">
        <v>25111655</v>
      </c>
      <c r="AI237" s="2">
        <v>197401</v>
      </c>
      <c r="AJ237" s="2">
        <v>12684</v>
      </c>
      <c r="AK237" s="2">
        <v>8812.5400000000009</v>
      </c>
      <c r="AL237" s="2">
        <v>566.25</v>
      </c>
      <c r="AM237" s="5">
        <v>1875.76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12605.1</v>
      </c>
      <c r="AT237" s="12">
        <v>11254.550000000001</v>
      </c>
      <c r="AU237" s="2">
        <v>0</v>
      </c>
      <c r="AV237" s="5">
        <v>1050.42</v>
      </c>
      <c r="BL237" s="1" t="s">
        <v>90</v>
      </c>
    </row>
    <row r="238" spans="1:64" x14ac:dyDescent="0.3">
      <c r="A238" t="s">
        <v>433</v>
      </c>
      <c r="B238" s="1" t="s">
        <v>433</v>
      </c>
      <c r="C238" s="9" t="s">
        <v>434</v>
      </c>
      <c r="D238" s="1" t="s">
        <v>95</v>
      </c>
      <c r="E238" s="1" t="s">
        <v>135</v>
      </c>
      <c r="F238" s="10" t="s">
        <v>435</v>
      </c>
      <c r="G238" s="1">
        <v>3.5000000000000003E-2</v>
      </c>
      <c r="H238" s="1">
        <v>0.05</v>
      </c>
      <c r="I238" s="8">
        <v>44000</v>
      </c>
      <c r="J238" s="6">
        <v>532067</v>
      </c>
      <c r="K238" s="6">
        <v>51115</v>
      </c>
      <c r="L238" s="6">
        <v>23752.99</v>
      </c>
      <c r="M238" s="6">
        <v>2281.92</v>
      </c>
      <c r="N238" s="7">
        <v>5206.9799999999996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34990.92</v>
      </c>
      <c r="U238" s="6">
        <v>31241.890000000003</v>
      </c>
      <c r="V238" s="6">
        <v>0</v>
      </c>
      <c r="W238" s="6">
        <v>2915.91</v>
      </c>
      <c r="X238" s="46">
        <v>45784</v>
      </c>
      <c r="Y238" s="1">
        <v>25111656</v>
      </c>
      <c r="Z238" s="1">
        <v>25111657</v>
      </c>
      <c r="AI238" s="2">
        <v>532067</v>
      </c>
      <c r="AJ238" s="2">
        <v>51115</v>
      </c>
      <c r="AK238" s="2">
        <v>23752.99</v>
      </c>
      <c r="AL238" s="2">
        <v>2281.92</v>
      </c>
      <c r="AM238" s="5">
        <v>5206.9799999999996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34990.92</v>
      </c>
      <c r="AT238" s="12">
        <v>31241.890000000003</v>
      </c>
      <c r="AU238" s="2">
        <v>0</v>
      </c>
      <c r="AV238" s="5">
        <v>2915.91</v>
      </c>
      <c r="BL238" s="1" t="s">
        <v>436</v>
      </c>
    </row>
    <row r="239" spans="1:64" x14ac:dyDescent="0.3">
      <c r="A239" t="s">
        <v>437</v>
      </c>
      <c r="B239" s="1" t="s">
        <v>437</v>
      </c>
      <c r="C239" s="9" t="s">
        <v>438</v>
      </c>
      <c r="D239" s="1" t="s">
        <v>95</v>
      </c>
      <c r="E239" s="1" t="s">
        <v>88</v>
      </c>
      <c r="F239" s="10" t="s">
        <v>218</v>
      </c>
      <c r="G239" s="1">
        <v>3.5000000000000003E-2</v>
      </c>
      <c r="H239" s="1">
        <v>0.05</v>
      </c>
      <c r="I239" s="8">
        <v>44062</v>
      </c>
      <c r="J239" s="6">
        <v>1378133</v>
      </c>
      <c r="K239" s="6">
        <v>173873</v>
      </c>
      <c r="L239" s="6">
        <v>61523.79</v>
      </c>
      <c r="M239" s="6">
        <v>7762.19</v>
      </c>
      <c r="N239" s="7">
        <v>13857.2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93120.36</v>
      </c>
      <c r="U239" s="6">
        <v>83143.179999999993</v>
      </c>
      <c r="V239" s="6">
        <v>0</v>
      </c>
      <c r="W239" s="6">
        <v>7760.03</v>
      </c>
      <c r="X239" s="46">
        <v>45784</v>
      </c>
      <c r="Y239" s="1">
        <v>25111658</v>
      </c>
      <c r="Z239" s="1">
        <v>25111659</v>
      </c>
      <c r="AI239" s="2">
        <v>1378133</v>
      </c>
      <c r="AJ239" s="2">
        <v>173873</v>
      </c>
      <c r="AK239" s="2">
        <v>61523.79</v>
      </c>
      <c r="AL239" s="2">
        <v>7762.19</v>
      </c>
      <c r="AM239" s="5">
        <v>13857.2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93120.36</v>
      </c>
      <c r="AT239" s="12">
        <v>83143.179999999993</v>
      </c>
      <c r="AU239" s="2">
        <v>0</v>
      </c>
      <c r="AV239" s="5">
        <v>7760.03</v>
      </c>
      <c r="BL239" s="1" t="s">
        <v>90</v>
      </c>
    </row>
    <row r="240" spans="1:64" x14ac:dyDescent="0.3">
      <c r="A240" t="s">
        <v>439</v>
      </c>
      <c r="B240" s="1" t="s">
        <v>439</v>
      </c>
      <c r="C240" s="9" t="s">
        <v>440</v>
      </c>
      <c r="D240" s="1" t="s">
        <v>95</v>
      </c>
      <c r="E240" s="1" t="s">
        <v>88</v>
      </c>
      <c r="F240" s="10" t="s">
        <v>441</v>
      </c>
      <c r="G240" s="1">
        <v>3.5000000000000003E-2</v>
      </c>
      <c r="H240" s="1">
        <v>0.05</v>
      </c>
      <c r="I240" s="8">
        <v>44774</v>
      </c>
      <c r="J240" s="6">
        <v>282975.90000000002</v>
      </c>
      <c r="K240" s="6">
        <v>50020</v>
      </c>
      <c r="L240" s="6">
        <v>12632.86</v>
      </c>
      <c r="M240" s="6">
        <v>2233.04</v>
      </c>
      <c r="N240" s="7">
        <v>2973.1800000000003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19979.77</v>
      </c>
      <c r="U240" s="6">
        <v>17839.080000000002</v>
      </c>
      <c r="V240" s="6">
        <v>0</v>
      </c>
      <c r="W240" s="6">
        <v>1664.98</v>
      </c>
      <c r="X240" s="46">
        <v>45784</v>
      </c>
      <c r="Y240" s="1">
        <v>25111660</v>
      </c>
      <c r="Z240" s="1">
        <v>25111661</v>
      </c>
      <c r="AI240" s="2">
        <v>282975.90000000002</v>
      </c>
      <c r="AJ240" s="2">
        <v>50020</v>
      </c>
      <c r="AK240" s="2">
        <v>12632.86</v>
      </c>
      <c r="AL240" s="2">
        <v>2233.04</v>
      </c>
      <c r="AM240" s="5">
        <v>2973.1800000000003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19979.77</v>
      </c>
      <c r="AT240" s="12">
        <v>17839.080000000002</v>
      </c>
      <c r="AU240" s="2">
        <v>0</v>
      </c>
      <c r="AV240" s="5">
        <v>1664.98</v>
      </c>
      <c r="BL240" s="1" t="s">
        <v>90</v>
      </c>
    </row>
    <row r="241" spans="1:64" x14ac:dyDescent="0.3">
      <c r="A241" t="s">
        <v>448</v>
      </c>
      <c r="B241" s="1" t="s">
        <v>448</v>
      </c>
      <c r="C241" s="9" t="s">
        <v>449</v>
      </c>
      <c r="D241" s="1" t="s">
        <v>95</v>
      </c>
      <c r="E241" s="1" t="s">
        <v>128</v>
      </c>
      <c r="F241" s="10" t="s">
        <v>355</v>
      </c>
      <c r="G241" s="1">
        <v>4.4999999999999998E-2</v>
      </c>
      <c r="H241" s="1">
        <v>0.05</v>
      </c>
      <c r="I241" s="8">
        <v>45199</v>
      </c>
      <c r="J241" s="6">
        <v>701940</v>
      </c>
      <c r="K241" s="6">
        <v>57187</v>
      </c>
      <c r="L241" s="6">
        <v>31336.61</v>
      </c>
      <c r="M241" s="6">
        <v>2552.9899999999998</v>
      </c>
      <c r="N241" s="7">
        <v>6777.92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45547.62</v>
      </c>
      <c r="U241" s="6">
        <v>40667.519999999997</v>
      </c>
      <c r="V241" s="6">
        <v>0</v>
      </c>
      <c r="W241" s="6">
        <v>3795.64</v>
      </c>
      <c r="X241" s="46">
        <v>45784</v>
      </c>
      <c r="Y241" s="1">
        <v>25111662</v>
      </c>
      <c r="Z241" s="1">
        <v>25111663</v>
      </c>
      <c r="AI241" s="2">
        <v>701940</v>
      </c>
      <c r="AJ241" s="2">
        <v>57187</v>
      </c>
      <c r="AK241" s="2">
        <v>31336.61</v>
      </c>
      <c r="AL241" s="2">
        <v>2552.9899999999998</v>
      </c>
      <c r="AM241" s="5">
        <v>6777.92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45547.62</v>
      </c>
      <c r="AT241" s="12">
        <v>40667.519999999997</v>
      </c>
      <c r="AU241" s="2">
        <v>0</v>
      </c>
      <c r="AV241" s="5">
        <v>3795.64</v>
      </c>
      <c r="BL241" s="1" t="s">
        <v>130</v>
      </c>
    </row>
    <row r="242" spans="1:64" x14ac:dyDescent="0.3">
      <c r="A242" t="s">
        <v>450</v>
      </c>
      <c r="B242" s="1" t="s">
        <v>450</v>
      </c>
      <c r="C242" s="9" t="s">
        <v>451</v>
      </c>
      <c r="D242" s="1" t="s">
        <v>95</v>
      </c>
      <c r="E242" s="1" t="s">
        <v>135</v>
      </c>
      <c r="F242" s="10" t="s">
        <v>193</v>
      </c>
      <c r="G242" s="1">
        <v>3.5000000000000003E-2</v>
      </c>
      <c r="H242" s="1">
        <v>0.05</v>
      </c>
      <c r="I242" s="8">
        <v>44183</v>
      </c>
      <c r="J242" s="6">
        <v>830384.5</v>
      </c>
      <c r="K242" s="6">
        <v>272520</v>
      </c>
      <c r="L242" s="6">
        <v>37070.730000000003</v>
      </c>
      <c r="M242" s="6">
        <v>12166.080000000002</v>
      </c>
      <c r="N242" s="7">
        <v>9847.3700000000008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66174.28</v>
      </c>
      <c r="U242" s="6">
        <v>59084.18</v>
      </c>
      <c r="V242" s="6">
        <v>0</v>
      </c>
      <c r="W242" s="6">
        <v>5514.5199999999995</v>
      </c>
      <c r="X242" s="46">
        <v>45784</v>
      </c>
      <c r="Y242" s="1">
        <v>25111664</v>
      </c>
      <c r="Z242" s="1">
        <v>25111665</v>
      </c>
      <c r="AI242" s="2">
        <v>830384.5</v>
      </c>
      <c r="AJ242" s="2">
        <v>272520</v>
      </c>
      <c r="AK242" s="2">
        <v>37070.730000000003</v>
      </c>
      <c r="AL242" s="2">
        <v>12166.080000000002</v>
      </c>
      <c r="AM242" s="5">
        <v>9847.3700000000008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66174.28</v>
      </c>
      <c r="AT242" s="12">
        <v>59084.18</v>
      </c>
      <c r="AU242" s="2">
        <v>0</v>
      </c>
      <c r="AV242" s="5">
        <v>5514.5199999999995</v>
      </c>
      <c r="BL242" s="1" t="s">
        <v>436</v>
      </c>
    </row>
    <row r="243" spans="1:64" x14ac:dyDescent="0.3">
      <c r="A243" t="s">
        <v>475</v>
      </c>
      <c r="B243" s="1" t="s">
        <v>475</v>
      </c>
      <c r="C243" s="9" t="s">
        <v>476</v>
      </c>
      <c r="D243" s="1" t="s">
        <v>95</v>
      </c>
      <c r="E243" s="1" t="s">
        <v>88</v>
      </c>
      <c r="F243" s="10" t="s">
        <v>218</v>
      </c>
      <c r="G243" s="1">
        <v>3.5000000000000003E-2</v>
      </c>
      <c r="H243" s="1">
        <v>0.05</v>
      </c>
      <c r="I243" s="8">
        <v>44496</v>
      </c>
      <c r="J243" s="6">
        <v>1140975</v>
      </c>
      <c r="K243" s="6">
        <v>518797</v>
      </c>
      <c r="L243" s="6">
        <v>50936.38</v>
      </c>
      <c r="M243" s="6">
        <v>23160.58</v>
      </c>
      <c r="N243" s="7">
        <v>14819.39</v>
      </c>
      <c r="O243" s="6">
        <v>541905.21</v>
      </c>
      <c r="P243" s="6">
        <v>61755.39</v>
      </c>
      <c r="Q243" s="6">
        <v>24192.190000000002</v>
      </c>
      <c r="R243" s="6">
        <v>2756.94</v>
      </c>
      <c r="S243" s="7">
        <v>4216.6400000000003</v>
      </c>
      <c r="T243" s="11">
        <v>134491.97</v>
      </c>
      <c r="U243" s="6">
        <v>120082.12</v>
      </c>
      <c r="V243" s="6">
        <v>0</v>
      </c>
      <c r="W243" s="6">
        <v>11317.17</v>
      </c>
      <c r="X243" s="46">
        <v>45784</v>
      </c>
      <c r="Y243" s="1">
        <v>25111666</v>
      </c>
      <c r="Z243" s="1">
        <v>25111667</v>
      </c>
      <c r="AI243" s="2">
        <v>1140975</v>
      </c>
      <c r="AJ243" s="2">
        <v>518797</v>
      </c>
      <c r="AK243" s="2">
        <v>50936.38</v>
      </c>
      <c r="AL243" s="2">
        <v>23160.58</v>
      </c>
      <c r="AM243" s="5">
        <v>14819.39</v>
      </c>
      <c r="AN243" s="12">
        <v>541905.21</v>
      </c>
      <c r="AO243" s="2">
        <v>61755.39</v>
      </c>
      <c r="AP243" s="2">
        <v>24192.190000000002</v>
      </c>
      <c r="AQ243" s="2">
        <v>2756.94</v>
      </c>
      <c r="AR243" s="5">
        <v>4216.6400000000003</v>
      </c>
      <c r="AS243" s="2">
        <v>134491.97</v>
      </c>
      <c r="AT243" s="12">
        <v>120082.12</v>
      </c>
      <c r="AU243" s="2">
        <v>0</v>
      </c>
      <c r="AV243" s="5">
        <v>11317.17</v>
      </c>
      <c r="BL243" s="1" t="s">
        <v>90</v>
      </c>
    </row>
    <row r="244" spans="1:64" x14ac:dyDescent="0.3">
      <c r="A244" t="s">
        <v>479</v>
      </c>
      <c r="B244" s="1" t="s">
        <v>479</v>
      </c>
      <c r="C244" s="9" t="s">
        <v>480</v>
      </c>
      <c r="D244" s="1" t="s">
        <v>95</v>
      </c>
      <c r="E244" s="1" t="s">
        <v>135</v>
      </c>
      <c r="F244" s="10" t="s">
        <v>136</v>
      </c>
      <c r="G244" s="1">
        <v>0.04</v>
      </c>
      <c r="H244" s="1">
        <v>0.05</v>
      </c>
      <c r="I244" s="8">
        <v>44778</v>
      </c>
      <c r="J244" s="6">
        <v>1073326</v>
      </c>
      <c r="K244" s="6">
        <v>158401</v>
      </c>
      <c r="L244" s="6">
        <v>47916.34</v>
      </c>
      <c r="M244" s="6">
        <v>7071.48</v>
      </c>
      <c r="N244" s="7">
        <v>10997.56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73903.63</v>
      </c>
      <c r="U244" s="6">
        <v>65985.38</v>
      </c>
      <c r="V244" s="6">
        <v>0</v>
      </c>
      <c r="W244" s="6">
        <v>6158.6399999999994</v>
      </c>
      <c r="X244" s="46">
        <v>45784</v>
      </c>
      <c r="Y244" s="1">
        <v>25111668</v>
      </c>
      <c r="Z244" s="1">
        <v>25111669</v>
      </c>
      <c r="AI244" s="2">
        <v>1073326</v>
      </c>
      <c r="AJ244" s="2">
        <v>158401</v>
      </c>
      <c r="AK244" s="2">
        <v>47916.34</v>
      </c>
      <c r="AL244" s="2">
        <v>7071.48</v>
      </c>
      <c r="AM244" s="5">
        <v>10997.56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73903.63</v>
      </c>
      <c r="AT244" s="12">
        <v>65985.38</v>
      </c>
      <c r="AU244" s="2">
        <v>0</v>
      </c>
      <c r="AV244" s="5">
        <v>6158.6399999999994</v>
      </c>
      <c r="BL244" s="1" t="s">
        <v>302</v>
      </c>
    </row>
    <row r="245" spans="1:64" x14ac:dyDescent="0.3">
      <c r="A245" t="s">
        <v>483</v>
      </c>
      <c r="B245" s="1" t="s">
        <v>483</v>
      </c>
      <c r="C245" s="9" t="s">
        <v>484</v>
      </c>
      <c r="D245" s="1" t="s">
        <v>95</v>
      </c>
      <c r="E245" s="1" t="s">
        <v>135</v>
      </c>
      <c r="F245" s="10" t="s">
        <v>485</v>
      </c>
      <c r="G245" s="1">
        <v>0.04</v>
      </c>
      <c r="H245" s="1">
        <v>0.05</v>
      </c>
      <c r="I245" s="8">
        <v>44828</v>
      </c>
      <c r="J245" s="6">
        <v>956928</v>
      </c>
      <c r="K245" s="6">
        <v>120918</v>
      </c>
      <c r="L245" s="6">
        <v>42720</v>
      </c>
      <c r="M245" s="6">
        <v>5398.12</v>
      </c>
      <c r="N245" s="7">
        <v>9623.6200000000008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64670.75</v>
      </c>
      <c r="U245" s="6">
        <v>57741.74</v>
      </c>
      <c r="V245" s="6">
        <v>0</v>
      </c>
      <c r="W245" s="6">
        <v>5389.23</v>
      </c>
      <c r="X245" s="46">
        <v>45784</v>
      </c>
      <c r="Y245" s="1">
        <v>25111670</v>
      </c>
      <c r="Z245" s="1">
        <v>25111671</v>
      </c>
      <c r="AI245" s="2">
        <v>956928</v>
      </c>
      <c r="AJ245" s="2">
        <v>120918</v>
      </c>
      <c r="AK245" s="2">
        <v>42720</v>
      </c>
      <c r="AL245" s="2">
        <v>5398.12</v>
      </c>
      <c r="AM245" s="5">
        <v>9623.6200000000008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64670.75</v>
      </c>
      <c r="AT245" s="12">
        <v>57741.74</v>
      </c>
      <c r="AU245" s="2">
        <v>0</v>
      </c>
      <c r="AV245" s="5">
        <v>5389.23</v>
      </c>
      <c r="BL245" s="1" t="s">
        <v>302</v>
      </c>
    </row>
    <row r="246" spans="1:64" x14ac:dyDescent="0.3">
      <c r="A246" t="s">
        <v>510</v>
      </c>
      <c r="B246" s="1" t="s">
        <v>510</v>
      </c>
      <c r="C246" s="9" t="s">
        <v>511</v>
      </c>
      <c r="D246" s="1" t="s">
        <v>95</v>
      </c>
      <c r="E246" s="1" t="s">
        <v>88</v>
      </c>
      <c r="F246" s="10" t="s">
        <v>218</v>
      </c>
      <c r="G246" s="1">
        <v>4.4999999999999998E-2</v>
      </c>
      <c r="H246" s="1">
        <v>0.05</v>
      </c>
      <c r="I246" s="8">
        <v>45260</v>
      </c>
      <c r="J246" s="6">
        <v>1924861</v>
      </c>
      <c r="K246" s="6">
        <v>480304</v>
      </c>
      <c r="L246" s="6">
        <v>85931.290000000008</v>
      </c>
      <c r="M246" s="6">
        <v>21442.14</v>
      </c>
      <c r="N246" s="7">
        <v>21474.69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144309.89000000001</v>
      </c>
      <c r="U246" s="6">
        <v>128848.12</v>
      </c>
      <c r="V246" s="6">
        <v>0</v>
      </c>
      <c r="W246" s="6">
        <v>12025.84</v>
      </c>
      <c r="X246" s="46">
        <v>45784</v>
      </c>
      <c r="Y246" s="1">
        <v>25111672</v>
      </c>
      <c r="Z246" s="1">
        <v>25111673</v>
      </c>
      <c r="AI246" s="2">
        <v>1924861</v>
      </c>
      <c r="AJ246" s="2">
        <v>480304</v>
      </c>
      <c r="AK246" s="2">
        <v>85931.290000000008</v>
      </c>
      <c r="AL246" s="2">
        <v>21442.14</v>
      </c>
      <c r="AM246" s="5">
        <v>21474.69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144309.89000000001</v>
      </c>
      <c r="AT246" s="12">
        <v>128848.12</v>
      </c>
      <c r="AU246" s="2">
        <v>0</v>
      </c>
      <c r="AV246" s="5">
        <v>12025.84</v>
      </c>
      <c r="BL246" s="1" t="s">
        <v>90</v>
      </c>
    </row>
    <row r="247" spans="1:64" x14ac:dyDescent="0.3">
      <c r="A247" t="s">
        <v>516</v>
      </c>
      <c r="B247" s="1" t="s">
        <v>516</v>
      </c>
      <c r="C247" s="9" t="s">
        <v>517</v>
      </c>
      <c r="D247" s="1" t="s">
        <v>95</v>
      </c>
      <c r="E247" s="1" t="s">
        <v>128</v>
      </c>
      <c r="F247" s="10" t="s">
        <v>325</v>
      </c>
      <c r="G247" s="1">
        <v>4.4999999999999998E-2</v>
      </c>
      <c r="H247" s="1">
        <v>0.05</v>
      </c>
      <c r="I247" s="8">
        <v>45270</v>
      </c>
      <c r="J247" s="6">
        <v>580282</v>
      </c>
      <c r="K247" s="6">
        <v>125925</v>
      </c>
      <c r="L247" s="6">
        <v>25905.45</v>
      </c>
      <c r="M247" s="6">
        <v>5621.65</v>
      </c>
      <c r="N247" s="7">
        <v>6305.42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42372.42</v>
      </c>
      <c r="U247" s="6">
        <v>37832.519999999997</v>
      </c>
      <c r="V247" s="6">
        <v>0</v>
      </c>
      <c r="W247" s="6">
        <v>3531.04</v>
      </c>
      <c r="X247" s="46">
        <v>45784</v>
      </c>
      <c r="Y247" s="1">
        <v>25111674</v>
      </c>
      <c r="Z247" s="1">
        <v>25111675</v>
      </c>
      <c r="AI247" s="2">
        <v>580282</v>
      </c>
      <c r="AJ247" s="2">
        <v>125925</v>
      </c>
      <c r="AK247" s="2">
        <v>25905.45</v>
      </c>
      <c r="AL247" s="2">
        <v>5621.65</v>
      </c>
      <c r="AM247" s="5">
        <v>6305.42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42372.42</v>
      </c>
      <c r="AT247" s="12">
        <v>37832.519999999997</v>
      </c>
      <c r="AU247" s="2">
        <v>0</v>
      </c>
      <c r="AV247" s="5">
        <v>3531.04</v>
      </c>
      <c r="BL247" s="1" t="s">
        <v>326</v>
      </c>
    </row>
    <row r="248" spans="1:64" x14ac:dyDescent="0.3">
      <c r="A248" t="s">
        <v>532</v>
      </c>
      <c r="B248" s="1" t="s">
        <v>532</v>
      </c>
      <c r="C248" s="9" t="s">
        <v>533</v>
      </c>
      <c r="D248" s="1" t="s">
        <v>95</v>
      </c>
      <c r="E248" s="1" t="s">
        <v>88</v>
      </c>
      <c r="F248" s="10" t="s">
        <v>534</v>
      </c>
      <c r="G248" s="1">
        <v>3.5000000000000003E-2</v>
      </c>
      <c r="H248" s="1">
        <v>0.05</v>
      </c>
      <c r="I248" s="8">
        <v>45611</v>
      </c>
      <c r="J248" s="6">
        <v>114794</v>
      </c>
      <c r="K248" s="6">
        <v>34304</v>
      </c>
      <c r="L248" s="6">
        <v>5124.7299999999996</v>
      </c>
      <c r="M248" s="6">
        <v>1531.43</v>
      </c>
      <c r="N248" s="7">
        <v>1331.23</v>
      </c>
      <c r="O248" s="6">
        <v>33986.94</v>
      </c>
      <c r="P248" s="6">
        <v>4971.4799999999996</v>
      </c>
      <c r="Q248" s="6">
        <v>1517.28</v>
      </c>
      <c r="R248" s="6">
        <v>221.94</v>
      </c>
      <c r="S248" s="7">
        <v>347.84</v>
      </c>
      <c r="T248" s="11">
        <v>11283.38</v>
      </c>
      <c r="U248" s="6">
        <v>10074.450000000001</v>
      </c>
      <c r="V248" s="6">
        <v>0</v>
      </c>
      <c r="W248" s="6">
        <v>940.28</v>
      </c>
      <c r="X248" s="46">
        <v>45784</v>
      </c>
      <c r="Y248" s="1">
        <v>25111676</v>
      </c>
      <c r="Z248" s="1">
        <v>25111677</v>
      </c>
      <c r="AI248" s="2">
        <v>114794</v>
      </c>
      <c r="AJ248" s="2">
        <v>34304</v>
      </c>
      <c r="AK248" s="2">
        <v>5124.7299999999996</v>
      </c>
      <c r="AL248" s="2">
        <v>1531.43</v>
      </c>
      <c r="AM248" s="5">
        <v>1331.23</v>
      </c>
      <c r="AN248" s="12">
        <v>33986.94</v>
      </c>
      <c r="AO248" s="2">
        <v>4971.4799999999996</v>
      </c>
      <c r="AP248" s="2">
        <v>1517.28</v>
      </c>
      <c r="AQ248" s="2">
        <v>221.94</v>
      </c>
      <c r="AR248" s="5">
        <v>347.84</v>
      </c>
      <c r="AS248" s="2">
        <v>11283.38</v>
      </c>
      <c r="AT248" s="12">
        <v>10074.450000000001</v>
      </c>
      <c r="AU248" s="2">
        <v>0</v>
      </c>
      <c r="AV248" s="5">
        <v>940.28</v>
      </c>
      <c r="BL248" s="1" t="s">
        <v>90</v>
      </c>
    </row>
    <row r="249" spans="1:64" x14ac:dyDescent="0.3">
      <c r="A249" t="s">
        <v>535</v>
      </c>
      <c r="B249" s="1" t="s">
        <v>535</v>
      </c>
      <c r="C249" s="9" t="s">
        <v>536</v>
      </c>
      <c r="D249" s="1" t="s">
        <v>95</v>
      </c>
      <c r="E249" s="1" t="s">
        <v>88</v>
      </c>
      <c r="F249" s="10" t="s">
        <v>432</v>
      </c>
      <c r="G249" s="1">
        <v>3.5000000000000003E-2</v>
      </c>
      <c r="H249" s="1">
        <v>0.05</v>
      </c>
      <c r="I249" s="8">
        <v>45616</v>
      </c>
      <c r="J249" s="6">
        <v>513400</v>
      </c>
      <c r="K249" s="6">
        <v>314296</v>
      </c>
      <c r="L249" s="6">
        <v>22919.64</v>
      </c>
      <c r="M249" s="6">
        <v>14031.07</v>
      </c>
      <c r="N249" s="7">
        <v>7390.1399999999994</v>
      </c>
      <c r="O249" s="6">
        <v>268994.15999999997</v>
      </c>
      <c r="P249" s="6">
        <v>41161.68</v>
      </c>
      <c r="Q249" s="6">
        <v>12008.66</v>
      </c>
      <c r="R249" s="6">
        <v>1837.5700000000002</v>
      </c>
      <c r="S249" s="7">
        <v>2769.25</v>
      </c>
      <c r="T249" s="11">
        <v>68271.09</v>
      </c>
      <c r="U249" s="6">
        <v>60956.33</v>
      </c>
      <c r="V249" s="6">
        <v>0</v>
      </c>
      <c r="W249" s="6">
        <v>5689.25</v>
      </c>
      <c r="X249" s="46">
        <v>45784</v>
      </c>
      <c r="Y249" s="1">
        <v>25111678</v>
      </c>
      <c r="Z249" s="1">
        <v>25111679</v>
      </c>
      <c r="AI249" s="2">
        <v>513400</v>
      </c>
      <c r="AJ249" s="2">
        <v>314296</v>
      </c>
      <c r="AK249" s="2">
        <v>22919.64</v>
      </c>
      <c r="AL249" s="2">
        <v>14031.07</v>
      </c>
      <c r="AM249" s="5">
        <v>7390.1399999999994</v>
      </c>
      <c r="AN249" s="12">
        <v>268994.15999999997</v>
      </c>
      <c r="AO249" s="2">
        <v>41161.68</v>
      </c>
      <c r="AP249" s="2">
        <v>12008.66</v>
      </c>
      <c r="AQ249" s="2">
        <v>1837.5700000000002</v>
      </c>
      <c r="AR249" s="5">
        <v>2769.25</v>
      </c>
      <c r="AS249" s="2">
        <v>68271.09</v>
      </c>
      <c r="AT249" s="12">
        <v>60956.33</v>
      </c>
      <c r="AU249" s="2">
        <v>0</v>
      </c>
      <c r="AV249" s="5">
        <v>5689.25</v>
      </c>
      <c r="BL249" s="1" t="s">
        <v>90</v>
      </c>
    </row>
    <row r="250" spans="1:64" x14ac:dyDescent="0.3">
      <c r="A250" t="s">
        <v>539</v>
      </c>
      <c r="B250" s="1" t="s">
        <v>539</v>
      </c>
      <c r="C250" s="9" t="s">
        <v>540</v>
      </c>
      <c r="D250" s="1" t="s">
        <v>95</v>
      </c>
      <c r="E250" s="1" t="s">
        <v>128</v>
      </c>
      <c r="F250" s="10" t="s">
        <v>309</v>
      </c>
      <c r="G250" s="1">
        <v>3.5000000000000003E-2</v>
      </c>
      <c r="H250" s="1">
        <v>0.05</v>
      </c>
      <c r="I250" s="8">
        <v>45627</v>
      </c>
      <c r="J250" s="6">
        <v>1359457.2</v>
      </c>
      <c r="K250" s="6">
        <v>40281</v>
      </c>
      <c r="L250" s="6">
        <v>60690.05</v>
      </c>
      <c r="M250" s="6">
        <v>1798.26</v>
      </c>
      <c r="N250" s="7">
        <v>12497.66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83984.29</v>
      </c>
      <c r="U250" s="6">
        <v>74985.97</v>
      </c>
      <c r="V250" s="6">
        <v>0</v>
      </c>
      <c r="W250" s="6">
        <v>6998.69</v>
      </c>
      <c r="X250" s="46">
        <v>45784</v>
      </c>
      <c r="Y250" s="1">
        <v>25111680</v>
      </c>
      <c r="Z250" s="1">
        <v>25111681</v>
      </c>
      <c r="AI250" s="2">
        <v>1359457.2</v>
      </c>
      <c r="AJ250" s="2">
        <v>40281</v>
      </c>
      <c r="AK250" s="2">
        <v>60690.05</v>
      </c>
      <c r="AL250" s="2">
        <v>1798.26</v>
      </c>
      <c r="AM250" s="5">
        <v>12497.66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83984.29</v>
      </c>
      <c r="AT250" s="12">
        <v>74985.97</v>
      </c>
      <c r="AU250" s="2">
        <v>0</v>
      </c>
      <c r="AV250" s="5">
        <v>6998.69</v>
      </c>
      <c r="BL250" s="1" t="s">
        <v>130</v>
      </c>
    </row>
    <row r="251" spans="1:64" x14ac:dyDescent="0.3">
      <c r="A251" t="s">
        <v>543</v>
      </c>
      <c r="B251" s="1" t="s">
        <v>543</v>
      </c>
      <c r="C251" s="9" t="s">
        <v>544</v>
      </c>
      <c r="D251" s="1" t="s">
        <v>95</v>
      </c>
      <c r="E251" s="1" t="s">
        <v>88</v>
      </c>
      <c r="F251" s="10" t="s">
        <v>545</v>
      </c>
      <c r="G251" s="1">
        <v>3.5000000000000003E-2</v>
      </c>
      <c r="H251" s="1">
        <v>0.05</v>
      </c>
      <c r="I251" s="8">
        <v>45636</v>
      </c>
      <c r="J251" s="6">
        <v>1476219</v>
      </c>
      <c r="K251" s="6">
        <v>780347</v>
      </c>
      <c r="L251" s="6">
        <v>65902.62999999999</v>
      </c>
      <c r="M251" s="6">
        <v>34836.92</v>
      </c>
      <c r="N251" s="7">
        <v>20147.91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135393.96</v>
      </c>
      <c r="U251" s="6">
        <v>120887.46</v>
      </c>
      <c r="V251" s="6">
        <v>0</v>
      </c>
      <c r="W251" s="6">
        <v>11282.83</v>
      </c>
      <c r="X251" s="46">
        <v>45784</v>
      </c>
      <c r="Y251" s="1">
        <v>25111682</v>
      </c>
      <c r="Z251" s="1">
        <v>25111683</v>
      </c>
      <c r="AI251" s="2">
        <v>1476219</v>
      </c>
      <c r="AJ251" s="2">
        <v>780347</v>
      </c>
      <c r="AK251" s="2">
        <v>65902.62999999999</v>
      </c>
      <c r="AL251" s="2">
        <v>34836.92</v>
      </c>
      <c r="AM251" s="5">
        <v>20147.91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135393.96</v>
      </c>
      <c r="AT251" s="12">
        <v>120887.46</v>
      </c>
      <c r="AU251" s="2">
        <v>0</v>
      </c>
      <c r="AV251" s="5">
        <v>11282.83</v>
      </c>
      <c r="BL251" s="1" t="s">
        <v>546</v>
      </c>
    </row>
    <row r="252" spans="1:64" x14ac:dyDescent="0.3">
      <c r="A252" t="s">
        <v>551</v>
      </c>
      <c r="B252" s="1" t="s">
        <v>551</v>
      </c>
      <c r="C252" s="9" t="s">
        <v>552</v>
      </c>
      <c r="D252" s="1" t="s">
        <v>95</v>
      </c>
      <c r="E252" s="1" t="s">
        <v>135</v>
      </c>
      <c r="F252" s="10" t="s">
        <v>193</v>
      </c>
      <c r="G252" s="1">
        <v>3.5000000000000003E-2</v>
      </c>
      <c r="H252" s="1">
        <v>0.05</v>
      </c>
      <c r="I252" s="8">
        <v>45694</v>
      </c>
      <c r="J252" s="6">
        <v>1026593</v>
      </c>
      <c r="K252" s="6">
        <v>473419</v>
      </c>
      <c r="L252" s="6">
        <v>45830.049999999996</v>
      </c>
      <c r="M252" s="6">
        <v>21134.780000000002</v>
      </c>
      <c r="N252" s="7">
        <v>13392.96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90000.72</v>
      </c>
      <c r="U252" s="6">
        <v>80357.789999999994</v>
      </c>
      <c r="V252" s="6">
        <v>0</v>
      </c>
      <c r="W252" s="6">
        <v>7500.0599999999995</v>
      </c>
      <c r="X252" s="46">
        <v>45784</v>
      </c>
      <c r="Y252" s="1">
        <v>25111684</v>
      </c>
      <c r="Z252" s="1">
        <v>25111685</v>
      </c>
      <c r="AI252" s="2">
        <v>1026593</v>
      </c>
      <c r="AJ252" s="2">
        <v>473419</v>
      </c>
      <c r="AK252" s="2">
        <v>45830.049999999996</v>
      </c>
      <c r="AL252" s="2">
        <v>21134.780000000002</v>
      </c>
      <c r="AM252" s="5">
        <v>13392.96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90000.72</v>
      </c>
      <c r="AT252" s="12">
        <v>80357.789999999994</v>
      </c>
      <c r="AU252" s="2">
        <v>0</v>
      </c>
      <c r="AV252" s="5">
        <v>7500.0599999999995</v>
      </c>
      <c r="BL252" s="1" t="s">
        <v>137</v>
      </c>
    </row>
    <row r="253" spans="1:64" x14ac:dyDescent="0.3">
      <c r="A253" t="s">
        <v>555</v>
      </c>
      <c r="B253" s="1" t="s">
        <v>555</v>
      </c>
      <c r="C253" s="9" t="s">
        <v>556</v>
      </c>
      <c r="D253" s="1" t="s">
        <v>95</v>
      </c>
      <c r="E253" s="1" t="s">
        <v>88</v>
      </c>
      <c r="F253" s="10" t="s">
        <v>218</v>
      </c>
      <c r="G253" s="1">
        <v>3.5000000000000003E-2</v>
      </c>
      <c r="H253" s="1">
        <v>0.05</v>
      </c>
      <c r="I253" s="8">
        <v>45752</v>
      </c>
      <c r="J253" s="6">
        <v>434860</v>
      </c>
      <c r="K253" s="6">
        <v>137639</v>
      </c>
      <c r="L253" s="6">
        <v>18636.86</v>
      </c>
      <c r="M253" s="6">
        <v>5898.82</v>
      </c>
      <c r="N253" s="7">
        <v>5111.6000000000004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33204.949999999997</v>
      </c>
      <c r="U253" s="6">
        <v>29647.279999999999</v>
      </c>
      <c r="V253" s="6">
        <v>0</v>
      </c>
      <c r="W253" s="6">
        <v>2862.5</v>
      </c>
      <c r="X253" s="46">
        <v>45784</v>
      </c>
      <c r="Y253" s="1">
        <v>25111686</v>
      </c>
      <c r="Z253" s="1">
        <v>25111687</v>
      </c>
      <c r="AI253" s="2">
        <v>434860</v>
      </c>
      <c r="AJ253" s="2">
        <v>137639</v>
      </c>
      <c r="AK253" s="2">
        <v>18636.86</v>
      </c>
      <c r="AL253" s="2">
        <v>5898.82</v>
      </c>
      <c r="AM253" s="5">
        <v>5111.6000000000004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33204.949999999997</v>
      </c>
      <c r="AT253" s="12">
        <v>29647.279999999999</v>
      </c>
      <c r="AU253" s="2">
        <v>0</v>
      </c>
      <c r="AV253" s="5">
        <v>2862.5</v>
      </c>
      <c r="BL253" s="1" t="s">
        <v>90</v>
      </c>
    </row>
    <row r="254" spans="1:64" x14ac:dyDescent="0.3">
      <c r="A254" t="s">
        <v>557</v>
      </c>
      <c r="B254" s="1" t="s">
        <v>557</v>
      </c>
      <c r="C254" s="9" t="s">
        <v>558</v>
      </c>
      <c r="D254" s="1" t="s">
        <v>95</v>
      </c>
      <c r="E254" s="1" t="s">
        <v>135</v>
      </c>
      <c r="F254" s="10" t="s">
        <v>485</v>
      </c>
      <c r="G254" s="1">
        <v>3.5000000000000003E-2</v>
      </c>
      <c r="H254" s="1">
        <v>0.05</v>
      </c>
      <c r="I254" s="8">
        <v>43929</v>
      </c>
      <c r="J254" s="6">
        <v>121358</v>
      </c>
      <c r="K254" s="6">
        <v>16791</v>
      </c>
      <c r="L254" s="6">
        <v>5417.77</v>
      </c>
      <c r="M254" s="6">
        <v>749.6</v>
      </c>
      <c r="N254" s="7">
        <v>1233.47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8288.94</v>
      </c>
      <c r="U254" s="6">
        <v>7400.8400000000011</v>
      </c>
      <c r="V254" s="6">
        <v>0</v>
      </c>
      <c r="W254" s="6">
        <v>690.74</v>
      </c>
      <c r="X254" s="46">
        <v>45784</v>
      </c>
      <c r="Y254" s="1">
        <v>25111688</v>
      </c>
      <c r="Z254" s="1">
        <v>25111689</v>
      </c>
      <c r="AI254" s="2">
        <v>121358</v>
      </c>
      <c r="AJ254" s="2">
        <v>16791</v>
      </c>
      <c r="AK254" s="2">
        <v>5417.77</v>
      </c>
      <c r="AL254" s="2">
        <v>749.6</v>
      </c>
      <c r="AM254" s="5">
        <v>1233.47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8288.94</v>
      </c>
      <c r="AT254" s="12">
        <v>7400.8400000000011</v>
      </c>
      <c r="AU254" s="2">
        <v>0</v>
      </c>
      <c r="AV254" s="5">
        <v>690.74</v>
      </c>
      <c r="BL254" s="1" t="s">
        <v>302</v>
      </c>
    </row>
    <row r="255" spans="1:64" x14ac:dyDescent="0.3">
      <c r="A255" t="s">
        <v>571</v>
      </c>
      <c r="B255" s="1" t="s">
        <v>571</v>
      </c>
      <c r="C255" s="9" t="s">
        <v>572</v>
      </c>
      <c r="D255" s="1" t="s">
        <v>95</v>
      </c>
      <c r="E255" s="1" t="s">
        <v>128</v>
      </c>
      <c r="F255" s="10" t="s">
        <v>401</v>
      </c>
      <c r="G255" s="1">
        <v>3.5000000000000003E-2</v>
      </c>
      <c r="H255" s="1">
        <v>0.05</v>
      </c>
      <c r="I255" s="8">
        <v>44256</v>
      </c>
      <c r="J255" s="6">
        <v>636313</v>
      </c>
      <c r="K255" s="6">
        <v>26782</v>
      </c>
      <c r="L255" s="6">
        <v>28406.83</v>
      </c>
      <c r="M255" s="6">
        <v>1195.6300000000001</v>
      </c>
      <c r="N255" s="7">
        <v>5920.49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39785.699999999997</v>
      </c>
      <c r="U255" s="6">
        <v>35522.949999999997</v>
      </c>
      <c r="V255" s="6">
        <v>0</v>
      </c>
      <c r="W255" s="6">
        <v>3315.48</v>
      </c>
      <c r="X255" s="46">
        <v>45784</v>
      </c>
      <c r="Y255" s="1">
        <v>25111690</v>
      </c>
      <c r="Z255" s="1">
        <v>25111691</v>
      </c>
      <c r="AI255" s="2">
        <v>636313</v>
      </c>
      <c r="AJ255" s="2">
        <v>26782</v>
      </c>
      <c r="AK255" s="2">
        <v>28406.83</v>
      </c>
      <c r="AL255" s="2">
        <v>1195.6300000000001</v>
      </c>
      <c r="AM255" s="5">
        <v>5920.49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39785.699999999997</v>
      </c>
      <c r="AT255" s="12">
        <v>35522.949999999997</v>
      </c>
      <c r="AU255" s="2">
        <v>0</v>
      </c>
      <c r="AV255" s="5">
        <v>3315.48</v>
      </c>
      <c r="BL255" s="1" t="s">
        <v>130</v>
      </c>
    </row>
    <row r="256" spans="1:64" x14ac:dyDescent="0.3">
      <c r="A256" t="s">
        <v>575</v>
      </c>
      <c r="B256" s="1" t="s">
        <v>575</v>
      </c>
      <c r="C256" s="9" t="s">
        <v>576</v>
      </c>
      <c r="D256" s="1" t="s">
        <v>95</v>
      </c>
      <c r="E256" s="1" t="s">
        <v>135</v>
      </c>
      <c r="F256" s="10" t="s">
        <v>435</v>
      </c>
      <c r="G256" s="1">
        <v>3.5000000000000003E-2</v>
      </c>
      <c r="H256" s="1">
        <v>0.05</v>
      </c>
      <c r="I256" s="8">
        <v>44273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752597.70000000007</v>
      </c>
      <c r="P256" s="6">
        <v>136569</v>
      </c>
      <c r="Q256" s="6">
        <v>33598.11</v>
      </c>
      <c r="R256" s="6">
        <v>6096.83</v>
      </c>
      <c r="S256" s="7">
        <v>7938.99</v>
      </c>
      <c r="T256" s="11">
        <v>53350</v>
      </c>
      <c r="U256" s="6">
        <v>47633.93</v>
      </c>
      <c r="V256" s="6">
        <v>0</v>
      </c>
      <c r="W256" s="6">
        <v>4445.83</v>
      </c>
      <c r="X256" s="46">
        <v>45784</v>
      </c>
      <c r="Y256" s="1">
        <v>25111692</v>
      </c>
      <c r="Z256" s="1">
        <v>25111693</v>
      </c>
      <c r="AI256" s="2">
        <v>0</v>
      </c>
      <c r="AJ256" s="2">
        <v>0</v>
      </c>
      <c r="AK256" s="2">
        <v>0</v>
      </c>
      <c r="AL256" s="2">
        <v>0</v>
      </c>
      <c r="AM256" s="5">
        <v>0</v>
      </c>
      <c r="AN256" s="12">
        <v>752597.70000000007</v>
      </c>
      <c r="AO256" s="2">
        <v>136569</v>
      </c>
      <c r="AP256" s="2">
        <v>33598.11</v>
      </c>
      <c r="AQ256" s="2">
        <v>6096.83</v>
      </c>
      <c r="AR256" s="5">
        <v>7938.99</v>
      </c>
      <c r="AS256" s="2">
        <v>53350</v>
      </c>
      <c r="AT256" s="12">
        <v>47633.93</v>
      </c>
      <c r="AU256" s="2">
        <v>0</v>
      </c>
      <c r="AV256" s="5">
        <v>4445.83</v>
      </c>
      <c r="BL256" s="1" t="s">
        <v>436</v>
      </c>
    </row>
    <row r="257" spans="1:64" x14ac:dyDescent="0.3">
      <c r="A257" t="s">
        <v>584</v>
      </c>
      <c r="B257" s="1" t="s">
        <v>584</v>
      </c>
      <c r="C257" s="9" t="s">
        <v>585</v>
      </c>
      <c r="D257" s="1" t="s">
        <v>95</v>
      </c>
      <c r="E257" s="1" t="s">
        <v>135</v>
      </c>
      <c r="F257" s="10" t="s">
        <v>435</v>
      </c>
      <c r="G257" s="1">
        <v>3.5000000000000003E-2</v>
      </c>
      <c r="H257" s="1">
        <v>0.05</v>
      </c>
      <c r="I257" s="8">
        <v>44420</v>
      </c>
      <c r="J257" s="6">
        <v>545308</v>
      </c>
      <c r="K257" s="6">
        <v>84135</v>
      </c>
      <c r="L257" s="6">
        <v>24344.11</v>
      </c>
      <c r="M257" s="6">
        <v>3756.03</v>
      </c>
      <c r="N257" s="7">
        <v>5620.03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37766.589999999997</v>
      </c>
      <c r="U257" s="6">
        <v>33720.17</v>
      </c>
      <c r="V257" s="6">
        <v>0</v>
      </c>
      <c r="W257" s="6">
        <v>3147.22</v>
      </c>
      <c r="X257" s="46">
        <v>45784</v>
      </c>
      <c r="Y257" s="1">
        <v>25111694</v>
      </c>
      <c r="Z257" s="1">
        <v>25111695</v>
      </c>
      <c r="AI257" s="2">
        <v>545308</v>
      </c>
      <c r="AJ257" s="2">
        <v>84135</v>
      </c>
      <c r="AK257" s="2">
        <v>24344.11</v>
      </c>
      <c r="AL257" s="2">
        <v>3756.03</v>
      </c>
      <c r="AM257" s="5">
        <v>5620.03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37766.589999999997</v>
      </c>
      <c r="AT257" s="12">
        <v>33720.17</v>
      </c>
      <c r="AU257" s="2">
        <v>0</v>
      </c>
      <c r="AV257" s="5">
        <v>3147.22</v>
      </c>
      <c r="BL257" s="1" t="s">
        <v>137</v>
      </c>
    </row>
    <row r="258" spans="1:64" x14ac:dyDescent="0.3">
      <c r="A258" t="s">
        <v>588</v>
      </c>
      <c r="B258" s="1" t="s">
        <v>588</v>
      </c>
      <c r="C258" s="9" t="s">
        <v>589</v>
      </c>
      <c r="D258" s="1" t="s">
        <v>95</v>
      </c>
      <c r="E258" s="1" t="s">
        <v>135</v>
      </c>
      <c r="F258" s="10" t="s">
        <v>435</v>
      </c>
      <c r="G258" s="1">
        <v>3.5000000000000003E-2</v>
      </c>
      <c r="H258" s="1">
        <v>0.05</v>
      </c>
      <c r="I258" s="8">
        <v>44544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501939.60000000003</v>
      </c>
      <c r="P258" s="6">
        <v>91082.400000000009</v>
      </c>
      <c r="Q258" s="6">
        <v>22408.02</v>
      </c>
      <c r="R258" s="6">
        <v>4066.18</v>
      </c>
      <c r="S258" s="7">
        <v>5294.84</v>
      </c>
      <c r="T258" s="11">
        <v>35581.32</v>
      </c>
      <c r="U258" s="6">
        <v>31769.040000000001</v>
      </c>
      <c r="V258" s="6">
        <v>0</v>
      </c>
      <c r="W258" s="6">
        <v>2965.11</v>
      </c>
      <c r="X258" s="46">
        <v>45784</v>
      </c>
      <c r="Y258" s="1">
        <v>25111696</v>
      </c>
      <c r="Z258" s="1">
        <v>25111697</v>
      </c>
      <c r="AI258" s="2">
        <v>0</v>
      </c>
      <c r="AJ258" s="2">
        <v>0</v>
      </c>
      <c r="AK258" s="2">
        <v>0</v>
      </c>
      <c r="AL258" s="2">
        <v>0</v>
      </c>
      <c r="AM258" s="5">
        <v>0</v>
      </c>
      <c r="AN258" s="12">
        <v>501939.60000000003</v>
      </c>
      <c r="AO258" s="2">
        <v>91082.400000000009</v>
      </c>
      <c r="AP258" s="2">
        <v>22408.02</v>
      </c>
      <c r="AQ258" s="2">
        <v>4066.18</v>
      </c>
      <c r="AR258" s="5">
        <v>5294.84</v>
      </c>
      <c r="AS258" s="2">
        <v>35581.32</v>
      </c>
      <c r="AT258" s="12">
        <v>31769.040000000001</v>
      </c>
      <c r="AU258" s="2">
        <v>0</v>
      </c>
      <c r="AV258" s="5">
        <v>2965.11</v>
      </c>
      <c r="BL258" s="1" t="s">
        <v>137</v>
      </c>
    </row>
    <row r="259" spans="1:64" x14ac:dyDescent="0.3">
      <c r="A259" t="s">
        <v>592</v>
      </c>
      <c r="B259" s="1" t="s">
        <v>592</v>
      </c>
      <c r="C259" s="9" t="s">
        <v>593</v>
      </c>
      <c r="D259" s="1" t="s">
        <v>95</v>
      </c>
      <c r="E259" s="1" t="s">
        <v>88</v>
      </c>
      <c r="F259" s="10" t="s">
        <v>545</v>
      </c>
      <c r="G259" s="1">
        <v>3.5000000000000003E-2</v>
      </c>
      <c r="H259" s="1">
        <v>0.05</v>
      </c>
      <c r="I259" s="8">
        <v>44518</v>
      </c>
      <c r="J259" s="6">
        <v>190936</v>
      </c>
      <c r="K259" s="6">
        <v>19727</v>
      </c>
      <c r="L259" s="6">
        <v>8523.93</v>
      </c>
      <c r="M259" s="6">
        <v>880.67</v>
      </c>
      <c r="N259" s="7">
        <v>1880.92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12639.78</v>
      </c>
      <c r="U259" s="6">
        <v>11285.52</v>
      </c>
      <c r="V259" s="6">
        <v>0</v>
      </c>
      <c r="W259" s="6">
        <v>1053.32</v>
      </c>
      <c r="X259" s="46">
        <v>45784</v>
      </c>
      <c r="Y259" s="1">
        <v>25111698</v>
      </c>
      <c r="Z259" s="1">
        <v>25111699</v>
      </c>
      <c r="AI259" s="2">
        <v>190936</v>
      </c>
      <c r="AJ259" s="2">
        <v>19727</v>
      </c>
      <c r="AK259" s="2">
        <v>8523.93</v>
      </c>
      <c r="AL259" s="2">
        <v>880.67</v>
      </c>
      <c r="AM259" s="5">
        <v>1880.92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12639.78</v>
      </c>
      <c r="AT259" s="12">
        <v>11285.52</v>
      </c>
      <c r="AU259" s="2">
        <v>0</v>
      </c>
      <c r="AV259" s="5">
        <v>1053.32</v>
      </c>
      <c r="BL259" s="1" t="s">
        <v>546</v>
      </c>
    </row>
    <row r="260" spans="1:64" x14ac:dyDescent="0.3">
      <c r="A260" t="s">
        <v>602</v>
      </c>
      <c r="B260" s="1" t="s">
        <v>603</v>
      </c>
      <c r="C260" s="9" t="s">
        <v>604</v>
      </c>
      <c r="D260" s="1" t="s">
        <v>95</v>
      </c>
      <c r="E260" s="1" t="s">
        <v>135</v>
      </c>
      <c r="F260" s="10" t="s">
        <v>435</v>
      </c>
      <c r="G260" s="1">
        <v>4.4999999999999998E-2</v>
      </c>
      <c r="H260" s="1">
        <v>0.05</v>
      </c>
      <c r="I260" s="8">
        <v>45186</v>
      </c>
      <c r="J260" s="6">
        <v>642937</v>
      </c>
      <c r="K260" s="6">
        <v>229805.5</v>
      </c>
      <c r="L260" s="6">
        <v>28702.539999999997</v>
      </c>
      <c r="M260" s="6">
        <v>10259.18</v>
      </c>
      <c r="N260" s="7">
        <v>7792.33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52364.54</v>
      </c>
      <c r="U260" s="6">
        <v>46754.049999999996</v>
      </c>
      <c r="V260" s="6">
        <v>0</v>
      </c>
      <c r="W260" s="6">
        <v>4363.71</v>
      </c>
      <c r="X260" s="46">
        <v>45784</v>
      </c>
      <c r="Y260" s="1">
        <v>25111700</v>
      </c>
      <c r="Z260" s="1">
        <v>25111701</v>
      </c>
      <c r="AI260" s="2">
        <v>642937</v>
      </c>
      <c r="AJ260" s="2">
        <v>229805.5</v>
      </c>
      <c r="AK260" s="2">
        <v>28702.539999999997</v>
      </c>
      <c r="AL260" s="2">
        <v>10259.18</v>
      </c>
      <c r="AM260" s="5">
        <v>7792.33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52364.54</v>
      </c>
      <c r="AT260" s="12">
        <v>46754.049999999996</v>
      </c>
      <c r="AU260" s="2">
        <v>0</v>
      </c>
      <c r="AV260" s="5">
        <v>4363.71</v>
      </c>
      <c r="BL260" s="1" t="s">
        <v>436</v>
      </c>
    </row>
    <row r="261" spans="1:64" x14ac:dyDescent="0.3">
      <c r="A261" t="s">
        <v>608</v>
      </c>
      <c r="B261" s="1" t="s">
        <v>608</v>
      </c>
      <c r="C261" s="9" t="s">
        <v>609</v>
      </c>
      <c r="D261" s="1" t="s">
        <v>95</v>
      </c>
      <c r="E261" s="1" t="s">
        <v>135</v>
      </c>
      <c r="F261" s="10" t="s">
        <v>435</v>
      </c>
      <c r="G261" s="1">
        <v>3.5000000000000003E-2</v>
      </c>
      <c r="H261" s="1">
        <v>0.05</v>
      </c>
      <c r="I261" s="8">
        <v>44898</v>
      </c>
      <c r="J261" s="6">
        <v>1015999</v>
      </c>
      <c r="K261" s="6">
        <v>183290</v>
      </c>
      <c r="L261" s="6">
        <v>45357.1</v>
      </c>
      <c r="M261" s="6">
        <v>8182.59</v>
      </c>
      <c r="N261" s="7">
        <v>10707.94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71957.350000000006</v>
      </c>
      <c r="U261" s="6">
        <v>64247.63</v>
      </c>
      <c r="V261" s="6">
        <v>0</v>
      </c>
      <c r="W261" s="6">
        <v>5996.4500000000007</v>
      </c>
      <c r="X261" s="46">
        <v>45784</v>
      </c>
      <c r="Y261" s="1">
        <v>25111702</v>
      </c>
      <c r="Z261" s="1">
        <v>25111703</v>
      </c>
      <c r="AI261" s="2">
        <v>1015999</v>
      </c>
      <c r="AJ261" s="2">
        <v>183290</v>
      </c>
      <c r="AK261" s="2">
        <v>45357.1</v>
      </c>
      <c r="AL261" s="2">
        <v>8182.59</v>
      </c>
      <c r="AM261" s="5">
        <v>10707.94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71957.350000000006</v>
      </c>
      <c r="AT261" s="12">
        <v>64247.63</v>
      </c>
      <c r="AU261" s="2">
        <v>0</v>
      </c>
      <c r="AV261" s="5">
        <v>5996.4500000000007</v>
      </c>
      <c r="BL261" s="1" t="s">
        <v>137</v>
      </c>
    </row>
    <row r="262" spans="1:64" x14ac:dyDescent="0.3">
      <c r="A262" t="s">
        <v>612</v>
      </c>
      <c r="B262" s="1" t="s">
        <v>612</v>
      </c>
      <c r="C262" s="9" t="s">
        <v>613</v>
      </c>
      <c r="D262" s="1" t="s">
        <v>95</v>
      </c>
      <c r="E262" s="1" t="s">
        <v>128</v>
      </c>
      <c r="F262" s="10" t="s">
        <v>129</v>
      </c>
      <c r="G262" s="1">
        <v>4.4999999999999998E-2</v>
      </c>
      <c r="H262" s="1">
        <v>0.05</v>
      </c>
      <c r="I262" s="8">
        <v>44964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1476226.2</v>
      </c>
      <c r="P262" s="6">
        <v>87997.2</v>
      </c>
      <c r="Q262" s="6">
        <v>65902.95</v>
      </c>
      <c r="R262" s="6">
        <v>3928.4500000000003</v>
      </c>
      <c r="S262" s="7">
        <v>10406.67</v>
      </c>
      <c r="T262" s="11">
        <v>89866.64</v>
      </c>
      <c r="U262" s="6">
        <v>80238.070000000007</v>
      </c>
      <c r="V262" s="6">
        <v>0</v>
      </c>
      <c r="W262" s="6">
        <v>7821.12</v>
      </c>
      <c r="X262" s="46">
        <v>45784</v>
      </c>
      <c r="Y262" s="1">
        <v>25111704</v>
      </c>
      <c r="Z262" s="1">
        <v>25111705</v>
      </c>
      <c r="AI262" s="2">
        <v>0</v>
      </c>
      <c r="AJ262" s="2">
        <v>0</v>
      </c>
      <c r="AK262" s="2">
        <v>0</v>
      </c>
      <c r="AL262" s="2">
        <v>0</v>
      </c>
      <c r="AM262" s="5">
        <v>0</v>
      </c>
      <c r="AN262" s="12">
        <v>1476226.2</v>
      </c>
      <c r="AO262" s="2">
        <v>87997.2</v>
      </c>
      <c r="AP262" s="2">
        <v>65902.95</v>
      </c>
      <c r="AQ262" s="2">
        <v>3928.4500000000003</v>
      </c>
      <c r="AR262" s="5">
        <v>10406.67</v>
      </c>
      <c r="AS262" s="2">
        <v>89866.64</v>
      </c>
      <c r="AT262" s="12">
        <v>80238.070000000007</v>
      </c>
      <c r="AU262" s="2">
        <v>0</v>
      </c>
      <c r="AV262" s="5">
        <v>7821.12</v>
      </c>
      <c r="BL262" s="1" t="s">
        <v>130</v>
      </c>
    </row>
    <row r="263" spans="1:64" x14ac:dyDescent="0.3">
      <c r="A263" t="s">
        <v>635</v>
      </c>
      <c r="B263" s="1" t="s">
        <v>635</v>
      </c>
      <c r="C263" s="9" t="s">
        <v>636</v>
      </c>
      <c r="D263" s="1" t="s">
        <v>95</v>
      </c>
      <c r="E263" s="1" t="s">
        <v>135</v>
      </c>
      <c r="F263" s="10" t="s">
        <v>485</v>
      </c>
      <c r="G263" s="1">
        <v>4.4999999999999998E-2</v>
      </c>
      <c r="H263" s="1">
        <v>0.05</v>
      </c>
      <c r="I263" s="8">
        <v>45124</v>
      </c>
      <c r="J263" s="6">
        <v>663191</v>
      </c>
      <c r="K263" s="6">
        <v>93226</v>
      </c>
      <c r="L263" s="6">
        <v>29606.74</v>
      </c>
      <c r="M263" s="6">
        <v>4161.88</v>
      </c>
      <c r="N263" s="7">
        <v>6753.72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45385.02</v>
      </c>
      <c r="U263" s="6">
        <v>40522.340000000004</v>
      </c>
      <c r="V263" s="6">
        <v>0</v>
      </c>
      <c r="W263" s="6">
        <v>3782.08</v>
      </c>
      <c r="X263" s="46">
        <v>45784</v>
      </c>
      <c r="Y263" s="1">
        <v>25111706</v>
      </c>
      <c r="Z263" s="1">
        <v>25111707</v>
      </c>
      <c r="AI263" s="2">
        <v>663191</v>
      </c>
      <c r="AJ263" s="2">
        <v>93226</v>
      </c>
      <c r="AK263" s="2">
        <v>29606.74</v>
      </c>
      <c r="AL263" s="2">
        <v>4161.88</v>
      </c>
      <c r="AM263" s="5">
        <v>6753.72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45385.02</v>
      </c>
      <c r="AT263" s="12">
        <v>40522.340000000004</v>
      </c>
      <c r="AU263" s="2">
        <v>0</v>
      </c>
      <c r="AV263" s="5">
        <v>3782.08</v>
      </c>
      <c r="BL263" s="1" t="s">
        <v>302</v>
      </c>
    </row>
    <row r="264" spans="1:64" x14ac:dyDescent="0.3">
      <c r="A264" t="s">
        <v>650</v>
      </c>
      <c r="B264" s="1" t="s">
        <v>650</v>
      </c>
      <c r="C264" s="9" t="s">
        <v>651</v>
      </c>
      <c r="D264" s="1" t="s">
        <v>95</v>
      </c>
      <c r="E264" s="1" t="s">
        <v>88</v>
      </c>
      <c r="F264" s="10" t="s">
        <v>432</v>
      </c>
      <c r="G264" s="1">
        <v>4.4999999999999998E-2</v>
      </c>
      <c r="H264" s="1">
        <v>0.05</v>
      </c>
      <c r="I264" s="8">
        <v>45287</v>
      </c>
      <c r="J264" s="6">
        <v>476320</v>
      </c>
      <c r="K264" s="6">
        <v>418283</v>
      </c>
      <c r="L264" s="6">
        <v>21264.280000000002</v>
      </c>
      <c r="M264" s="6">
        <v>18673.349999999999</v>
      </c>
      <c r="N264" s="7">
        <v>7987.53</v>
      </c>
      <c r="O264" s="6">
        <v>296888.76</v>
      </c>
      <c r="P264" s="6">
        <v>56923.829999999994</v>
      </c>
      <c r="Q264" s="6">
        <v>13253.97</v>
      </c>
      <c r="R264" s="6">
        <v>2541.25</v>
      </c>
      <c r="S264" s="7">
        <v>2775.45</v>
      </c>
      <c r="T264" s="11">
        <v>74475.33</v>
      </c>
      <c r="U264" s="6">
        <v>66495.83</v>
      </c>
      <c r="V264" s="6">
        <v>0</v>
      </c>
      <c r="W264" s="6">
        <v>6242.08</v>
      </c>
      <c r="X264" s="46">
        <v>45784</v>
      </c>
      <c r="Y264" s="1">
        <v>25111708</v>
      </c>
      <c r="Z264" s="1">
        <v>25111709</v>
      </c>
      <c r="AI264" s="2">
        <v>476320</v>
      </c>
      <c r="AJ264" s="2">
        <v>418283</v>
      </c>
      <c r="AK264" s="2">
        <v>21264.280000000002</v>
      </c>
      <c r="AL264" s="2">
        <v>18673.349999999999</v>
      </c>
      <c r="AM264" s="5">
        <v>7987.53</v>
      </c>
      <c r="AN264" s="12">
        <v>296888.76</v>
      </c>
      <c r="AO264" s="2">
        <v>56923.829999999994</v>
      </c>
      <c r="AP264" s="2">
        <v>13253.97</v>
      </c>
      <c r="AQ264" s="2">
        <v>2541.25</v>
      </c>
      <c r="AR264" s="5">
        <v>2775.45</v>
      </c>
      <c r="AS264" s="2">
        <v>74475.33</v>
      </c>
      <c r="AT264" s="12">
        <v>66495.83</v>
      </c>
      <c r="AU264" s="2">
        <v>0</v>
      </c>
      <c r="AV264" s="5">
        <v>6242.08</v>
      </c>
      <c r="BL264" s="1" t="s">
        <v>90</v>
      </c>
    </row>
    <row r="265" spans="1:64" x14ac:dyDescent="0.3">
      <c r="A265" t="s">
        <v>674</v>
      </c>
      <c r="B265" s="1" t="s">
        <v>674</v>
      </c>
      <c r="C265" s="9" t="s">
        <v>675</v>
      </c>
      <c r="D265" s="1" t="s">
        <v>95</v>
      </c>
      <c r="E265" s="1" t="s">
        <v>88</v>
      </c>
      <c r="F265" s="10" t="s">
        <v>432</v>
      </c>
      <c r="G265" s="1">
        <v>3.5000000000000003E-2</v>
      </c>
      <c r="H265" s="1">
        <v>0.05</v>
      </c>
      <c r="I265" s="8">
        <v>45567</v>
      </c>
      <c r="J265" s="6">
        <v>864689</v>
      </c>
      <c r="K265" s="6">
        <v>144916</v>
      </c>
      <c r="L265" s="6">
        <v>38602.19</v>
      </c>
      <c r="M265" s="6">
        <v>6469.46</v>
      </c>
      <c r="N265" s="7">
        <v>9014.33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60576.3</v>
      </c>
      <c r="U265" s="6">
        <v>54085.98</v>
      </c>
      <c r="V265" s="6">
        <v>0</v>
      </c>
      <c r="W265" s="6">
        <v>5048.03</v>
      </c>
      <c r="X265" s="46">
        <v>45784</v>
      </c>
      <c r="Y265" s="1">
        <v>25111710</v>
      </c>
      <c r="Z265" s="1">
        <v>25111711</v>
      </c>
      <c r="AI265" s="2">
        <v>864689</v>
      </c>
      <c r="AJ265" s="2">
        <v>144916</v>
      </c>
      <c r="AK265" s="2">
        <v>38602.19</v>
      </c>
      <c r="AL265" s="2">
        <v>6469.46</v>
      </c>
      <c r="AM265" s="5">
        <v>9014.33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60576.3</v>
      </c>
      <c r="AT265" s="12">
        <v>54085.98</v>
      </c>
      <c r="AU265" s="2">
        <v>0</v>
      </c>
      <c r="AV265" s="5">
        <v>5048.03</v>
      </c>
      <c r="BL265" s="1" t="s">
        <v>90</v>
      </c>
    </row>
    <row r="266" spans="1:64" x14ac:dyDescent="0.3">
      <c r="A266" t="s">
        <v>678</v>
      </c>
      <c r="B266" s="1" t="s">
        <v>678</v>
      </c>
      <c r="C266" s="9" t="s">
        <v>679</v>
      </c>
      <c r="D266" s="1" t="s">
        <v>95</v>
      </c>
      <c r="E266" s="1" t="s">
        <v>128</v>
      </c>
      <c r="F266" s="10" t="s">
        <v>309</v>
      </c>
      <c r="G266" s="1">
        <v>3.5000000000000003E-2</v>
      </c>
      <c r="H266" s="1">
        <v>0.05</v>
      </c>
      <c r="I266" s="8">
        <v>45719</v>
      </c>
      <c r="J266" s="6">
        <v>936645</v>
      </c>
      <c r="K266" s="6">
        <v>41756</v>
      </c>
      <c r="L266" s="6">
        <v>41814.51</v>
      </c>
      <c r="M266" s="6">
        <v>1864.1</v>
      </c>
      <c r="N266" s="7">
        <v>8735.7199999999993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58704.05</v>
      </c>
      <c r="U266" s="6">
        <v>52414.33</v>
      </c>
      <c r="V266" s="6">
        <v>0</v>
      </c>
      <c r="W266" s="6">
        <v>4892</v>
      </c>
      <c r="X266" s="46">
        <v>45784</v>
      </c>
      <c r="Y266" s="1">
        <v>25111712</v>
      </c>
      <c r="Z266" s="1">
        <v>25111713</v>
      </c>
      <c r="AI266" s="2">
        <v>936645</v>
      </c>
      <c r="AJ266" s="2">
        <v>41756</v>
      </c>
      <c r="AK266" s="2">
        <v>41814.51</v>
      </c>
      <c r="AL266" s="2">
        <v>1864.1</v>
      </c>
      <c r="AM266" s="5">
        <v>8735.7199999999993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58704.05</v>
      </c>
      <c r="AT266" s="12">
        <v>52414.33</v>
      </c>
      <c r="AU266" s="2">
        <v>0</v>
      </c>
      <c r="AV266" s="5">
        <v>4892</v>
      </c>
      <c r="BL266" s="1" t="s">
        <v>130</v>
      </c>
    </row>
    <row r="267" spans="1:64" x14ac:dyDescent="0.3">
      <c r="A267" t="s">
        <v>686</v>
      </c>
      <c r="B267" s="1" t="s">
        <v>686</v>
      </c>
      <c r="C267" s="9" t="s">
        <v>687</v>
      </c>
      <c r="D267" s="1" t="s">
        <v>95</v>
      </c>
      <c r="E267" s="1" t="s">
        <v>135</v>
      </c>
      <c r="F267" s="10" t="s">
        <v>348</v>
      </c>
      <c r="G267" s="1">
        <v>3.5000000000000003E-2</v>
      </c>
      <c r="H267" s="1">
        <v>0.05</v>
      </c>
      <c r="I267" s="8">
        <v>44538</v>
      </c>
      <c r="J267" s="6">
        <v>403509</v>
      </c>
      <c r="K267" s="6">
        <v>97034</v>
      </c>
      <c r="L267" s="6">
        <v>18013.79</v>
      </c>
      <c r="M267" s="6">
        <v>4331.87</v>
      </c>
      <c r="N267" s="7">
        <v>4469.13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30032.560000000001</v>
      </c>
      <c r="U267" s="6">
        <v>26814.79</v>
      </c>
      <c r="V267" s="6">
        <v>0</v>
      </c>
      <c r="W267" s="6">
        <v>2502.7199999999998</v>
      </c>
      <c r="X267" s="46">
        <v>45784</v>
      </c>
      <c r="Y267" s="1">
        <v>25111714</v>
      </c>
      <c r="Z267" s="1">
        <v>25111715</v>
      </c>
      <c r="AI267" s="2">
        <v>403509</v>
      </c>
      <c r="AJ267" s="2">
        <v>97034</v>
      </c>
      <c r="AK267" s="2">
        <v>18013.79</v>
      </c>
      <c r="AL267" s="2">
        <v>4331.87</v>
      </c>
      <c r="AM267" s="5">
        <v>4469.13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30032.560000000001</v>
      </c>
      <c r="AT267" s="12">
        <v>26814.79</v>
      </c>
      <c r="AU267" s="2">
        <v>0</v>
      </c>
      <c r="AV267" s="5">
        <v>2502.7199999999998</v>
      </c>
      <c r="BL267" s="1" t="s">
        <v>137</v>
      </c>
    </row>
    <row r="268" spans="1:64" x14ac:dyDescent="0.3">
      <c r="A268" t="s">
        <v>688</v>
      </c>
      <c r="B268" s="1" t="s">
        <v>688</v>
      </c>
      <c r="C268" s="9" t="s">
        <v>689</v>
      </c>
      <c r="D268" s="1" t="s">
        <v>95</v>
      </c>
      <c r="E268" s="1" t="s">
        <v>128</v>
      </c>
      <c r="F268" s="10" t="s">
        <v>325</v>
      </c>
      <c r="G268" s="1">
        <v>3.5000000000000003E-2</v>
      </c>
      <c r="H268" s="1">
        <v>0.05</v>
      </c>
      <c r="I268" s="8">
        <v>45667</v>
      </c>
      <c r="J268" s="6">
        <v>2132201</v>
      </c>
      <c r="K268" s="6">
        <v>97694</v>
      </c>
      <c r="L268" s="6">
        <v>95187.54</v>
      </c>
      <c r="M268" s="6">
        <v>4361.34</v>
      </c>
      <c r="N268" s="7">
        <v>19909.78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133793.70000000001</v>
      </c>
      <c r="U268" s="6">
        <v>119458.65999999999</v>
      </c>
      <c r="V268" s="6">
        <v>0</v>
      </c>
      <c r="W268" s="6">
        <v>11149.48</v>
      </c>
      <c r="X268" s="46">
        <v>45784</v>
      </c>
      <c r="Y268" s="1">
        <v>25111716</v>
      </c>
      <c r="Z268" s="1">
        <v>25111717</v>
      </c>
      <c r="AI268" s="2">
        <v>2132201</v>
      </c>
      <c r="AJ268" s="2">
        <v>97694</v>
      </c>
      <c r="AK268" s="2">
        <v>95187.54</v>
      </c>
      <c r="AL268" s="2">
        <v>4361.34</v>
      </c>
      <c r="AM268" s="5">
        <v>19909.78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133793.70000000001</v>
      </c>
      <c r="AT268" s="12">
        <v>119458.65999999999</v>
      </c>
      <c r="AU268" s="2">
        <v>0</v>
      </c>
      <c r="AV268" s="5">
        <v>11149.48</v>
      </c>
      <c r="BL268" s="1" t="s">
        <v>326</v>
      </c>
    </row>
    <row r="269" spans="1:64" x14ac:dyDescent="0.3">
      <c r="A269" t="s">
        <v>704</v>
      </c>
      <c r="B269" s="1" t="s">
        <v>704</v>
      </c>
      <c r="C269" s="9" t="s">
        <v>705</v>
      </c>
      <c r="D269" s="1" t="s">
        <v>95</v>
      </c>
      <c r="E269" s="1" t="s">
        <v>135</v>
      </c>
      <c r="F269" s="10" t="s">
        <v>435</v>
      </c>
      <c r="G269" s="1">
        <v>3.5000000000000003E-2</v>
      </c>
      <c r="H269" s="1">
        <v>0.05</v>
      </c>
      <c r="I269" s="8">
        <v>44482</v>
      </c>
      <c r="J269" s="6">
        <v>200311</v>
      </c>
      <c r="K269" s="6">
        <v>50790</v>
      </c>
      <c r="L269" s="6">
        <v>8942.4599999999991</v>
      </c>
      <c r="M269" s="6">
        <v>2267.41</v>
      </c>
      <c r="N269" s="7">
        <v>2241.9699999999998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15066.06</v>
      </c>
      <c r="U269" s="6">
        <v>13451.839999999998</v>
      </c>
      <c r="V269" s="6">
        <v>0</v>
      </c>
      <c r="W269" s="6">
        <v>1255.51</v>
      </c>
      <c r="X269" s="46">
        <v>45784</v>
      </c>
      <c r="Y269" s="1">
        <v>25111718</v>
      </c>
      <c r="Z269" s="1">
        <v>25111719</v>
      </c>
      <c r="AI269" s="2">
        <v>200311</v>
      </c>
      <c r="AJ269" s="2">
        <v>50790</v>
      </c>
      <c r="AK269" s="2">
        <v>8942.4599999999991</v>
      </c>
      <c r="AL269" s="2">
        <v>2267.41</v>
      </c>
      <c r="AM269" s="5">
        <v>2241.9699999999998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15066.06</v>
      </c>
      <c r="AT269" s="12">
        <v>13451.839999999998</v>
      </c>
      <c r="AU269" s="2">
        <v>0</v>
      </c>
      <c r="AV269" s="5">
        <v>1255.51</v>
      </c>
      <c r="BL269" s="1" t="s">
        <v>137</v>
      </c>
    </row>
    <row r="270" spans="1:64" x14ac:dyDescent="0.3">
      <c r="A270" t="s">
        <v>706</v>
      </c>
      <c r="B270" s="1" t="s">
        <v>706</v>
      </c>
      <c r="C270" s="9" t="s">
        <v>707</v>
      </c>
      <c r="D270" s="1" t="s">
        <v>95</v>
      </c>
      <c r="E270" s="1" t="s">
        <v>88</v>
      </c>
      <c r="F270" s="10" t="s">
        <v>218</v>
      </c>
      <c r="G270" s="1">
        <v>3.5000000000000003E-2</v>
      </c>
      <c r="H270" s="1">
        <v>0.05</v>
      </c>
      <c r="I270" s="8">
        <v>44044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470470.8</v>
      </c>
      <c r="P270" s="6">
        <v>109628.7</v>
      </c>
      <c r="Q270" s="6">
        <v>21003.16</v>
      </c>
      <c r="R270" s="6">
        <v>4894.1400000000003</v>
      </c>
      <c r="S270" s="7">
        <v>5179.47</v>
      </c>
      <c r="T270" s="11">
        <v>34805.980000000003</v>
      </c>
      <c r="U270" s="6">
        <v>31076.77</v>
      </c>
      <c r="V270" s="6">
        <v>0</v>
      </c>
      <c r="W270" s="6">
        <v>2900.49</v>
      </c>
      <c r="X270" s="46">
        <v>45784</v>
      </c>
      <c r="Y270" s="1">
        <v>25111720</v>
      </c>
      <c r="Z270" s="1">
        <v>25111721</v>
      </c>
      <c r="AI270" s="2">
        <v>0</v>
      </c>
      <c r="AJ270" s="2">
        <v>0</v>
      </c>
      <c r="AK270" s="2">
        <v>0</v>
      </c>
      <c r="AL270" s="2">
        <v>0</v>
      </c>
      <c r="AM270" s="5">
        <v>0</v>
      </c>
      <c r="AN270" s="12">
        <v>470470.8</v>
      </c>
      <c r="AO270" s="2">
        <v>109628.7</v>
      </c>
      <c r="AP270" s="2">
        <v>21003.16</v>
      </c>
      <c r="AQ270" s="2">
        <v>4894.1400000000003</v>
      </c>
      <c r="AR270" s="5">
        <v>5179.47</v>
      </c>
      <c r="AS270" s="2">
        <v>34805.980000000003</v>
      </c>
      <c r="AT270" s="12">
        <v>31076.77</v>
      </c>
      <c r="AU270" s="2">
        <v>0</v>
      </c>
      <c r="AV270" s="5">
        <v>2900.49</v>
      </c>
      <c r="BL270" s="1" t="s">
        <v>90</v>
      </c>
    </row>
    <row r="271" spans="1:64" x14ac:dyDescent="0.3">
      <c r="A271" t="s">
        <v>710</v>
      </c>
      <c r="B271" s="1" t="s">
        <v>710</v>
      </c>
      <c r="C271" s="9" t="s">
        <v>711</v>
      </c>
      <c r="D271" s="1" t="s">
        <v>95</v>
      </c>
      <c r="E271" s="1" t="s">
        <v>88</v>
      </c>
      <c r="F271" s="10" t="s">
        <v>545</v>
      </c>
      <c r="G271" s="1">
        <v>3.5000000000000003E-2</v>
      </c>
      <c r="H271" s="1">
        <v>0.05</v>
      </c>
      <c r="I271" s="8">
        <v>44130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0</v>
      </c>
      <c r="AJ271" s="2">
        <v>0</v>
      </c>
      <c r="AK271" s="2">
        <v>0</v>
      </c>
      <c r="AL271" s="2">
        <v>0</v>
      </c>
      <c r="AM271" s="5">
        <v>0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0</v>
      </c>
      <c r="AT271" s="12">
        <v>0</v>
      </c>
      <c r="AU271" s="2">
        <v>0</v>
      </c>
      <c r="AV271" s="5">
        <v>0</v>
      </c>
      <c r="BL271" s="1" t="s">
        <v>546</v>
      </c>
    </row>
    <row r="272" spans="1:64" x14ac:dyDescent="0.3">
      <c r="A272" t="s">
        <v>712</v>
      </c>
      <c r="B272" s="1" t="s">
        <v>712</v>
      </c>
      <c r="C272" s="9" t="s">
        <v>713</v>
      </c>
      <c r="D272" s="1" t="s">
        <v>95</v>
      </c>
      <c r="E272" s="1" t="s">
        <v>135</v>
      </c>
      <c r="F272" s="10" t="s">
        <v>193</v>
      </c>
      <c r="G272" s="1">
        <v>3.5000000000000003E-2</v>
      </c>
      <c r="H272" s="1">
        <v>0.05</v>
      </c>
      <c r="I272" s="8">
        <v>44113</v>
      </c>
      <c r="J272" s="6">
        <v>1146597</v>
      </c>
      <c r="K272" s="6">
        <v>65780</v>
      </c>
      <c r="L272" s="6">
        <v>51187.360000000001</v>
      </c>
      <c r="M272" s="6">
        <v>2936.6</v>
      </c>
      <c r="N272" s="7">
        <v>10824.79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72742.600000000006</v>
      </c>
      <c r="U272" s="6">
        <v>64948.75</v>
      </c>
      <c r="V272" s="6">
        <v>0</v>
      </c>
      <c r="W272" s="6">
        <v>6061.88</v>
      </c>
      <c r="X272" s="46">
        <v>45784</v>
      </c>
      <c r="Y272" s="1">
        <v>25111722</v>
      </c>
      <c r="Z272" s="1">
        <v>25111723</v>
      </c>
      <c r="AI272" s="2">
        <v>1146597</v>
      </c>
      <c r="AJ272" s="2">
        <v>65780</v>
      </c>
      <c r="AK272" s="2">
        <v>51187.360000000001</v>
      </c>
      <c r="AL272" s="2">
        <v>2936.6</v>
      </c>
      <c r="AM272" s="5">
        <v>10824.79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72742.600000000006</v>
      </c>
      <c r="AT272" s="12">
        <v>64948.75</v>
      </c>
      <c r="AU272" s="2">
        <v>0</v>
      </c>
      <c r="AV272" s="5">
        <v>6061.88</v>
      </c>
      <c r="BL272" s="1" t="s">
        <v>137</v>
      </c>
    </row>
    <row r="273" spans="1:64" x14ac:dyDescent="0.3">
      <c r="A273" t="s">
        <v>716</v>
      </c>
      <c r="B273" s="1" t="s">
        <v>716</v>
      </c>
      <c r="C273" s="9" t="s">
        <v>717</v>
      </c>
      <c r="D273" s="1" t="s">
        <v>95</v>
      </c>
      <c r="E273" s="1" t="s">
        <v>88</v>
      </c>
      <c r="F273" s="10" t="s">
        <v>96</v>
      </c>
      <c r="G273" s="1">
        <v>0.04</v>
      </c>
      <c r="H273" s="1">
        <v>0.05</v>
      </c>
      <c r="I273" s="8">
        <v>44232</v>
      </c>
      <c r="J273" s="6">
        <v>677022.09</v>
      </c>
      <c r="K273" s="6">
        <v>84353</v>
      </c>
      <c r="L273" s="6">
        <v>30224.2</v>
      </c>
      <c r="M273" s="6">
        <v>3765.76</v>
      </c>
      <c r="N273" s="7">
        <v>6797.99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45682.5</v>
      </c>
      <c r="U273" s="6">
        <v>40787.949999999997</v>
      </c>
      <c r="V273" s="6">
        <v>0</v>
      </c>
      <c r="W273" s="6">
        <v>3806.88</v>
      </c>
      <c r="X273" s="46">
        <v>45784</v>
      </c>
      <c r="Y273" s="1">
        <v>25111724</v>
      </c>
      <c r="Z273" s="1">
        <v>25111725</v>
      </c>
      <c r="AI273" s="2">
        <v>677022.09</v>
      </c>
      <c r="AJ273" s="2">
        <v>84353</v>
      </c>
      <c r="AK273" s="2">
        <v>30224.2</v>
      </c>
      <c r="AL273" s="2">
        <v>3765.76</v>
      </c>
      <c r="AM273" s="5">
        <v>6797.99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45682.5</v>
      </c>
      <c r="AT273" s="12">
        <v>40787.949999999997</v>
      </c>
      <c r="AU273" s="2">
        <v>0</v>
      </c>
      <c r="AV273" s="5">
        <v>3806.88</v>
      </c>
      <c r="BL273" s="1" t="s">
        <v>90</v>
      </c>
    </row>
    <row r="274" spans="1:64" x14ac:dyDescent="0.3">
      <c r="A274" t="s">
        <v>718</v>
      </c>
      <c r="B274" s="1" t="s">
        <v>718</v>
      </c>
      <c r="C274" s="9" t="s">
        <v>719</v>
      </c>
      <c r="D274" s="1" t="s">
        <v>95</v>
      </c>
      <c r="E274" s="1" t="s">
        <v>135</v>
      </c>
      <c r="F274" s="10" t="s">
        <v>435</v>
      </c>
      <c r="G274" s="1">
        <v>3.5000000000000003E-2</v>
      </c>
      <c r="H274" s="1">
        <v>0.05</v>
      </c>
      <c r="I274" s="8">
        <v>44328</v>
      </c>
      <c r="J274" s="6">
        <v>541218</v>
      </c>
      <c r="K274" s="6">
        <v>89865</v>
      </c>
      <c r="L274" s="6">
        <v>24161.52</v>
      </c>
      <c r="M274" s="6">
        <v>4011.83</v>
      </c>
      <c r="N274" s="7">
        <v>5634.67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37864.980000000003</v>
      </c>
      <c r="U274" s="6">
        <v>33808.019999999997</v>
      </c>
      <c r="V274" s="6">
        <v>0</v>
      </c>
      <c r="W274" s="6">
        <v>3155.42</v>
      </c>
      <c r="X274" s="46">
        <v>45784</v>
      </c>
      <c r="Y274" s="1">
        <v>25111726</v>
      </c>
      <c r="Z274" s="1">
        <v>25111727</v>
      </c>
      <c r="AI274" s="2">
        <v>541218</v>
      </c>
      <c r="AJ274" s="2">
        <v>89865</v>
      </c>
      <c r="AK274" s="2">
        <v>24161.52</v>
      </c>
      <c r="AL274" s="2">
        <v>4011.83</v>
      </c>
      <c r="AM274" s="5">
        <v>5634.67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37864.980000000003</v>
      </c>
      <c r="AT274" s="12">
        <v>33808.019999999997</v>
      </c>
      <c r="AU274" s="2">
        <v>0</v>
      </c>
      <c r="AV274" s="5">
        <v>3155.42</v>
      </c>
      <c r="BL274" s="1" t="s">
        <v>137</v>
      </c>
    </row>
    <row r="275" spans="1:64" x14ac:dyDescent="0.3">
      <c r="A275" t="s">
        <v>720</v>
      </c>
      <c r="B275" s="1" t="s">
        <v>720</v>
      </c>
      <c r="C275" s="9" t="s">
        <v>721</v>
      </c>
      <c r="D275" s="1" t="s">
        <v>95</v>
      </c>
      <c r="E275" s="1" t="s">
        <v>88</v>
      </c>
      <c r="F275" s="10" t="s">
        <v>534</v>
      </c>
      <c r="G275" s="1">
        <v>0.04</v>
      </c>
      <c r="H275" s="1">
        <v>0.05</v>
      </c>
      <c r="I275" s="8">
        <v>44313</v>
      </c>
      <c r="J275" s="6">
        <v>2318101</v>
      </c>
      <c r="K275" s="6">
        <v>296102</v>
      </c>
      <c r="L275" s="6">
        <v>103486.65</v>
      </c>
      <c r="M275" s="6">
        <v>13218.84</v>
      </c>
      <c r="N275" s="7">
        <v>23341.1</v>
      </c>
      <c r="O275" s="6">
        <v>380725.2</v>
      </c>
      <c r="P275" s="6">
        <v>0</v>
      </c>
      <c r="Q275" s="6">
        <v>16996.66</v>
      </c>
      <c r="R275" s="6">
        <v>0</v>
      </c>
      <c r="S275" s="7">
        <v>0</v>
      </c>
      <c r="T275" s="11">
        <v>175888.44</v>
      </c>
      <c r="U275" s="6">
        <v>157043.25</v>
      </c>
      <c r="V275" s="6">
        <v>0</v>
      </c>
      <c r="W275" s="6">
        <v>14974.630000000001</v>
      </c>
      <c r="X275" s="46">
        <v>45784</v>
      </c>
      <c r="Y275" s="1">
        <v>25111728</v>
      </c>
      <c r="Z275" s="1">
        <v>25111729</v>
      </c>
      <c r="AI275" s="2">
        <v>2318101</v>
      </c>
      <c r="AJ275" s="2">
        <v>296102</v>
      </c>
      <c r="AK275" s="2">
        <v>103486.65</v>
      </c>
      <c r="AL275" s="2">
        <v>13218.84</v>
      </c>
      <c r="AM275" s="5">
        <v>23341.1</v>
      </c>
      <c r="AN275" s="12">
        <v>380725.2</v>
      </c>
      <c r="AO275" s="2">
        <v>0</v>
      </c>
      <c r="AP275" s="2">
        <v>16996.66</v>
      </c>
      <c r="AQ275" s="2">
        <v>0</v>
      </c>
      <c r="AR275" s="5">
        <v>0</v>
      </c>
      <c r="AS275" s="2">
        <v>175888.44</v>
      </c>
      <c r="AT275" s="12">
        <v>157043.25</v>
      </c>
      <c r="AU275" s="2">
        <v>0</v>
      </c>
      <c r="AV275" s="5">
        <v>14974.630000000001</v>
      </c>
      <c r="BL275" s="1" t="s">
        <v>90</v>
      </c>
    </row>
    <row r="276" spans="1:64" x14ac:dyDescent="0.3">
      <c r="A276" t="s">
        <v>757</v>
      </c>
      <c r="B276" s="1" t="s">
        <v>757</v>
      </c>
      <c r="C276" s="9" t="s">
        <v>758</v>
      </c>
      <c r="D276" s="1" t="s">
        <v>95</v>
      </c>
      <c r="E276" s="1" t="s">
        <v>135</v>
      </c>
      <c r="F276" s="10" t="s">
        <v>136</v>
      </c>
      <c r="G276" s="1">
        <v>3.5000000000000003E-2</v>
      </c>
      <c r="H276" s="1">
        <v>0.05</v>
      </c>
      <c r="I276" s="8">
        <v>45608</v>
      </c>
      <c r="J276" s="6">
        <v>1752435.15</v>
      </c>
      <c r="K276" s="6">
        <v>213354</v>
      </c>
      <c r="L276" s="6">
        <v>78233.709999999992</v>
      </c>
      <c r="M276" s="6">
        <v>9524.73</v>
      </c>
      <c r="N276" s="7">
        <v>17551.68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117947.33</v>
      </c>
      <c r="U276" s="6">
        <v>105310.12</v>
      </c>
      <c r="V276" s="6">
        <v>0</v>
      </c>
      <c r="W276" s="6">
        <v>9828.9500000000007</v>
      </c>
      <c r="X276" s="46">
        <v>45784</v>
      </c>
      <c r="Y276" s="1">
        <v>25111730</v>
      </c>
      <c r="Z276" s="1">
        <v>25111731</v>
      </c>
      <c r="AI276" s="2">
        <v>1752435.15</v>
      </c>
      <c r="AJ276" s="2">
        <v>213354</v>
      </c>
      <c r="AK276" s="2">
        <v>78233.709999999992</v>
      </c>
      <c r="AL276" s="2">
        <v>9524.73</v>
      </c>
      <c r="AM276" s="5">
        <v>17551.68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117947.33</v>
      </c>
      <c r="AT276" s="12">
        <v>105310.12</v>
      </c>
      <c r="AU276" s="2">
        <v>0</v>
      </c>
      <c r="AV276" s="5">
        <v>9828.9500000000007</v>
      </c>
      <c r="BL276" s="1" t="s">
        <v>137</v>
      </c>
    </row>
    <row r="277" spans="1:64" x14ac:dyDescent="0.3">
      <c r="A277" t="s">
        <v>767</v>
      </c>
      <c r="B277" s="1" t="s">
        <v>767</v>
      </c>
      <c r="C277" s="9" t="s">
        <v>768</v>
      </c>
      <c r="D277" s="1" t="s">
        <v>95</v>
      </c>
      <c r="E277" s="1" t="s">
        <v>135</v>
      </c>
      <c r="F277" s="10" t="s">
        <v>435</v>
      </c>
      <c r="G277" s="1">
        <v>3.5000000000000003E-2</v>
      </c>
      <c r="H277" s="1">
        <v>0.05</v>
      </c>
      <c r="I277" s="8">
        <v>44644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1165238.7</v>
      </c>
      <c r="P277" s="6">
        <v>230644.8</v>
      </c>
      <c r="Q277" s="6">
        <v>52019.59</v>
      </c>
      <c r="R277" s="6">
        <v>10296.64</v>
      </c>
      <c r="S277" s="7">
        <v>9752.61</v>
      </c>
      <c r="T277" s="11">
        <v>80717.100000000006</v>
      </c>
      <c r="U277" s="6">
        <v>72068.84</v>
      </c>
      <c r="V277" s="6">
        <v>0</v>
      </c>
      <c r="W277" s="6">
        <v>6979.42</v>
      </c>
      <c r="X277" s="46">
        <v>45784</v>
      </c>
      <c r="Y277" s="1">
        <v>25111732</v>
      </c>
      <c r="Z277" s="1">
        <v>25111733</v>
      </c>
      <c r="AI277" s="2">
        <v>0</v>
      </c>
      <c r="AJ277" s="2">
        <v>0</v>
      </c>
      <c r="AK277" s="2">
        <v>0</v>
      </c>
      <c r="AL277" s="2">
        <v>0</v>
      </c>
      <c r="AM277" s="5">
        <v>0</v>
      </c>
      <c r="AN277" s="12">
        <v>1165238.7</v>
      </c>
      <c r="AO277" s="2">
        <v>230644.8</v>
      </c>
      <c r="AP277" s="2">
        <v>52019.59</v>
      </c>
      <c r="AQ277" s="2">
        <v>10296.64</v>
      </c>
      <c r="AR277" s="5">
        <v>9752.61</v>
      </c>
      <c r="AS277" s="2">
        <v>80717.100000000006</v>
      </c>
      <c r="AT277" s="12">
        <v>72068.84</v>
      </c>
      <c r="AU277" s="2">
        <v>0</v>
      </c>
      <c r="AV277" s="5">
        <v>6979.42</v>
      </c>
      <c r="BL277" s="1" t="s">
        <v>137</v>
      </c>
    </row>
    <row r="278" spans="1:64" x14ac:dyDescent="0.3">
      <c r="A278" t="s">
        <v>785</v>
      </c>
      <c r="B278" s="1" t="s">
        <v>785</v>
      </c>
      <c r="C278" s="9" t="s">
        <v>786</v>
      </c>
      <c r="D278" s="1" t="s">
        <v>95</v>
      </c>
      <c r="E278" s="1" t="s">
        <v>128</v>
      </c>
      <c r="F278" s="10" t="s">
        <v>325</v>
      </c>
      <c r="G278" s="1">
        <v>0.04</v>
      </c>
      <c r="H278" s="1">
        <v>0.05</v>
      </c>
      <c r="I278" s="8">
        <v>44734</v>
      </c>
      <c r="J278" s="6">
        <v>865044</v>
      </c>
      <c r="K278" s="6">
        <v>76670</v>
      </c>
      <c r="L278" s="6">
        <v>38618.04</v>
      </c>
      <c r="M278" s="6">
        <v>3422.77</v>
      </c>
      <c r="N278" s="7">
        <v>8408.16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56502.85</v>
      </c>
      <c r="U278" s="6">
        <v>50448.97</v>
      </c>
      <c r="V278" s="6">
        <v>0</v>
      </c>
      <c r="W278" s="6">
        <v>4708.57</v>
      </c>
      <c r="X278" s="46">
        <v>45784</v>
      </c>
      <c r="Y278" s="1">
        <v>25111734</v>
      </c>
      <c r="Z278" s="1">
        <v>25111735</v>
      </c>
      <c r="AI278" s="2">
        <v>865044</v>
      </c>
      <c r="AJ278" s="2">
        <v>76670</v>
      </c>
      <c r="AK278" s="2">
        <v>38618.04</v>
      </c>
      <c r="AL278" s="2">
        <v>3422.77</v>
      </c>
      <c r="AM278" s="5">
        <v>8408.16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56502.85</v>
      </c>
      <c r="AT278" s="12">
        <v>50448.97</v>
      </c>
      <c r="AU278" s="2">
        <v>0</v>
      </c>
      <c r="AV278" s="5">
        <v>4708.57</v>
      </c>
      <c r="BL278" s="1" t="s">
        <v>326</v>
      </c>
    </row>
    <row r="279" spans="1:64" x14ac:dyDescent="0.3">
      <c r="A279" t="s">
        <v>791</v>
      </c>
      <c r="B279" s="1" t="s">
        <v>791</v>
      </c>
      <c r="C279" s="9" t="s">
        <v>792</v>
      </c>
      <c r="D279" s="1" t="s">
        <v>95</v>
      </c>
      <c r="E279" s="1" t="s">
        <v>135</v>
      </c>
      <c r="F279" s="10" t="s">
        <v>435</v>
      </c>
      <c r="G279" s="1">
        <v>0.04</v>
      </c>
      <c r="H279" s="1">
        <v>0.05</v>
      </c>
      <c r="I279" s="8">
        <v>44913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905520.60000000009</v>
      </c>
      <c r="P279" s="6">
        <v>129441.9</v>
      </c>
      <c r="Q279" s="6">
        <v>40425.03</v>
      </c>
      <c r="R279" s="6">
        <v>5778.65</v>
      </c>
      <c r="S279" s="7">
        <v>5312.75</v>
      </c>
      <c r="T279" s="11">
        <v>57698.400000000001</v>
      </c>
      <c r="U279" s="6">
        <v>51516.430000000008</v>
      </c>
      <c r="V279" s="6">
        <v>0</v>
      </c>
      <c r="W279" s="6">
        <v>5174.8099999999995</v>
      </c>
      <c r="X279" s="46">
        <v>45784</v>
      </c>
      <c r="Y279" s="1">
        <v>25111736</v>
      </c>
      <c r="Z279" s="1">
        <v>25111737</v>
      </c>
      <c r="AI279" s="2">
        <v>0</v>
      </c>
      <c r="AJ279" s="2">
        <v>0</v>
      </c>
      <c r="AK279" s="2">
        <v>0</v>
      </c>
      <c r="AL279" s="2">
        <v>0</v>
      </c>
      <c r="AM279" s="5">
        <v>0</v>
      </c>
      <c r="AN279" s="12">
        <v>905520.60000000009</v>
      </c>
      <c r="AO279" s="2">
        <v>129441.9</v>
      </c>
      <c r="AP279" s="2">
        <v>40425.03</v>
      </c>
      <c r="AQ279" s="2">
        <v>5778.65</v>
      </c>
      <c r="AR279" s="5">
        <v>5312.75</v>
      </c>
      <c r="AS279" s="2">
        <v>57698.400000000001</v>
      </c>
      <c r="AT279" s="12">
        <v>51516.430000000008</v>
      </c>
      <c r="AU279" s="2">
        <v>0</v>
      </c>
      <c r="AV279" s="5">
        <v>5174.8099999999995</v>
      </c>
      <c r="BL279" s="1" t="s">
        <v>436</v>
      </c>
    </row>
    <row r="280" spans="1:64" x14ac:dyDescent="0.3">
      <c r="A280" t="s">
        <v>806</v>
      </c>
      <c r="B280" s="1" t="s">
        <v>806</v>
      </c>
      <c r="C280" s="9" t="s">
        <v>807</v>
      </c>
      <c r="D280" s="1" t="s">
        <v>95</v>
      </c>
      <c r="E280" s="1" t="s">
        <v>88</v>
      </c>
      <c r="F280" s="10" t="s">
        <v>432</v>
      </c>
      <c r="G280" s="1">
        <v>0.04</v>
      </c>
      <c r="H280" s="1">
        <v>0.05</v>
      </c>
      <c r="I280" s="8">
        <v>44876</v>
      </c>
      <c r="J280" s="6">
        <v>406545</v>
      </c>
      <c r="K280" s="6">
        <v>51248</v>
      </c>
      <c r="L280" s="6">
        <v>18149.330000000002</v>
      </c>
      <c r="M280" s="6">
        <v>2287.86</v>
      </c>
      <c r="N280" s="7">
        <v>4087.44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27467.59</v>
      </c>
      <c r="U280" s="6">
        <v>24524.63</v>
      </c>
      <c r="V280" s="6">
        <v>0</v>
      </c>
      <c r="W280" s="6">
        <v>2288.96</v>
      </c>
      <c r="X280" s="46">
        <v>45784</v>
      </c>
      <c r="Y280" s="1">
        <v>25111738</v>
      </c>
      <c r="Z280" s="1">
        <v>25111739</v>
      </c>
      <c r="AI280" s="2">
        <v>406545</v>
      </c>
      <c r="AJ280" s="2">
        <v>51248</v>
      </c>
      <c r="AK280" s="2">
        <v>18149.330000000002</v>
      </c>
      <c r="AL280" s="2">
        <v>2287.86</v>
      </c>
      <c r="AM280" s="5">
        <v>4087.44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27467.59</v>
      </c>
      <c r="AT280" s="12">
        <v>24524.63</v>
      </c>
      <c r="AU280" s="2">
        <v>0</v>
      </c>
      <c r="AV280" s="5">
        <v>2288.96</v>
      </c>
      <c r="BL280" s="1" t="s">
        <v>90</v>
      </c>
    </row>
    <row r="281" spans="1:64" x14ac:dyDescent="0.3">
      <c r="A281" t="s">
        <v>808</v>
      </c>
      <c r="B281" s="1" t="s">
        <v>808</v>
      </c>
      <c r="C281" s="9" t="s">
        <v>809</v>
      </c>
      <c r="D281" s="1" t="s">
        <v>95</v>
      </c>
      <c r="E281" s="1" t="s">
        <v>128</v>
      </c>
      <c r="F281" s="10" t="s">
        <v>309</v>
      </c>
      <c r="G281" s="1">
        <v>0</v>
      </c>
      <c r="H281" s="1">
        <v>0.05</v>
      </c>
      <c r="I281" s="8">
        <v>44802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290030.39999999997</v>
      </c>
      <c r="P281" s="6">
        <v>20179.8</v>
      </c>
      <c r="Q281" s="6">
        <v>12947.79</v>
      </c>
      <c r="R281" s="6">
        <v>900.88</v>
      </c>
      <c r="S281" s="7">
        <v>0</v>
      </c>
      <c r="T281" s="11">
        <v>15510.51</v>
      </c>
      <c r="U281" s="6">
        <v>13848.67</v>
      </c>
      <c r="V281" s="6">
        <v>0</v>
      </c>
      <c r="W281" s="6">
        <v>1551.05</v>
      </c>
      <c r="X281" s="46">
        <v>45784</v>
      </c>
      <c r="Y281" s="1">
        <v>25111740</v>
      </c>
      <c r="Z281" s="1">
        <v>25111741</v>
      </c>
      <c r="AI281" s="2">
        <v>0</v>
      </c>
      <c r="AJ281" s="2">
        <v>0</v>
      </c>
      <c r="AK281" s="2">
        <v>0</v>
      </c>
      <c r="AL281" s="2">
        <v>0</v>
      </c>
      <c r="AM281" s="5">
        <v>0</v>
      </c>
      <c r="AN281" s="12">
        <v>290030.39999999997</v>
      </c>
      <c r="AO281" s="2">
        <v>20179.8</v>
      </c>
      <c r="AP281" s="2">
        <v>12947.79</v>
      </c>
      <c r="AQ281" s="2">
        <v>900.88</v>
      </c>
      <c r="AR281" s="5">
        <v>0</v>
      </c>
      <c r="AS281" s="2">
        <v>15510.51</v>
      </c>
      <c r="AT281" s="12">
        <v>13848.67</v>
      </c>
      <c r="AU281" s="2">
        <v>0</v>
      </c>
      <c r="AV281" s="5">
        <v>1551.05</v>
      </c>
      <c r="BL281" s="1" t="s">
        <v>130</v>
      </c>
    </row>
    <row r="282" spans="1:64" x14ac:dyDescent="0.3">
      <c r="A282" t="s">
        <v>812</v>
      </c>
      <c r="B282" s="1" t="s">
        <v>812</v>
      </c>
      <c r="C282" s="9" t="s">
        <v>813</v>
      </c>
      <c r="D282" s="1" t="s">
        <v>95</v>
      </c>
      <c r="E282" s="1" t="s">
        <v>135</v>
      </c>
      <c r="F282" s="10" t="s">
        <v>193</v>
      </c>
      <c r="G282" s="1">
        <v>0.04</v>
      </c>
      <c r="H282" s="1">
        <v>0.05</v>
      </c>
      <c r="I282" s="8">
        <v>44991</v>
      </c>
      <c r="J282" s="6">
        <v>905439</v>
      </c>
      <c r="K282" s="6">
        <v>217841</v>
      </c>
      <c r="L282" s="6">
        <v>40421.379999999997</v>
      </c>
      <c r="M282" s="6">
        <v>9725.0400000000009</v>
      </c>
      <c r="N282" s="7">
        <v>10029.290000000001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67396.800000000003</v>
      </c>
      <c r="U282" s="6">
        <v>60175.71</v>
      </c>
      <c r="V282" s="6">
        <v>0</v>
      </c>
      <c r="W282" s="6">
        <v>5616.4</v>
      </c>
      <c r="X282" s="46">
        <v>45784</v>
      </c>
      <c r="Y282" s="1">
        <v>25111742</v>
      </c>
      <c r="Z282" s="1">
        <v>25111743</v>
      </c>
      <c r="AI282" s="2">
        <v>905439</v>
      </c>
      <c r="AJ282" s="2">
        <v>217841</v>
      </c>
      <c r="AK282" s="2">
        <v>40421.379999999997</v>
      </c>
      <c r="AL282" s="2">
        <v>9725.0400000000009</v>
      </c>
      <c r="AM282" s="5">
        <v>10029.290000000001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67396.800000000003</v>
      </c>
      <c r="AT282" s="12">
        <v>60175.71</v>
      </c>
      <c r="AU282" s="2">
        <v>0</v>
      </c>
      <c r="AV282" s="5">
        <v>5616.4</v>
      </c>
      <c r="BL282" s="1" t="s">
        <v>137</v>
      </c>
    </row>
    <row r="283" spans="1:64" x14ac:dyDescent="0.3">
      <c r="A283" t="s">
        <v>833</v>
      </c>
      <c r="B283" s="1" t="s">
        <v>833</v>
      </c>
      <c r="C283" s="9" t="s">
        <v>834</v>
      </c>
      <c r="D283" s="1" t="s">
        <v>95</v>
      </c>
      <c r="E283" s="1" t="s">
        <v>128</v>
      </c>
      <c r="F283" s="10" t="s">
        <v>835</v>
      </c>
      <c r="G283" s="1">
        <v>3.5000000000000003E-2</v>
      </c>
      <c r="H283" s="1">
        <v>0.05</v>
      </c>
      <c r="I283" s="8">
        <v>44035</v>
      </c>
      <c r="J283" s="6">
        <v>562544</v>
      </c>
      <c r="K283" s="6">
        <v>96844</v>
      </c>
      <c r="L283" s="6">
        <v>25113.57</v>
      </c>
      <c r="M283" s="6">
        <v>4323.3900000000003</v>
      </c>
      <c r="N283" s="7">
        <v>5887.39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39563.269999999997</v>
      </c>
      <c r="U283" s="6">
        <v>35324.35</v>
      </c>
      <c r="V283" s="6">
        <v>0</v>
      </c>
      <c r="W283" s="6">
        <v>3296.94</v>
      </c>
      <c r="X283" s="46">
        <v>45784</v>
      </c>
      <c r="Y283" s="1">
        <v>25111744</v>
      </c>
      <c r="Z283" s="1">
        <v>25111745</v>
      </c>
      <c r="AI283" s="2">
        <v>562544</v>
      </c>
      <c r="AJ283" s="2">
        <v>96844</v>
      </c>
      <c r="AK283" s="2">
        <v>25113.57</v>
      </c>
      <c r="AL283" s="2">
        <v>4323.3900000000003</v>
      </c>
      <c r="AM283" s="5">
        <v>5887.39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39563.269999999997</v>
      </c>
      <c r="AT283" s="12">
        <v>35324.35</v>
      </c>
      <c r="AU283" s="2">
        <v>0</v>
      </c>
      <c r="AV283" s="5">
        <v>3296.94</v>
      </c>
      <c r="BL283" s="1" t="s">
        <v>326</v>
      </c>
    </row>
    <row r="284" spans="1:64" x14ac:dyDescent="0.3">
      <c r="A284" t="s">
        <v>844</v>
      </c>
      <c r="B284" s="1" t="s">
        <v>844</v>
      </c>
      <c r="C284" s="9" t="s">
        <v>845</v>
      </c>
      <c r="D284" s="1" t="s">
        <v>95</v>
      </c>
      <c r="E284" s="1" t="s">
        <v>135</v>
      </c>
      <c r="F284" s="10" t="s">
        <v>193</v>
      </c>
      <c r="G284" s="1">
        <v>3.5000000000000003E-2</v>
      </c>
      <c r="H284" s="1">
        <v>0.05</v>
      </c>
      <c r="I284" s="8">
        <v>44270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0</v>
      </c>
      <c r="AJ284" s="2">
        <v>0</v>
      </c>
      <c r="AK284" s="2">
        <v>0</v>
      </c>
      <c r="AL284" s="2">
        <v>0</v>
      </c>
      <c r="AM284" s="5">
        <v>0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0</v>
      </c>
      <c r="AT284" s="12">
        <v>0</v>
      </c>
      <c r="AU284" s="2">
        <v>0</v>
      </c>
      <c r="AV284" s="5">
        <v>0</v>
      </c>
      <c r="BL284" s="1" t="s">
        <v>137</v>
      </c>
    </row>
    <row r="285" spans="1:64" x14ac:dyDescent="0.3">
      <c r="A285" t="s">
        <v>888</v>
      </c>
      <c r="B285" s="1" t="s">
        <v>888</v>
      </c>
      <c r="C285" s="9" t="s">
        <v>889</v>
      </c>
      <c r="D285" s="1" t="s">
        <v>95</v>
      </c>
      <c r="E285" s="1" t="s">
        <v>135</v>
      </c>
      <c r="F285" s="10" t="s">
        <v>435</v>
      </c>
      <c r="G285" s="1">
        <v>4.4999999999999998E-2</v>
      </c>
      <c r="H285" s="1">
        <v>0.05</v>
      </c>
      <c r="I285" s="8">
        <v>45278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828519</v>
      </c>
      <c r="P285" s="6">
        <v>147237</v>
      </c>
      <c r="Q285" s="6">
        <v>36987.46</v>
      </c>
      <c r="R285" s="6">
        <v>6573.08</v>
      </c>
      <c r="S285" s="7">
        <v>8712.11</v>
      </c>
      <c r="T285" s="11">
        <v>58545.37</v>
      </c>
      <c r="U285" s="6">
        <v>52272.65</v>
      </c>
      <c r="V285" s="6">
        <v>0</v>
      </c>
      <c r="W285" s="6">
        <v>4878.78</v>
      </c>
      <c r="X285" s="46">
        <v>45784</v>
      </c>
      <c r="Y285" s="1">
        <v>25111746</v>
      </c>
      <c r="Z285" s="1">
        <v>25111747</v>
      </c>
      <c r="AI285" s="2">
        <v>0</v>
      </c>
      <c r="AJ285" s="2">
        <v>0</v>
      </c>
      <c r="AK285" s="2">
        <v>0</v>
      </c>
      <c r="AL285" s="2">
        <v>0</v>
      </c>
      <c r="AM285" s="5">
        <v>0</v>
      </c>
      <c r="AN285" s="12">
        <v>828519</v>
      </c>
      <c r="AO285" s="2">
        <v>147237</v>
      </c>
      <c r="AP285" s="2">
        <v>36987.46</v>
      </c>
      <c r="AQ285" s="2">
        <v>6573.08</v>
      </c>
      <c r="AR285" s="5">
        <v>8712.11</v>
      </c>
      <c r="AS285" s="2">
        <v>58545.37</v>
      </c>
      <c r="AT285" s="12">
        <v>52272.65</v>
      </c>
      <c r="AU285" s="2">
        <v>0</v>
      </c>
      <c r="AV285" s="5">
        <v>4878.78</v>
      </c>
      <c r="BL285" s="1" t="s">
        <v>436</v>
      </c>
    </row>
    <row r="286" spans="1:64" x14ac:dyDescent="0.3">
      <c r="A286" t="s">
        <v>890</v>
      </c>
      <c r="B286" s="1" t="s">
        <v>890</v>
      </c>
      <c r="C286" s="9" t="s">
        <v>891</v>
      </c>
      <c r="D286" s="1" t="s">
        <v>95</v>
      </c>
      <c r="E286" s="1" t="s">
        <v>135</v>
      </c>
      <c r="F286" s="10" t="s">
        <v>193</v>
      </c>
      <c r="G286" s="1">
        <v>0</v>
      </c>
      <c r="H286" s="1">
        <v>0.05</v>
      </c>
      <c r="I286" s="8">
        <v>45514</v>
      </c>
      <c r="J286" s="6">
        <v>271918</v>
      </c>
      <c r="K286" s="6">
        <v>53547</v>
      </c>
      <c r="L286" s="6">
        <v>12139.2</v>
      </c>
      <c r="M286" s="6">
        <v>2390.4899999999998</v>
      </c>
      <c r="N286" s="7">
        <v>2905.94</v>
      </c>
      <c r="O286" s="6">
        <v>39877.620000000003</v>
      </c>
      <c r="P286" s="6">
        <v>5097.3</v>
      </c>
      <c r="Q286" s="6">
        <v>1780.25</v>
      </c>
      <c r="R286" s="6">
        <v>227.55</v>
      </c>
      <c r="S286" s="7">
        <v>0</v>
      </c>
      <c r="T286" s="11">
        <v>21776.639999999999</v>
      </c>
      <c r="U286" s="6">
        <v>19443.43</v>
      </c>
      <c r="V286" s="6">
        <v>0</v>
      </c>
      <c r="W286" s="6">
        <v>1852.2</v>
      </c>
      <c r="X286" s="46">
        <v>45784</v>
      </c>
      <c r="Y286" s="1">
        <v>25111748</v>
      </c>
      <c r="Z286" s="1">
        <v>25111749</v>
      </c>
      <c r="AI286" s="2">
        <v>271918</v>
      </c>
      <c r="AJ286" s="2">
        <v>53547</v>
      </c>
      <c r="AK286" s="2">
        <v>12139.2</v>
      </c>
      <c r="AL286" s="2">
        <v>2390.4899999999998</v>
      </c>
      <c r="AM286" s="5">
        <v>2905.94</v>
      </c>
      <c r="AN286" s="12">
        <v>39877.620000000003</v>
      </c>
      <c r="AO286" s="2">
        <v>5097.3</v>
      </c>
      <c r="AP286" s="2">
        <v>1780.25</v>
      </c>
      <c r="AQ286" s="2">
        <v>227.55</v>
      </c>
      <c r="AR286" s="5">
        <v>0</v>
      </c>
      <c r="AS286" s="2">
        <v>21776.639999999999</v>
      </c>
      <c r="AT286" s="12">
        <v>19443.43</v>
      </c>
      <c r="AU286" s="2">
        <v>0</v>
      </c>
      <c r="AV286" s="5">
        <v>1852.2</v>
      </c>
      <c r="BL286" s="1" t="s">
        <v>137</v>
      </c>
    </row>
    <row r="287" spans="1:64" x14ac:dyDescent="0.3">
      <c r="A287" t="s">
        <v>892</v>
      </c>
      <c r="B287" s="1" t="s">
        <v>892</v>
      </c>
      <c r="C287" s="9" t="s">
        <v>893</v>
      </c>
      <c r="D287" s="1" t="s">
        <v>95</v>
      </c>
      <c r="E287" s="1" t="s">
        <v>88</v>
      </c>
      <c r="F287" s="10" t="s">
        <v>534</v>
      </c>
      <c r="G287" s="1">
        <v>0</v>
      </c>
      <c r="H287" s="1">
        <v>0.05</v>
      </c>
      <c r="I287" s="8">
        <v>45485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1237011.9000000001</v>
      </c>
      <c r="P287" s="6">
        <v>168576.30000000002</v>
      </c>
      <c r="Q287" s="6">
        <v>55223.75</v>
      </c>
      <c r="R287" s="6">
        <v>7525.73</v>
      </c>
      <c r="S287" s="7">
        <v>0</v>
      </c>
      <c r="T287" s="11">
        <v>70279.42</v>
      </c>
      <c r="U287" s="6">
        <v>62749.48</v>
      </c>
      <c r="V287" s="6">
        <v>0</v>
      </c>
      <c r="W287" s="6">
        <v>7027.9400000000005</v>
      </c>
      <c r="X287" s="46">
        <v>45784</v>
      </c>
      <c r="Y287" s="1">
        <v>25111750</v>
      </c>
      <c r="Z287" s="1">
        <v>25111751</v>
      </c>
      <c r="AI287" s="2">
        <v>0</v>
      </c>
      <c r="AJ287" s="2">
        <v>0</v>
      </c>
      <c r="AK287" s="2">
        <v>0</v>
      </c>
      <c r="AL287" s="2">
        <v>0</v>
      </c>
      <c r="AM287" s="5">
        <v>0</v>
      </c>
      <c r="AN287" s="12">
        <v>1237011.9000000001</v>
      </c>
      <c r="AO287" s="2">
        <v>168576.30000000002</v>
      </c>
      <c r="AP287" s="2">
        <v>55223.75</v>
      </c>
      <c r="AQ287" s="2">
        <v>7525.73</v>
      </c>
      <c r="AR287" s="5">
        <v>0</v>
      </c>
      <c r="AS287" s="2">
        <v>70279.42</v>
      </c>
      <c r="AT287" s="12">
        <v>62749.48</v>
      </c>
      <c r="AU287" s="2">
        <v>0</v>
      </c>
      <c r="AV287" s="5">
        <v>7027.9400000000005</v>
      </c>
      <c r="BL287" s="1" t="s">
        <v>90</v>
      </c>
    </row>
    <row r="288" spans="1:64" x14ac:dyDescent="0.3">
      <c r="A288" t="s">
        <v>912</v>
      </c>
      <c r="B288" s="1" t="s">
        <v>912</v>
      </c>
      <c r="C288" s="9" t="s">
        <v>913</v>
      </c>
      <c r="D288" s="1" t="s">
        <v>95</v>
      </c>
      <c r="E288" s="1" t="s">
        <v>128</v>
      </c>
      <c r="F288" s="10" t="s">
        <v>309</v>
      </c>
      <c r="G288" s="1">
        <v>4.4999999999999998E-2</v>
      </c>
      <c r="H288" s="1">
        <v>0.05</v>
      </c>
      <c r="I288" s="8">
        <v>45067</v>
      </c>
      <c r="J288" s="6">
        <v>3148610</v>
      </c>
      <c r="K288" s="6">
        <v>51385</v>
      </c>
      <c r="L288" s="6">
        <v>140562.95000000001</v>
      </c>
      <c r="M288" s="6">
        <v>2293.9699999999998</v>
      </c>
      <c r="N288" s="7">
        <v>28571.399999999998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191999.72</v>
      </c>
      <c r="U288" s="6">
        <v>171428.32</v>
      </c>
      <c r="V288" s="6">
        <v>0</v>
      </c>
      <c r="W288" s="6">
        <v>15999.970000000001</v>
      </c>
      <c r="X288" s="46">
        <v>45784</v>
      </c>
      <c r="Y288" s="1">
        <v>25111752</v>
      </c>
      <c r="Z288" s="1">
        <v>25111753</v>
      </c>
      <c r="AI288" s="2">
        <v>3148610</v>
      </c>
      <c r="AJ288" s="2">
        <v>51385</v>
      </c>
      <c r="AK288" s="2">
        <v>140562.95000000001</v>
      </c>
      <c r="AL288" s="2">
        <v>2293.9699999999998</v>
      </c>
      <c r="AM288" s="5">
        <v>28571.399999999998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191999.72</v>
      </c>
      <c r="AT288" s="12">
        <v>171428.32</v>
      </c>
      <c r="AU288" s="2">
        <v>0</v>
      </c>
      <c r="AV288" s="5">
        <v>15999.970000000001</v>
      </c>
      <c r="BL288" s="1" t="s">
        <v>130</v>
      </c>
    </row>
    <row r="289" spans="1:64" x14ac:dyDescent="0.3">
      <c r="A289" t="s">
        <v>950</v>
      </c>
      <c r="B289" s="1" t="s">
        <v>950</v>
      </c>
      <c r="C289" s="9" t="s">
        <v>951</v>
      </c>
      <c r="D289" s="1" t="s">
        <v>95</v>
      </c>
      <c r="E289" s="1" t="s">
        <v>135</v>
      </c>
      <c r="F289" s="10" t="s">
        <v>435</v>
      </c>
      <c r="G289" s="1">
        <v>0</v>
      </c>
      <c r="H289" s="1">
        <v>0.05</v>
      </c>
      <c r="I289" s="8">
        <v>44333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1275921.2999999998</v>
      </c>
      <c r="P289" s="6">
        <v>115897.80000000002</v>
      </c>
      <c r="Q289" s="6">
        <v>56960.77</v>
      </c>
      <c r="R289" s="6">
        <v>5174.01</v>
      </c>
      <c r="S289" s="7">
        <v>0</v>
      </c>
      <c r="T289" s="11">
        <v>69590.95</v>
      </c>
      <c r="U289" s="6">
        <v>62134.78</v>
      </c>
      <c r="V289" s="6">
        <v>0</v>
      </c>
      <c r="W289" s="6">
        <v>6959.1</v>
      </c>
      <c r="X289" s="46">
        <v>45784</v>
      </c>
      <c r="Y289" s="1">
        <v>25111754</v>
      </c>
      <c r="Z289" s="1">
        <v>25111755</v>
      </c>
      <c r="AI289" s="2">
        <v>0</v>
      </c>
      <c r="AJ289" s="2">
        <v>0</v>
      </c>
      <c r="AK289" s="2">
        <v>0</v>
      </c>
      <c r="AL289" s="2">
        <v>0</v>
      </c>
      <c r="AM289" s="5">
        <v>0</v>
      </c>
      <c r="AN289" s="12">
        <v>1275921.2999999998</v>
      </c>
      <c r="AO289" s="2">
        <v>115897.80000000002</v>
      </c>
      <c r="AP289" s="2">
        <v>56960.77</v>
      </c>
      <c r="AQ289" s="2">
        <v>5174.01</v>
      </c>
      <c r="AR289" s="5">
        <v>0</v>
      </c>
      <c r="AS289" s="2">
        <v>69590.95</v>
      </c>
      <c r="AT289" s="12">
        <v>62134.78</v>
      </c>
      <c r="AU289" s="2">
        <v>0</v>
      </c>
      <c r="AV289" s="5">
        <v>6959.1</v>
      </c>
      <c r="BL289" s="1" t="s">
        <v>436</v>
      </c>
    </row>
    <row r="290" spans="1:64" x14ac:dyDescent="0.3">
      <c r="A290" t="s">
        <v>960</v>
      </c>
      <c r="B290" s="1" t="s">
        <v>960</v>
      </c>
      <c r="C290" s="9" t="s">
        <v>961</v>
      </c>
      <c r="D290" s="1" t="s">
        <v>95</v>
      </c>
      <c r="E290" s="1" t="s">
        <v>135</v>
      </c>
      <c r="F290" s="10" t="s">
        <v>485</v>
      </c>
      <c r="G290" s="1">
        <v>0</v>
      </c>
      <c r="H290" s="1">
        <v>0.05</v>
      </c>
      <c r="I290" s="8">
        <v>44166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675149.39999999991</v>
      </c>
      <c r="P290" s="6">
        <v>15519.300000000001</v>
      </c>
      <c r="Q290" s="6">
        <v>30140.6</v>
      </c>
      <c r="R290" s="6">
        <v>692.83</v>
      </c>
      <c r="S290" s="7">
        <v>0</v>
      </c>
      <c r="T290" s="11">
        <v>34533.440000000002</v>
      </c>
      <c r="U290" s="6">
        <v>30833.43</v>
      </c>
      <c r="V290" s="6">
        <v>0</v>
      </c>
      <c r="W290" s="6">
        <v>3453.34</v>
      </c>
      <c r="X290" s="46">
        <v>45784</v>
      </c>
      <c r="Y290" s="1">
        <v>25111756</v>
      </c>
      <c r="Z290" s="1">
        <v>25111757</v>
      </c>
      <c r="AI290" s="2">
        <v>0</v>
      </c>
      <c r="AJ290" s="2">
        <v>0</v>
      </c>
      <c r="AK290" s="2">
        <v>0</v>
      </c>
      <c r="AL290" s="2">
        <v>0</v>
      </c>
      <c r="AM290" s="5">
        <v>0</v>
      </c>
      <c r="AN290" s="12">
        <v>675149.39999999991</v>
      </c>
      <c r="AO290" s="2">
        <v>15519.300000000001</v>
      </c>
      <c r="AP290" s="2">
        <v>30140.6</v>
      </c>
      <c r="AQ290" s="2">
        <v>692.83</v>
      </c>
      <c r="AR290" s="5">
        <v>0</v>
      </c>
      <c r="AS290" s="2">
        <v>34533.440000000002</v>
      </c>
      <c r="AT290" s="12">
        <v>30833.43</v>
      </c>
      <c r="AU290" s="2">
        <v>0</v>
      </c>
      <c r="AV290" s="5">
        <v>3453.34</v>
      </c>
      <c r="BL290" s="1" t="s">
        <v>302</v>
      </c>
    </row>
    <row r="291" spans="1:64" x14ac:dyDescent="0.3">
      <c r="A291" t="s">
        <v>964</v>
      </c>
      <c r="B291" s="1" t="s">
        <v>964</v>
      </c>
      <c r="C291" s="9" t="s">
        <v>965</v>
      </c>
      <c r="D291" s="1" t="s">
        <v>95</v>
      </c>
      <c r="E291" s="1" t="s">
        <v>88</v>
      </c>
      <c r="F291" s="10" t="s">
        <v>117</v>
      </c>
      <c r="G291" s="1">
        <v>0</v>
      </c>
      <c r="H291" s="1">
        <v>0</v>
      </c>
      <c r="I291" s="8">
        <v>45516</v>
      </c>
      <c r="J291" s="6">
        <v>698364.8</v>
      </c>
      <c r="K291" s="6">
        <v>143702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4210.33</v>
      </c>
      <c r="AI291" s="2">
        <v>698364.8</v>
      </c>
      <c r="AJ291" s="2">
        <v>143702</v>
      </c>
      <c r="AK291" s="2">
        <v>0</v>
      </c>
      <c r="AL291" s="2">
        <v>0</v>
      </c>
      <c r="AM291" s="5">
        <v>0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0</v>
      </c>
      <c r="AT291" s="12">
        <v>0</v>
      </c>
      <c r="AU291" s="2">
        <v>0</v>
      </c>
      <c r="AV291" s="5">
        <v>4210.33</v>
      </c>
      <c r="BL291" s="1" t="s">
        <v>90</v>
      </c>
    </row>
    <row r="292" spans="1:64" x14ac:dyDescent="0.3">
      <c r="A292" t="s">
        <v>970</v>
      </c>
      <c r="B292" s="1" t="s">
        <v>970</v>
      </c>
      <c r="C292" s="9" t="s">
        <v>971</v>
      </c>
      <c r="D292" s="1" t="s">
        <v>95</v>
      </c>
      <c r="E292" s="1" t="s">
        <v>135</v>
      </c>
      <c r="F292" s="10" t="s">
        <v>435</v>
      </c>
      <c r="G292" s="1">
        <v>0</v>
      </c>
      <c r="H292" s="1">
        <v>0.05</v>
      </c>
      <c r="I292" s="8">
        <v>44051</v>
      </c>
      <c r="J292" s="6">
        <v>287307</v>
      </c>
      <c r="K292" s="6">
        <v>44360</v>
      </c>
      <c r="L292" s="6">
        <v>12826.21</v>
      </c>
      <c r="M292" s="6">
        <v>1980.36</v>
      </c>
      <c r="N292" s="7">
        <v>2961.31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19900.03</v>
      </c>
      <c r="U292" s="6">
        <v>17767.88</v>
      </c>
      <c r="V292" s="6">
        <v>0</v>
      </c>
      <c r="W292" s="6">
        <v>1658.34</v>
      </c>
      <c r="X292" s="46">
        <v>45784</v>
      </c>
      <c r="Y292" s="1">
        <v>25111758</v>
      </c>
      <c r="Z292" s="1">
        <v>25111759</v>
      </c>
      <c r="AI292" s="2">
        <v>287307</v>
      </c>
      <c r="AJ292" s="2">
        <v>44360</v>
      </c>
      <c r="AK292" s="2">
        <v>12826.21</v>
      </c>
      <c r="AL292" s="2">
        <v>1980.36</v>
      </c>
      <c r="AM292" s="5">
        <v>2961.31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19900.03</v>
      </c>
      <c r="AT292" s="12">
        <v>17767.88</v>
      </c>
      <c r="AU292" s="2">
        <v>0</v>
      </c>
      <c r="AV292" s="5">
        <v>1658.34</v>
      </c>
      <c r="BL292" s="1" t="s">
        <v>137</v>
      </c>
    </row>
    <row r="293" spans="1:64" x14ac:dyDescent="0.3">
      <c r="A293" t="s">
        <v>974</v>
      </c>
      <c r="B293" s="1" t="s">
        <v>974</v>
      </c>
      <c r="C293" s="9" t="s">
        <v>975</v>
      </c>
      <c r="D293" s="1" t="s">
        <v>95</v>
      </c>
      <c r="E293" s="1" t="s">
        <v>135</v>
      </c>
      <c r="F293" s="10" t="s">
        <v>193</v>
      </c>
      <c r="G293" s="1">
        <v>0</v>
      </c>
      <c r="H293" s="1">
        <v>0.05</v>
      </c>
      <c r="I293" s="8">
        <v>44330</v>
      </c>
      <c r="J293" s="6">
        <v>382004.25</v>
      </c>
      <c r="K293" s="6">
        <v>138722</v>
      </c>
      <c r="L293" s="6">
        <v>17053.759999999998</v>
      </c>
      <c r="M293" s="6">
        <v>6192.95</v>
      </c>
      <c r="N293" s="7">
        <v>4649.34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31243.58</v>
      </c>
      <c r="U293" s="6">
        <v>27896.05</v>
      </c>
      <c r="V293" s="6">
        <v>0</v>
      </c>
      <c r="W293" s="6">
        <v>2603.63</v>
      </c>
      <c r="X293" s="46">
        <v>45784</v>
      </c>
      <c r="Y293" s="1">
        <v>25111760</v>
      </c>
      <c r="Z293" s="1">
        <v>25111761</v>
      </c>
      <c r="AI293" s="2">
        <v>382004.25</v>
      </c>
      <c r="AJ293" s="2">
        <v>138722</v>
      </c>
      <c r="AK293" s="2">
        <v>17053.759999999998</v>
      </c>
      <c r="AL293" s="2">
        <v>6192.95</v>
      </c>
      <c r="AM293" s="5">
        <v>4649.34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31243.58</v>
      </c>
      <c r="AT293" s="12">
        <v>27896.05</v>
      </c>
      <c r="AU293" s="2">
        <v>0</v>
      </c>
      <c r="AV293" s="5">
        <v>2603.63</v>
      </c>
      <c r="BL293" s="1" t="s">
        <v>137</v>
      </c>
    </row>
    <row r="294" spans="1:64" x14ac:dyDescent="0.3">
      <c r="A294" t="s">
        <v>976</v>
      </c>
      <c r="B294" s="1" t="s">
        <v>976</v>
      </c>
      <c r="C294" s="9" t="s">
        <v>977</v>
      </c>
      <c r="D294" s="1" t="s">
        <v>95</v>
      </c>
      <c r="E294" s="1" t="s">
        <v>135</v>
      </c>
      <c r="F294" s="10" t="s">
        <v>193</v>
      </c>
      <c r="G294" s="1">
        <v>0</v>
      </c>
      <c r="H294" s="1">
        <v>0.05</v>
      </c>
      <c r="I294" s="8">
        <v>44441</v>
      </c>
      <c r="J294" s="6">
        <v>905522</v>
      </c>
      <c r="K294" s="6">
        <v>149212</v>
      </c>
      <c r="L294" s="6">
        <v>40425.089999999997</v>
      </c>
      <c r="M294" s="6">
        <v>6661.25</v>
      </c>
      <c r="N294" s="7">
        <v>9417.27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63284.04</v>
      </c>
      <c r="U294" s="6">
        <v>56503.61</v>
      </c>
      <c r="V294" s="6">
        <v>0</v>
      </c>
      <c r="W294" s="6">
        <v>5273.67</v>
      </c>
      <c r="X294" s="46">
        <v>45784</v>
      </c>
      <c r="Y294" s="1">
        <v>25111762</v>
      </c>
      <c r="Z294" s="1">
        <v>25111763</v>
      </c>
      <c r="AI294" s="2">
        <v>905522</v>
      </c>
      <c r="AJ294" s="2">
        <v>149212</v>
      </c>
      <c r="AK294" s="2">
        <v>40425.089999999997</v>
      </c>
      <c r="AL294" s="2">
        <v>6661.25</v>
      </c>
      <c r="AM294" s="5">
        <v>9417.27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63284.04</v>
      </c>
      <c r="AT294" s="12">
        <v>56503.61</v>
      </c>
      <c r="AU294" s="2">
        <v>0</v>
      </c>
      <c r="AV294" s="5">
        <v>5273.67</v>
      </c>
      <c r="BL294" s="1" t="s">
        <v>436</v>
      </c>
    </row>
    <row r="295" spans="1:64" x14ac:dyDescent="0.3">
      <c r="A295" t="s">
        <v>978</v>
      </c>
      <c r="B295" s="1" t="s">
        <v>978</v>
      </c>
      <c r="C295" s="9" t="s">
        <v>979</v>
      </c>
      <c r="D295" s="1" t="s">
        <v>95</v>
      </c>
      <c r="E295" s="1" t="s">
        <v>135</v>
      </c>
      <c r="F295" s="10" t="s">
        <v>193</v>
      </c>
      <c r="G295" s="1">
        <v>0</v>
      </c>
      <c r="H295" s="1">
        <v>0.05</v>
      </c>
      <c r="I295" s="8">
        <v>44239</v>
      </c>
      <c r="J295" s="6">
        <v>532861</v>
      </c>
      <c r="K295" s="6">
        <v>46901</v>
      </c>
      <c r="L295" s="6">
        <v>23788.44</v>
      </c>
      <c r="M295" s="6">
        <v>2093.79</v>
      </c>
      <c r="N295" s="7">
        <v>5176.45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34785.72</v>
      </c>
      <c r="U295" s="6">
        <v>31058.68</v>
      </c>
      <c r="V295" s="6">
        <v>0</v>
      </c>
      <c r="W295" s="6">
        <v>2898.81</v>
      </c>
      <c r="X295" s="46">
        <v>45784</v>
      </c>
      <c r="Y295" s="1">
        <v>25111764</v>
      </c>
      <c r="Z295" s="1">
        <v>25111765</v>
      </c>
      <c r="AI295" s="2">
        <v>532861</v>
      </c>
      <c r="AJ295" s="2">
        <v>46901</v>
      </c>
      <c r="AK295" s="2">
        <v>23788.44</v>
      </c>
      <c r="AL295" s="2">
        <v>2093.79</v>
      </c>
      <c r="AM295" s="5">
        <v>5176.45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34785.72</v>
      </c>
      <c r="AT295" s="12">
        <v>31058.68</v>
      </c>
      <c r="AU295" s="2">
        <v>0</v>
      </c>
      <c r="AV295" s="5">
        <v>2898.81</v>
      </c>
      <c r="BL295" s="1" t="s">
        <v>137</v>
      </c>
    </row>
    <row r="296" spans="1:64" x14ac:dyDescent="0.3">
      <c r="A296" t="s">
        <v>980</v>
      </c>
      <c r="B296" s="1" t="s">
        <v>980</v>
      </c>
      <c r="C296" s="9" t="s">
        <v>981</v>
      </c>
      <c r="D296" s="1" t="s">
        <v>95</v>
      </c>
      <c r="E296" s="1" t="s">
        <v>135</v>
      </c>
      <c r="F296" s="10" t="s">
        <v>435</v>
      </c>
      <c r="G296" s="1">
        <v>0</v>
      </c>
      <c r="H296" s="1">
        <v>0.05</v>
      </c>
      <c r="I296" s="8">
        <v>44092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372466.2</v>
      </c>
      <c r="P296" s="6">
        <v>38146.799999999996</v>
      </c>
      <c r="Q296" s="6">
        <v>16627.96</v>
      </c>
      <c r="R296" s="6">
        <v>1702.98</v>
      </c>
      <c r="S296" s="7">
        <v>0</v>
      </c>
      <c r="T296" s="11">
        <v>20530.650000000001</v>
      </c>
      <c r="U296" s="6">
        <v>18330.939999999999</v>
      </c>
      <c r="V296" s="6">
        <v>0</v>
      </c>
      <c r="W296" s="6">
        <v>2053.06</v>
      </c>
      <c r="X296" s="46">
        <v>45784</v>
      </c>
      <c r="Y296" s="1">
        <v>25111766</v>
      </c>
      <c r="Z296" s="1">
        <v>25111767</v>
      </c>
      <c r="AI296" s="2">
        <v>0</v>
      </c>
      <c r="AJ296" s="2">
        <v>0</v>
      </c>
      <c r="AK296" s="2">
        <v>0</v>
      </c>
      <c r="AL296" s="2">
        <v>0</v>
      </c>
      <c r="AM296" s="5">
        <v>0</v>
      </c>
      <c r="AN296" s="12">
        <v>372466.2</v>
      </c>
      <c r="AO296" s="2">
        <v>38146.799999999996</v>
      </c>
      <c r="AP296" s="2">
        <v>16627.96</v>
      </c>
      <c r="AQ296" s="2">
        <v>1702.98</v>
      </c>
      <c r="AR296" s="5">
        <v>0</v>
      </c>
      <c r="AS296" s="2">
        <v>20530.650000000001</v>
      </c>
      <c r="AT296" s="12">
        <v>18330.939999999999</v>
      </c>
      <c r="AU296" s="2">
        <v>0</v>
      </c>
      <c r="AV296" s="5">
        <v>2053.06</v>
      </c>
      <c r="BL296" s="1" t="s">
        <v>137</v>
      </c>
    </row>
    <row r="297" spans="1:64" x14ac:dyDescent="0.3">
      <c r="A297" t="s">
        <v>982</v>
      </c>
      <c r="B297" s="1" t="s">
        <v>982</v>
      </c>
      <c r="C297" s="9" t="s">
        <v>983</v>
      </c>
      <c r="D297" s="1" t="s">
        <v>95</v>
      </c>
      <c r="E297" s="1" t="s">
        <v>135</v>
      </c>
      <c r="F297" s="10" t="s">
        <v>435</v>
      </c>
      <c r="G297" s="1">
        <v>0</v>
      </c>
      <c r="H297" s="1">
        <v>0.05</v>
      </c>
      <c r="I297" s="8">
        <v>44170</v>
      </c>
      <c r="J297" s="6">
        <v>502865</v>
      </c>
      <c r="K297" s="6">
        <v>130085</v>
      </c>
      <c r="L297" s="6">
        <v>22449.33</v>
      </c>
      <c r="M297" s="6">
        <v>5807.37</v>
      </c>
      <c r="N297" s="7">
        <v>5651.34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37977</v>
      </c>
      <c r="U297" s="6">
        <v>33908.04</v>
      </c>
      <c r="V297" s="6">
        <v>0</v>
      </c>
      <c r="W297" s="6">
        <v>3164.75</v>
      </c>
      <c r="X297" s="46">
        <v>45784</v>
      </c>
      <c r="Y297" s="1">
        <v>25111768</v>
      </c>
      <c r="Z297" s="1">
        <v>25111769</v>
      </c>
      <c r="AI297" s="2">
        <v>502865</v>
      </c>
      <c r="AJ297" s="2">
        <v>130085</v>
      </c>
      <c r="AK297" s="2">
        <v>22449.33</v>
      </c>
      <c r="AL297" s="2">
        <v>5807.37</v>
      </c>
      <c r="AM297" s="5">
        <v>5651.34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37977</v>
      </c>
      <c r="AT297" s="12">
        <v>33908.04</v>
      </c>
      <c r="AU297" s="2">
        <v>0</v>
      </c>
      <c r="AV297" s="5">
        <v>3164.75</v>
      </c>
      <c r="BL297" s="1" t="s">
        <v>302</v>
      </c>
    </row>
    <row r="298" spans="1:64" x14ac:dyDescent="0.3">
      <c r="A298" t="s">
        <v>986</v>
      </c>
      <c r="B298" s="1" t="s">
        <v>986</v>
      </c>
      <c r="C298" s="9" t="s">
        <v>987</v>
      </c>
      <c r="D298" s="1" t="s">
        <v>95</v>
      </c>
      <c r="E298" s="1" t="s">
        <v>128</v>
      </c>
      <c r="F298" s="10" t="s">
        <v>988</v>
      </c>
      <c r="G298" s="1">
        <v>0</v>
      </c>
      <c r="H298" s="1">
        <v>0.05</v>
      </c>
      <c r="I298" s="8">
        <v>44204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303675.60000000003</v>
      </c>
      <c r="P298" s="6">
        <v>34714.5</v>
      </c>
      <c r="Q298" s="6">
        <v>13556.95</v>
      </c>
      <c r="R298" s="6">
        <v>1549.75</v>
      </c>
      <c r="S298" s="7">
        <v>0</v>
      </c>
      <c r="T298" s="11">
        <v>16919.5</v>
      </c>
      <c r="U298" s="6">
        <v>15106.7</v>
      </c>
      <c r="V298" s="6">
        <v>0</v>
      </c>
      <c r="W298" s="6">
        <v>1691.95</v>
      </c>
      <c r="X298" s="46">
        <v>45784</v>
      </c>
      <c r="Y298" s="1">
        <v>25111770</v>
      </c>
      <c r="Z298" s="1">
        <v>25111771</v>
      </c>
      <c r="AI298" s="2">
        <v>0</v>
      </c>
      <c r="AJ298" s="2">
        <v>0</v>
      </c>
      <c r="AK298" s="2">
        <v>0</v>
      </c>
      <c r="AL298" s="2">
        <v>0</v>
      </c>
      <c r="AM298" s="5">
        <v>0</v>
      </c>
      <c r="AN298" s="12">
        <v>303675.60000000003</v>
      </c>
      <c r="AO298" s="2">
        <v>34714.5</v>
      </c>
      <c r="AP298" s="2">
        <v>13556.95</v>
      </c>
      <c r="AQ298" s="2">
        <v>1549.75</v>
      </c>
      <c r="AR298" s="5">
        <v>0</v>
      </c>
      <c r="AS298" s="2">
        <v>16919.5</v>
      </c>
      <c r="AT298" s="12">
        <v>15106.7</v>
      </c>
      <c r="AU298" s="2">
        <v>0</v>
      </c>
      <c r="AV298" s="5">
        <v>1691.95</v>
      </c>
      <c r="BL298" s="1" t="s">
        <v>130</v>
      </c>
    </row>
    <row r="299" spans="1:64" x14ac:dyDescent="0.3">
      <c r="A299" t="s">
        <v>989</v>
      </c>
      <c r="B299" s="1" t="s">
        <v>989</v>
      </c>
      <c r="C299" s="9" t="s">
        <v>990</v>
      </c>
      <c r="D299" s="1" t="s">
        <v>95</v>
      </c>
      <c r="E299" s="1" t="s">
        <v>128</v>
      </c>
      <c r="F299" s="10" t="s">
        <v>129</v>
      </c>
      <c r="G299" s="1">
        <v>0</v>
      </c>
      <c r="H299" s="1">
        <v>0.05</v>
      </c>
      <c r="I299" s="8">
        <v>44482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705836.99999999988</v>
      </c>
      <c r="P299" s="6">
        <v>61547.399999999994</v>
      </c>
      <c r="Q299" s="6">
        <v>31510.58</v>
      </c>
      <c r="R299" s="6">
        <v>2747.65</v>
      </c>
      <c r="S299" s="7">
        <v>0</v>
      </c>
      <c r="T299" s="11">
        <v>38369.22</v>
      </c>
      <c r="U299" s="6">
        <v>34258.230000000003</v>
      </c>
      <c r="V299" s="6">
        <v>0</v>
      </c>
      <c r="W299" s="6">
        <v>3836.92</v>
      </c>
      <c r="X299" s="46">
        <v>45784</v>
      </c>
      <c r="Y299" s="1">
        <v>25111772</v>
      </c>
      <c r="Z299" s="1">
        <v>25111773</v>
      </c>
      <c r="AI299" s="2">
        <v>0</v>
      </c>
      <c r="AJ299" s="2">
        <v>0</v>
      </c>
      <c r="AK299" s="2">
        <v>0</v>
      </c>
      <c r="AL299" s="2">
        <v>0</v>
      </c>
      <c r="AM299" s="5">
        <v>0</v>
      </c>
      <c r="AN299" s="12">
        <v>705836.99999999988</v>
      </c>
      <c r="AO299" s="2">
        <v>61547.399999999994</v>
      </c>
      <c r="AP299" s="2">
        <v>31510.58</v>
      </c>
      <c r="AQ299" s="2">
        <v>2747.65</v>
      </c>
      <c r="AR299" s="5">
        <v>0</v>
      </c>
      <c r="AS299" s="2">
        <v>38369.22</v>
      </c>
      <c r="AT299" s="12">
        <v>34258.230000000003</v>
      </c>
      <c r="AU299" s="2">
        <v>0</v>
      </c>
      <c r="AV299" s="5">
        <v>3836.92</v>
      </c>
      <c r="BL299" s="1" t="s">
        <v>130</v>
      </c>
    </row>
    <row r="300" spans="1:64" x14ac:dyDescent="0.3">
      <c r="A300" t="s">
        <v>991</v>
      </c>
      <c r="B300" s="1" t="s">
        <v>991</v>
      </c>
      <c r="C300" s="9" t="s">
        <v>992</v>
      </c>
      <c r="D300" s="1" t="s">
        <v>95</v>
      </c>
      <c r="E300" s="1" t="s">
        <v>128</v>
      </c>
      <c r="F300" s="10" t="s">
        <v>355</v>
      </c>
      <c r="G300" s="1">
        <v>0</v>
      </c>
      <c r="H300" s="1">
        <v>0.05</v>
      </c>
      <c r="I300" s="8">
        <v>44326</v>
      </c>
      <c r="J300" s="6">
        <v>637701</v>
      </c>
      <c r="K300" s="6">
        <v>66958</v>
      </c>
      <c r="L300" s="6">
        <v>28468.789999999997</v>
      </c>
      <c r="M300" s="6">
        <v>2989.2000000000003</v>
      </c>
      <c r="N300" s="7">
        <v>6291.6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42279.54</v>
      </c>
      <c r="U300" s="6">
        <v>37749.589999999997</v>
      </c>
      <c r="V300" s="6">
        <v>0</v>
      </c>
      <c r="W300" s="6">
        <v>3523.29</v>
      </c>
      <c r="X300" s="46">
        <v>45784</v>
      </c>
      <c r="Y300" s="1">
        <v>25111774</v>
      </c>
      <c r="Z300" s="1">
        <v>25111775</v>
      </c>
      <c r="AI300" s="2">
        <v>637701</v>
      </c>
      <c r="AJ300" s="2">
        <v>66958</v>
      </c>
      <c r="AK300" s="2">
        <v>28468.789999999997</v>
      </c>
      <c r="AL300" s="2">
        <v>2989.2000000000003</v>
      </c>
      <c r="AM300" s="5">
        <v>6291.6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42279.54</v>
      </c>
      <c r="AT300" s="12">
        <v>37749.589999999997</v>
      </c>
      <c r="AU300" s="2">
        <v>0</v>
      </c>
      <c r="AV300" s="5">
        <v>3523.29</v>
      </c>
      <c r="BL300" s="1" t="s">
        <v>130</v>
      </c>
    </row>
    <row r="301" spans="1:64" x14ac:dyDescent="0.3">
      <c r="A301" t="s">
        <v>1005</v>
      </c>
      <c r="B301" s="1" t="s">
        <v>1005</v>
      </c>
      <c r="C301" s="9" t="s">
        <v>1006</v>
      </c>
      <c r="D301" s="1" t="s">
        <v>95</v>
      </c>
      <c r="E301" s="1" t="s">
        <v>135</v>
      </c>
      <c r="F301" s="10" t="s">
        <v>435</v>
      </c>
      <c r="G301" s="1">
        <v>0</v>
      </c>
      <c r="H301" s="1">
        <v>0.05</v>
      </c>
      <c r="I301" s="8">
        <v>44354</v>
      </c>
      <c r="J301" s="6">
        <v>327238</v>
      </c>
      <c r="K301" s="6">
        <v>86955</v>
      </c>
      <c r="L301" s="6">
        <v>14608.84</v>
      </c>
      <c r="M301" s="6">
        <v>3881.92</v>
      </c>
      <c r="N301" s="7">
        <v>3698.15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24851.58</v>
      </c>
      <c r="U301" s="6">
        <v>22188.910000000003</v>
      </c>
      <c r="V301" s="6">
        <v>0</v>
      </c>
      <c r="W301" s="6">
        <v>2070.96</v>
      </c>
      <c r="X301" s="46">
        <v>45784</v>
      </c>
      <c r="Y301" s="1">
        <v>25111776</v>
      </c>
      <c r="Z301" s="1">
        <v>25111777</v>
      </c>
      <c r="AI301" s="2">
        <v>327238</v>
      </c>
      <c r="AJ301" s="2">
        <v>86955</v>
      </c>
      <c r="AK301" s="2">
        <v>14608.84</v>
      </c>
      <c r="AL301" s="2">
        <v>3881.92</v>
      </c>
      <c r="AM301" s="5">
        <v>3698.15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24851.58</v>
      </c>
      <c r="AT301" s="12">
        <v>22188.910000000003</v>
      </c>
      <c r="AU301" s="2">
        <v>0</v>
      </c>
      <c r="AV301" s="5">
        <v>2070.96</v>
      </c>
      <c r="BL301" s="1" t="s">
        <v>137</v>
      </c>
    </row>
    <row r="302" spans="1:64" x14ac:dyDescent="0.3">
      <c r="A302" t="s">
        <v>1007</v>
      </c>
      <c r="B302" s="1" t="s">
        <v>1007</v>
      </c>
      <c r="C302" s="9" t="s">
        <v>1008</v>
      </c>
      <c r="D302" s="1" t="s">
        <v>95</v>
      </c>
      <c r="E302" s="1" t="s">
        <v>135</v>
      </c>
      <c r="F302" s="10" t="s">
        <v>435</v>
      </c>
      <c r="G302" s="1">
        <v>0</v>
      </c>
      <c r="H302" s="1">
        <v>0.05</v>
      </c>
      <c r="I302" s="8">
        <v>44361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453136.8</v>
      </c>
      <c r="P302" s="6">
        <v>33670.800000000003</v>
      </c>
      <c r="Q302" s="6">
        <v>20229.32</v>
      </c>
      <c r="R302" s="6">
        <v>1503.16</v>
      </c>
      <c r="S302" s="7">
        <v>0</v>
      </c>
      <c r="T302" s="11">
        <v>24340.38</v>
      </c>
      <c r="U302" s="6">
        <v>21732.48</v>
      </c>
      <c r="V302" s="6">
        <v>0</v>
      </c>
      <c r="W302" s="6">
        <v>2434.04</v>
      </c>
      <c r="X302" s="46">
        <v>45784</v>
      </c>
      <c r="Y302" s="1">
        <v>25111778</v>
      </c>
      <c r="Z302" s="1">
        <v>25111779</v>
      </c>
      <c r="AI302" s="2">
        <v>0</v>
      </c>
      <c r="AJ302" s="2">
        <v>0</v>
      </c>
      <c r="AK302" s="2">
        <v>0</v>
      </c>
      <c r="AL302" s="2">
        <v>0</v>
      </c>
      <c r="AM302" s="5">
        <v>0</v>
      </c>
      <c r="AN302" s="12">
        <v>453136.8</v>
      </c>
      <c r="AO302" s="2">
        <v>33670.800000000003</v>
      </c>
      <c r="AP302" s="2">
        <v>20229.32</v>
      </c>
      <c r="AQ302" s="2">
        <v>1503.16</v>
      </c>
      <c r="AR302" s="5">
        <v>0</v>
      </c>
      <c r="AS302" s="2">
        <v>24340.38</v>
      </c>
      <c r="AT302" s="12">
        <v>21732.48</v>
      </c>
      <c r="AU302" s="2">
        <v>0</v>
      </c>
      <c r="AV302" s="5">
        <v>2434.04</v>
      </c>
      <c r="BL302" s="1" t="s">
        <v>137</v>
      </c>
    </row>
    <row r="303" spans="1:64" x14ac:dyDescent="0.3">
      <c r="A303" t="s">
        <v>1015</v>
      </c>
      <c r="B303" s="1" t="s">
        <v>1015</v>
      </c>
      <c r="C303" s="9" t="s">
        <v>1016</v>
      </c>
      <c r="D303" s="1" t="s">
        <v>95</v>
      </c>
      <c r="E303" s="1" t="s">
        <v>128</v>
      </c>
      <c r="F303" s="10" t="s">
        <v>147</v>
      </c>
      <c r="G303" s="1">
        <v>4.4999999999999998E-2</v>
      </c>
      <c r="H303" s="1">
        <v>0.05</v>
      </c>
      <c r="I303" s="8">
        <v>45559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555065.4</v>
      </c>
      <c r="P303" s="6">
        <v>72449.7</v>
      </c>
      <c r="Q303" s="6">
        <v>24779.7</v>
      </c>
      <c r="R303" s="6">
        <v>3234.36</v>
      </c>
      <c r="S303" s="7">
        <v>4332.05</v>
      </c>
      <c r="T303" s="11">
        <v>36227.64</v>
      </c>
      <c r="U303" s="6">
        <v>32346.11</v>
      </c>
      <c r="V303" s="6">
        <v>0</v>
      </c>
      <c r="W303" s="6">
        <v>3137.58</v>
      </c>
      <c r="X303" s="46">
        <v>45784</v>
      </c>
      <c r="Y303" s="1">
        <v>25111780</v>
      </c>
      <c r="Z303" s="1">
        <v>25111781</v>
      </c>
      <c r="AI303" s="2">
        <v>0</v>
      </c>
      <c r="AJ303" s="2">
        <v>0</v>
      </c>
      <c r="AK303" s="2">
        <v>0</v>
      </c>
      <c r="AL303" s="2">
        <v>0</v>
      </c>
      <c r="AM303" s="5">
        <v>0</v>
      </c>
      <c r="AN303" s="12">
        <v>555065.4</v>
      </c>
      <c r="AO303" s="2">
        <v>72449.7</v>
      </c>
      <c r="AP303" s="2">
        <v>24779.7</v>
      </c>
      <c r="AQ303" s="2">
        <v>3234.36</v>
      </c>
      <c r="AR303" s="5">
        <v>4332.05</v>
      </c>
      <c r="AS303" s="2">
        <v>36227.64</v>
      </c>
      <c r="AT303" s="12">
        <v>32346.11</v>
      </c>
      <c r="AU303" s="2">
        <v>0</v>
      </c>
      <c r="AV303" s="5">
        <v>3137.58</v>
      </c>
      <c r="BL303" s="1" t="s">
        <v>130</v>
      </c>
    </row>
    <row r="304" spans="1:64" x14ac:dyDescent="0.3">
      <c r="A304" t="s">
        <v>1033</v>
      </c>
      <c r="B304" s="1" t="s">
        <v>1033</v>
      </c>
      <c r="C304" s="9" t="s">
        <v>1034</v>
      </c>
      <c r="D304" s="1" t="s">
        <v>95</v>
      </c>
      <c r="E304" s="1" t="s">
        <v>135</v>
      </c>
      <c r="F304" s="10" t="s">
        <v>435</v>
      </c>
      <c r="G304" s="1">
        <v>0</v>
      </c>
      <c r="H304" s="1">
        <v>0.05</v>
      </c>
      <c r="I304" s="8">
        <v>44497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487331.1</v>
      </c>
      <c r="P304" s="6">
        <v>37772.69999999999</v>
      </c>
      <c r="Q304" s="6">
        <v>21755.86</v>
      </c>
      <c r="R304" s="6">
        <v>1686.28</v>
      </c>
      <c r="S304" s="7">
        <v>0</v>
      </c>
      <c r="T304" s="11">
        <v>26255.200000000001</v>
      </c>
      <c r="U304" s="6">
        <v>23442.14</v>
      </c>
      <c r="V304" s="6">
        <v>0</v>
      </c>
      <c r="W304" s="6">
        <v>2625.52</v>
      </c>
      <c r="X304" s="46">
        <v>45784</v>
      </c>
      <c r="Y304" s="1">
        <v>25111782</v>
      </c>
      <c r="Z304" s="1">
        <v>25111783</v>
      </c>
      <c r="AI304" s="2">
        <v>0</v>
      </c>
      <c r="AJ304" s="2">
        <v>0</v>
      </c>
      <c r="AK304" s="2">
        <v>0</v>
      </c>
      <c r="AL304" s="2">
        <v>0</v>
      </c>
      <c r="AM304" s="5">
        <v>0</v>
      </c>
      <c r="AN304" s="12">
        <v>487331.1</v>
      </c>
      <c r="AO304" s="2">
        <v>37772.69999999999</v>
      </c>
      <c r="AP304" s="2">
        <v>21755.86</v>
      </c>
      <c r="AQ304" s="2">
        <v>1686.28</v>
      </c>
      <c r="AR304" s="5">
        <v>0</v>
      </c>
      <c r="AS304" s="2">
        <v>26255.200000000001</v>
      </c>
      <c r="AT304" s="12">
        <v>23442.14</v>
      </c>
      <c r="AU304" s="2">
        <v>0</v>
      </c>
      <c r="AV304" s="5">
        <v>2625.52</v>
      </c>
      <c r="BL304" s="1" t="s">
        <v>137</v>
      </c>
    </row>
    <row r="305" spans="1:64" x14ac:dyDescent="0.3">
      <c r="A305" t="s">
        <v>1035</v>
      </c>
      <c r="B305" s="1" t="s">
        <v>1035</v>
      </c>
      <c r="C305" s="9" t="s">
        <v>1036</v>
      </c>
      <c r="D305" s="1" t="s">
        <v>95</v>
      </c>
      <c r="E305" s="1" t="s">
        <v>135</v>
      </c>
      <c r="F305" s="10" t="s">
        <v>435</v>
      </c>
      <c r="G305" s="1">
        <v>0</v>
      </c>
      <c r="H305" s="1">
        <v>0.05</v>
      </c>
      <c r="I305" s="8">
        <v>44540</v>
      </c>
      <c r="J305" s="6">
        <v>334788</v>
      </c>
      <c r="K305" s="6">
        <v>50210</v>
      </c>
      <c r="L305" s="6">
        <v>14945.89</v>
      </c>
      <c r="M305" s="6">
        <v>2241.52</v>
      </c>
      <c r="N305" s="7">
        <v>3437.48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23099.88</v>
      </c>
      <c r="U305" s="6">
        <v>20624.89</v>
      </c>
      <c r="V305" s="6">
        <v>0</v>
      </c>
      <c r="W305" s="6">
        <v>1924.99</v>
      </c>
      <c r="X305" s="46">
        <v>45784</v>
      </c>
      <c r="Y305" s="1">
        <v>25111784</v>
      </c>
      <c r="Z305" s="1">
        <v>25111785</v>
      </c>
      <c r="AI305" s="2">
        <v>334788</v>
      </c>
      <c r="AJ305" s="2">
        <v>50210</v>
      </c>
      <c r="AK305" s="2">
        <v>14945.89</v>
      </c>
      <c r="AL305" s="2">
        <v>2241.52</v>
      </c>
      <c r="AM305" s="5">
        <v>3437.48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23099.88</v>
      </c>
      <c r="AT305" s="12">
        <v>20624.89</v>
      </c>
      <c r="AU305" s="2">
        <v>0</v>
      </c>
      <c r="AV305" s="5">
        <v>1924.99</v>
      </c>
      <c r="BL305" s="1" t="s">
        <v>137</v>
      </c>
    </row>
    <row r="306" spans="1:64" x14ac:dyDescent="0.3">
      <c r="A306" t="s">
        <v>1037</v>
      </c>
      <c r="B306" s="1" t="s">
        <v>1037</v>
      </c>
      <c r="C306" s="9" t="s">
        <v>1038</v>
      </c>
      <c r="D306" s="1" t="s">
        <v>95</v>
      </c>
      <c r="E306" s="1" t="s">
        <v>135</v>
      </c>
      <c r="F306" s="10" t="s">
        <v>435</v>
      </c>
      <c r="G306" s="1">
        <v>0</v>
      </c>
      <c r="H306" s="1">
        <v>0.05</v>
      </c>
      <c r="I306" s="8">
        <v>44642</v>
      </c>
      <c r="J306" s="6">
        <v>406486</v>
      </c>
      <c r="K306" s="6">
        <v>73030</v>
      </c>
      <c r="L306" s="6">
        <v>18146.7</v>
      </c>
      <c r="M306" s="6">
        <v>3260.27</v>
      </c>
      <c r="N306" s="7">
        <v>4281.3900000000003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28770.959999999999</v>
      </c>
      <c r="U306" s="6">
        <v>25688.36</v>
      </c>
      <c r="V306" s="6">
        <v>0</v>
      </c>
      <c r="W306" s="6">
        <v>2397.58</v>
      </c>
      <c r="X306" s="46">
        <v>45784</v>
      </c>
      <c r="Y306" s="1">
        <v>25111786</v>
      </c>
      <c r="Z306" s="1">
        <v>25111787</v>
      </c>
      <c r="AI306" s="2">
        <v>406486</v>
      </c>
      <c r="AJ306" s="2">
        <v>73030</v>
      </c>
      <c r="AK306" s="2">
        <v>18146.7</v>
      </c>
      <c r="AL306" s="2">
        <v>3260.27</v>
      </c>
      <c r="AM306" s="5">
        <v>4281.3900000000003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28770.959999999999</v>
      </c>
      <c r="AT306" s="12">
        <v>25688.36</v>
      </c>
      <c r="AU306" s="2">
        <v>0</v>
      </c>
      <c r="AV306" s="5">
        <v>2397.58</v>
      </c>
      <c r="BL306" s="1" t="s">
        <v>137</v>
      </c>
    </row>
    <row r="307" spans="1:64" x14ac:dyDescent="0.3">
      <c r="A307" t="s">
        <v>1039</v>
      </c>
      <c r="B307" s="1" t="s">
        <v>1039</v>
      </c>
      <c r="C307" s="9" t="s">
        <v>1040</v>
      </c>
      <c r="D307" s="1" t="s">
        <v>95</v>
      </c>
      <c r="E307" s="1" t="s">
        <v>135</v>
      </c>
      <c r="F307" s="10" t="s">
        <v>193</v>
      </c>
      <c r="G307" s="1">
        <v>0</v>
      </c>
      <c r="H307" s="1">
        <v>0.05</v>
      </c>
      <c r="I307" s="8">
        <v>44572</v>
      </c>
      <c r="J307" s="6">
        <v>333406.5</v>
      </c>
      <c r="K307" s="6">
        <v>102455</v>
      </c>
      <c r="L307" s="6">
        <v>14884.21</v>
      </c>
      <c r="M307" s="6">
        <v>4573.88</v>
      </c>
      <c r="N307" s="7">
        <v>3891.62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26151.68</v>
      </c>
      <c r="U307" s="6">
        <v>23349.71</v>
      </c>
      <c r="V307" s="6">
        <v>0</v>
      </c>
      <c r="W307" s="6">
        <v>2179.31</v>
      </c>
      <c r="X307" s="46">
        <v>45784</v>
      </c>
      <c r="Y307" s="1">
        <v>25111788</v>
      </c>
      <c r="Z307" s="1">
        <v>25111789</v>
      </c>
      <c r="AI307" s="2">
        <v>333406.5</v>
      </c>
      <c r="AJ307" s="2">
        <v>102455</v>
      </c>
      <c r="AK307" s="2">
        <v>14884.21</v>
      </c>
      <c r="AL307" s="2">
        <v>4573.88</v>
      </c>
      <c r="AM307" s="5">
        <v>3891.62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26151.68</v>
      </c>
      <c r="AT307" s="12">
        <v>23349.71</v>
      </c>
      <c r="AU307" s="2">
        <v>0</v>
      </c>
      <c r="AV307" s="5">
        <v>2179.31</v>
      </c>
      <c r="BL307" s="1" t="s">
        <v>137</v>
      </c>
    </row>
    <row r="308" spans="1:64" x14ac:dyDescent="0.3">
      <c r="A308" t="s">
        <v>1041</v>
      </c>
      <c r="B308" s="1" t="s">
        <v>1041</v>
      </c>
      <c r="C308" s="9" t="s">
        <v>1042</v>
      </c>
      <c r="D308" s="1" t="s">
        <v>95</v>
      </c>
      <c r="E308" s="1" t="s">
        <v>135</v>
      </c>
      <c r="F308" s="10" t="s">
        <v>193</v>
      </c>
      <c r="G308" s="1">
        <v>0</v>
      </c>
      <c r="H308" s="1">
        <v>0.05</v>
      </c>
      <c r="I308" s="8">
        <v>44548</v>
      </c>
      <c r="J308" s="6">
        <v>310090</v>
      </c>
      <c r="K308" s="6">
        <v>85523</v>
      </c>
      <c r="L308" s="6">
        <v>13843.3</v>
      </c>
      <c r="M308" s="6">
        <v>3817.99</v>
      </c>
      <c r="N308" s="7">
        <v>3532.26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23736.78</v>
      </c>
      <c r="U308" s="6">
        <v>21193.550000000003</v>
      </c>
      <c r="V308" s="6">
        <v>0</v>
      </c>
      <c r="W308" s="6">
        <v>1978.06</v>
      </c>
      <c r="X308" s="46">
        <v>45784</v>
      </c>
      <c r="Y308" s="1">
        <v>25111790</v>
      </c>
      <c r="Z308" s="1">
        <v>25111791</v>
      </c>
      <c r="AI308" s="2">
        <v>310090</v>
      </c>
      <c r="AJ308" s="2">
        <v>85523</v>
      </c>
      <c r="AK308" s="2">
        <v>13843.3</v>
      </c>
      <c r="AL308" s="2">
        <v>3817.99</v>
      </c>
      <c r="AM308" s="5">
        <v>3532.26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23736.78</v>
      </c>
      <c r="AT308" s="12">
        <v>21193.550000000003</v>
      </c>
      <c r="AU308" s="2">
        <v>0</v>
      </c>
      <c r="AV308" s="5">
        <v>1978.06</v>
      </c>
      <c r="BL308" s="1" t="s">
        <v>137</v>
      </c>
    </row>
    <row r="309" spans="1:64" x14ac:dyDescent="0.3">
      <c r="A309" t="s">
        <v>1043</v>
      </c>
      <c r="B309" s="1" t="s">
        <v>1043</v>
      </c>
      <c r="C309" s="9" t="s">
        <v>1044</v>
      </c>
      <c r="D309" s="1" t="s">
        <v>95</v>
      </c>
      <c r="E309" s="1" t="s">
        <v>128</v>
      </c>
      <c r="F309" s="10" t="s">
        <v>309</v>
      </c>
      <c r="G309" s="1">
        <v>0</v>
      </c>
      <c r="H309" s="1">
        <v>0.05</v>
      </c>
      <c r="I309" s="8">
        <v>44851</v>
      </c>
      <c r="J309" s="6">
        <v>647768</v>
      </c>
      <c r="K309" s="6">
        <v>0</v>
      </c>
      <c r="L309" s="6">
        <v>28918.21</v>
      </c>
      <c r="M309" s="6">
        <v>0</v>
      </c>
      <c r="N309" s="7">
        <v>5783.64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38866.07</v>
      </c>
      <c r="U309" s="6">
        <v>34701.85</v>
      </c>
      <c r="V309" s="6">
        <v>0</v>
      </c>
      <c r="W309" s="6">
        <v>3238.84</v>
      </c>
      <c r="X309" s="46">
        <v>45784</v>
      </c>
      <c r="Y309" s="1">
        <v>25111792</v>
      </c>
      <c r="Z309" s="1">
        <v>25111793</v>
      </c>
      <c r="AI309" s="2">
        <v>647768</v>
      </c>
      <c r="AJ309" s="2">
        <v>0</v>
      </c>
      <c r="AK309" s="2">
        <v>28918.21</v>
      </c>
      <c r="AL309" s="2">
        <v>0</v>
      </c>
      <c r="AM309" s="5">
        <v>5783.64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38866.07</v>
      </c>
      <c r="AT309" s="12">
        <v>34701.85</v>
      </c>
      <c r="AU309" s="2">
        <v>0</v>
      </c>
      <c r="AV309" s="5">
        <v>3238.84</v>
      </c>
      <c r="BL309" s="1" t="s">
        <v>130</v>
      </c>
    </row>
    <row r="310" spans="1:64" x14ac:dyDescent="0.3">
      <c r="A310" t="s">
        <v>1045</v>
      </c>
      <c r="B310" s="1" t="s">
        <v>1045</v>
      </c>
      <c r="C310" s="9" t="s">
        <v>1046</v>
      </c>
      <c r="D310" s="1" t="s">
        <v>95</v>
      </c>
      <c r="E310" s="1" t="s">
        <v>128</v>
      </c>
      <c r="F310" s="10" t="s">
        <v>129</v>
      </c>
      <c r="G310" s="1">
        <v>0</v>
      </c>
      <c r="H310" s="1">
        <v>0.05</v>
      </c>
      <c r="I310" s="8">
        <v>44550</v>
      </c>
      <c r="J310" s="6">
        <v>602217</v>
      </c>
      <c r="K310" s="6">
        <v>27831</v>
      </c>
      <c r="L310" s="6">
        <v>26884.69</v>
      </c>
      <c r="M310" s="6">
        <v>1242.46</v>
      </c>
      <c r="N310" s="7">
        <v>5625.43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37802.89</v>
      </c>
      <c r="U310" s="6">
        <v>33752.58</v>
      </c>
      <c r="V310" s="6">
        <v>0</v>
      </c>
      <c r="W310" s="6">
        <v>3150.24</v>
      </c>
      <c r="X310" s="46">
        <v>45784</v>
      </c>
      <c r="Y310" s="1">
        <v>25111794</v>
      </c>
      <c r="Z310" s="1">
        <v>25111795</v>
      </c>
      <c r="AI310" s="2">
        <v>602217</v>
      </c>
      <c r="AJ310" s="2">
        <v>27831</v>
      </c>
      <c r="AK310" s="2">
        <v>26884.69</v>
      </c>
      <c r="AL310" s="2">
        <v>1242.46</v>
      </c>
      <c r="AM310" s="5">
        <v>5625.43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37802.89</v>
      </c>
      <c r="AT310" s="12">
        <v>33752.58</v>
      </c>
      <c r="AU310" s="2">
        <v>0</v>
      </c>
      <c r="AV310" s="5">
        <v>3150.24</v>
      </c>
      <c r="BL310" s="1" t="s">
        <v>130</v>
      </c>
    </row>
    <row r="311" spans="1:64" x14ac:dyDescent="0.3">
      <c r="A311" t="s">
        <v>1055</v>
      </c>
      <c r="B311" s="1" t="s">
        <v>1055</v>
      </c>
      <c r="C311" s="9" t="s">
        <v>1056</v>
      </c>
      <c r="D311" s="1" t="s">
        <v>95</v>
      </c>
      <c r="E311" s="1" t="s">
        <v>88</v>
      </c>
      <c r="F311" s="10" t="s">
        <v>441</v>
      </c>
      <c r="G311" s="1">
        <v>0</v>
      </c>
      <c r="H311" s="1">
        <v>0.05</v>
      </c>
      <c r="I311" s="8">
        <v>44655</v>
      </c>
      <c r="J311" s="6">
        <v>213000</v>
      </c>
      <c r="K311" s="6">
        <v>46428</v>
      </c>
      <c r="L311" s="6">
        <v>9508.93</v>
      </c>
      <c r="M311" s="6">
        <v>2072.6799999999998</v>
      </c>
      <c r="N311" s="7">
        <v>2316.3200000000002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15565.68</v>
      </c>
      <c r="U311" s="6">
        <v>13897.93</v>
      </c>
      <c r="V311" s="6">
        <v>0</v>
      </c>
      <c r="W311" s="6">
        <v>1297.1400000000001</v>
      </c>
      <c r="X311" s="46">
        <v>45784</v>
      </c>
      <c r="Y311" s="1">
        <v>25111796</v>
      </c>
      <c r="Z311" s="1">
        <v>25111797</v>
      </c>
      <c r="AI311" s="2">
        <v>213000</v>
      </c>
      <c r="AJ311" s="2">
        <v>46428</v>
      </c>
      <c r="AK311" s="2">
        <v>9508.93</v>
      </c>
      <c r="AL311" s="2">
        <v>2072.6799999999998</v>
      </c>
      <c r="AM311" s="5">
        <v>2316.3200000000002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15565.68</v>
      </c>
      <c r="AT311" s="12">
        <v>13897.93</v>
      </c>
      <c r="AU311" s="2">
        <v>0</v>
      </c>
      <c r="AV311" s="5">
        <v>1297.1400000000001</v>
      </c>
      <c r="BL311" s="1" t="s">
        <v>90</v>
      </c>
    </row>
    <row r="312" spans="1:64" x14ac:dyDescent="0.3">
      <c r="A312" t="s">
        <v>1059</v>
      </c>
      <c r="B312" s="1" t="s">
        <v>1059</v>
      </c>
      <c r="C312" s="9" t="s">
        <v>1060</v>
      </c>
      <c r="D312" s="1" t="s">
        <v>95</v>
      </c>
      <c r="E312" s="1" t="s">
        <v>88</v>
      </c>
      <c r="F312" s="10" t="s">
        <v>441</v>
      </c>
      <c r="G312" s="1">
        <v>0</v>
      </c>
      <c r="H312" s="1">
        <v>0.05</v>
      </c>
      <c r="I312" s="8">
        <v>44735</v>
      </c>
      <c r="J312" s="6">
        <v>143422</v>
      </c>
      <c r="K312" s="6">
        <v>49290</v>
      </c>
      <c r="L312" s="6">
        <v>6402.77</v>
      </c>
      <c r="M312" s="6">
        <v>2200.4499999999998</v>
      </c>
      <c r="N312" s="7">
        <v>1720.64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11562.72</v>
      </c>
      <c r="U312" s="6">
        <v>10323.86</v>
      </c>
      <c r="V312" s="6">
        <v>0</v>
      </c>
      <c r="W312" s="6">
        <v>963.56</v>
      </c>
      <c r="X312" s="46">
        <v>45784</v>
      </c>
      <c r="Y312" s="1">
        <v>25111798</v>
      </c>
      <c r="Z312" s="1">
        <v>25111799</v>
      </c>
      <c r="AI312" s="2">
        <v>143422</v>
      </c>
      <c r="AJ312" s="2">
        <v>49290</v>
      </c>
      <c r="AK312" s="2">
        <v>6402.77</v>
      </c>
      <c r="AL312" s="2">
        <v>2200.4499999999998</v>
      </c>
      <c r="AM312" s="5">
        <v>1720.64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11562.72</v>
      </c>
      <c r="AT312" s="12">
        <v>10323.86</v>
      </c>
      <c r="AU312" s="2">
        <v>0</v>
      </c>
      <c r="AV312" s="5">
        <v>963.56</v>
      </c>
      <c r="BL312" s="1" t="s">
        <v>90</v>
      </c>
    </row>
    <row r="313" spans="1:64" x14ac:dyDescent="0.3">
      <c r="A313" t="s">
        <v>1063</v>
      </c>
      <c r="B313" s="1" t="s">
        <v>1063</v>
      </c>
      <c r="C313" s="9" t="s">
        <v>1064</v>
      </c>
      <c r="D313" s="1" t="s">
        <v>95</v>
      </c>
      <c r="E313" s="1" t="s">
        <v>135</v>
      </c>
      <c r="F313" s="10" t="s">
        <v>193</v>
      </c>
      <c r="G313" s="1">
        <v>0</v>
      </c>
      <c r="H313" s="1">
        <v>0.05</v>
      </c>
      <c r="I313" s="8">
        <v>44669</v>
      </c>
      <c r="J313" s="6">
        <v>642103</v>
      </c>
      <c r="K313" s="6">
        <v>65008</v>
      </c>
      <c r="L313" s="6">
        <v>28665.31</v>
      </c>
      <c r="M313" s="6">
        <v>2902.14</v>
      </c>
      <c r="N313" s="7">
        <v>6313.49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42426.65</v>
      </c>
      <c r="U313" s="6">
        <v>37880.94</v>
      </c>
      <c r="V313" s="6">
        <v>0</v>
      </c>
      <c r="W313" s="6">
        <v>3535.56</v>
      </c>
      <c r="X313" s="46">
        <v>45784</v>
      </c>
      <c r="Y313" s="1">
        <v>25111800</v>
      </c>
      <c r="Z313" s="1">
        <v>25111801</v>
      </c>
      <c r="AI313" s="2">
        <v>642103</v>
      </c>
      <c r="AJ313" s="2">
        <v>65008</v>
      </c>
      <c r="AK313" s="2">
        <v>28665.31</v>
      </c>
      <c r="AL313" s="2">
        <v>2902.14</v>
      </c>
      <c r="AM313" s="5">
        <v>6313.49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42426.65</v>
      </c>
      <c r="AT313" s="12">
        <v>37880.94</v>
      </c>
      <c r="AU313" s="2">
        <v>0</v>
      </c>
      <c r="AV313" s="5">
        <v>3535.56</v>
      </c>
      <c r="BL313" s="1" t="s">
        <v>137</v>
      </c>
    </row>
    <row r="314" spans="1:64" x14ac:dyDescent="0.3">
      <c r="A314" t="s">
        <v>1065</v>
      </c>
      <c r="B314" s="1" t="s">
        <v>1065</v>
      </c>
      <c r="C314" s="9" t="s">
        <v>1066</v>
      </c>
      <c r="D314" s="1" t="s">
        <v>95</v>
      </c>
      <c r="E314" s="1" t="s">
        <v>135</v>
      </c>
      <c r="F314" s="10" t="s">
        <v>435</v>
      </c>
      <c r="G314" s="1">
        <v>0</v>
      </c>
      <c r="H314" s="1">
        <v>0.05</v>
      </c>
      <c r="I314" s="8">
        <v>44628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436023</v>
      </c>
      <c r="P314" s="6">
        <v>44990.400000000001</v>
      </c>
      <c r="Q314" s="6">
        <v>19465.310000000001</v>
      </c>
      <c r="R314" s="6">
        <v>2008.5</v>
      </c>
      <c r="S314" s="7">
        <v>0</v>
      </c>
      <c r="T314" s="11">
        <v>24050.67</v>
      </c>
      <c r="U314" s="6">
        <v>21473.81</v>
      </c>
      <c r="V314" s="6">
        <v>0</v>
      </c>
      <c r="W314" s="6">
        <v>2405.0700000000002</v>
      </c>
      <c r="X314" s="46">
        <v>45784</v>
      </c>
      <c r="Y314" s="1">
        <v>25111802</v>
      </c>
      <c r="Z314" s="1">
        <v>25111803</v>
      </c>
      <c r="AI314" s="2">
        <v>0</v>
      </c>
      <c r="AJ314" s="2">
        <v>0</v>
      </c>
      <c r="AK314" s="2">
        <v>0</v>
      </c>
      <c r="AL314" s="2">
        <v>0</v>
      </c>
      <c r="AM314" s="5">
        <v>0</v>
      </c>
      <c r="AN314" s="12">
        <v>436023</v>
      </c>
      <c r="AO314" s="2">
        <v>44990.400000000001</v>
      </c>
      <c r="AP314" s="2">
        <v>19465.310000000001</v>
      </c>
      <c r="AQ314" s="2">
        <v>2008.5</v>
      </c>
      <c r="AR314" s="5">
        <v>0</v>
      </c>
      <c r="AS314" s="2">
        <v>24050.67</v>
      </c>
      <c r="AT314" s="12">
        <v>21473.81</v>
      </c>
      <c r="AU314" s="2">
        <v>0</v>
      </c>
      <c r="AV314" s="5">
        <v>2405.0700000000002</v>
      </c>
      <c r="BL314" s="1" t="s">
        <v>137</v>
      </c>
    </row>
    <row r="315" spans="1:64" x14ac:dyDescent="0.3">
      <c r="A315" t="s">
        <v>1073</v>
      </c>
      <c r="B315" s="1" t="s">
        <v>1073</v>
      </c>
      <c r="C315" s="9" t="s">
        <v>1074</v>
      </c>
      <c r="D315" s="1" t="s">
        <v>95</v>
      </c>
      <c r="E315" s="1" t="s">
        <v>135</v>
      </c>
      <c r="F315" s="10" t="s">
        <v>1075</v>
      </c>
      <c r="G315" s="1">
        <v>0</v>
      </c>
      <c r="H315" s="1">
        <v>0.05</v>
      </c>
      <c r="I315" s="8">
        <v>44887</v>
      </c>
      <c r="J315" s="6">
        <v>714265</v>
      </c>
      <c r="K315" s="6">
        <v>51761</v>
      </c>
      <c r="L315" s="6">
        <v>31886.83</v>
      </c>
      <c r="M315" s="6">
        <v>2310.7600000000002</v>
      </c>
      <c r="N315" s="7">
        <v>6839.52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45961.56</v>
      </c>
      <c r="U315" s="6">
        <v>41037.11</v>
      </c>
      <c r="V315" s="6">
        <v>0</v>
      </c>
      <c r="W315" s="6">
        <v>3830.13</v>
      </c>
      <c r="X315" s="46">
        <v>45784</v>
      </c>
      <c r="Y315" s="1">
        <v>25111804</v>
      </c>
      <c r="Z315" s="1">
        <v>25111805</v>
      </c>
      <c r="AI315" s="2">
        <v>714265</v>
      </c>
      <c r="AJ315" s="2">
        <v>51761</v>
      </c>
      <c r="AK315" s="2">
        <v>31886.83</v>
      </c>
      <c r="AL315" s="2">
        <v>2310.7600000000002</v>
      </c>
      <c r="AM315" s="5">
        <v>6839.52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45961.56</v>
      </c>
      <c r="AT315" s="12">
        <v>41037.11</v>
      </c>
      <c r="AU315" s="2">
        <v>0</v>
      </c>
      <c r="AV315" s="5">
        <v>3830.13</v>
      </c>
      <c r="BL315" s="1" t="s">
        <v>137</v>
      </c>
    </row>
    <row r="316" spans="1:64" x14ac:dyDescent="0.3">
      <c r="A316" t="s">
        <v>1076</v>
      </c>
      <c r="B316" s="1" t="s">
        <v>1076</v>
      </c>
      <c r="C316" s="9" t="s">
        <v>1077</v>
      </c>
      <c r="D316" s="1" t="s">
        <v>95</v>
      </c>
      <c r="E316" s="1" t="s">
        <v>135</v>
      </c>
      <c r="F316" s="10" t="s">
        <v>136</v>
      </c>
      <c r="G316" s="1">
        <v>0</v>
      </c>
      <c r="H316" s="1">
        <v>0.05</v>
      </c>
      <c r="I316" s="8">
        <v>44767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1224937.8</v>
      </c>
      <c r="P316" s="6">
        <v>89433.3</v>
      </c>
      <c r="Q316" s="6">
        <v>54684.71</v>
      </c>
      <c r="R316" s="6">
        <v>3992.56</v>
      </c>
      <c r="S316" s="7">
        <v>0</v>
      </c>
      <c r="T316" s="11">
        <v>65718.539999999994</v>
      </c>
      <c r="U316" s="6">
        <v>58677.270000000004</v>
      </c>
      <c r="V316" s="6">
        <v>0</v>
      </c>
      <c r="W316" s="6">
        <v>6571.86</v>
      </c>
      <c r="X316" s="46">
        <v>45784</v>
      </c>
      <c r="Y316" s="1">
        <v>25111806</v>
      </c>
      <c r="Z316" s="1">
        <v>25111807</v>
      </c>
      <c r="AI316" s="2">
        <v>0</v>
      </c>
      <c r="AJ316" s="2">
        <v>0</v>
      </c>
      <c r="AK316" s="2">
        <v>0</v>
      </c>
      <c r="AL316" s="2">
        <v>0</v>
      </c>
      <c r="AM316" s="5">
        <v>0</v>
      </c>
      <c r="AN316" s="12">
        <v>1224937.8</v>
      </c>
      <c r="AO316" s="2">
        <v>89433.3</v>
      </c>
      <c r="AP316" s="2">
        <v>54684.71</v>
      </c>
      <c r="AQ316" s="2">
        <v>3992.56</v>
      </c>
      <c r="AR316" s="5">
        <v>0</v>
      </c>
      <c r="AS316" s="2">
        <v>65718.539999999994</v>
      </c>
      <c r="AT316" s="12">
        <v>58677.270000000004</v>
      </c>
      <c r="AU316" s="2">
        <v>0</v>
      </c>
      <c r="AV316" s="5">
        <v>6571.86</v>
      </c>
      <c r="BL316" s="1" t="s">
        <v>137</v>
      </c>
    </row>
    <row r="317" spans="1:64" x14ac:dyDescent="0.3">
      <c r="A317" t="s">
        <v>1080</v>
      </c>
      <c r="B317" s="1" t="s">
        <v>1080</v>
      </c>
      <c r="C317" s="9" t="s">
        <v>1081</v>
      </c>
      <c r="D317" s="1" t="s">
        <v>95</v>
      </c>
      <c r="E317" s="1" t="s">
        <v>135</v>
      </c>
      <c r="F317" s="10" t="s">
        <v>136</v>
      </c>
      <c r="G317" s="1">
        <v>3.5000000000000003E-2</v>
      </c>
      <c r="H317" s="1">
        <v>0.05</v>
      </c>
      <c r="I317" s="8">
        <v>44441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547150.5</v>
      </c>
      <c r="P317" s="6">
        <v>44003.399999999994</v>
      </c>
      <c r="Q317" s="6">
        <v>24426.36</v>
      </c>
      <c r="R317" s="6">
        <v>1964.44</v>
      </c>
      <c r="S317" s="7">
        <v>5278.16</v>
      </c>
      <c r="T317" s="11">
        <v>35469.24</v>
      </c>
      <c r="U317" s="6">
        <v>31668.959999999999</v>
      </c>
      <c r="V317" s="6">
        <v>0</v>
      </c>
      <c r="W317" s="6">
        <v>2955.77</v>
      </c>
      <c r="X317" s="46">
        <v>45784</v>
      </c>
      <c r="Y317" s="1">
        <v>25111808</v>
      </c>
      <c r="Z317" s="1">
        <v>25111809</v>
      </c>
      <c r="AI317" s="2">
        <v>0</v>
      </c>
      <c r="AJ317" s="2">
        <v>0</v>
      </c>
      <c r="AK317" s="2">
        <v>0</v>
      </c>
      <c r="AL317" s="2">
        <v>0</v>
      </c>
      <c r="AM317" s="5">
        <v>0</v>
      </c>
      <c r="AN317" s="12">
        <v>547150.5</v>
      </c>
      <c r="AO317" s="2">
        <v>44003.399999999994</v>
      </c>
      <c r="AP317" s="2">
        <v>24426.36</v>
      </c>
      <c r="AQ317" s="2">
        <v>1964.44</v>
      </c>
      <c r="AR317" s="5">
        <v>5278.16</v>
      </c>
      <c r="AS317" s="2">
        <v>35469.24</v>
      </c>
      <c r="AT317" s="12">
        <v>31668.959999999999</v>
      </c>
      <c r="AU317" s="2">
        <v>0</v>
      </c>
      <c r="AV317" s="5">
        <v>2955.77</v>
      </c>
      <c r="BL317" s="1" t="s">
        <v>137</v>
      </c>
    </row>
    <row r="318" spans="1:64" x14ac:dyDescent="0.3">
      <c r="A318" t="s">
        <v>1082</v>
      </c>
      <c r="B318" s="1" t="s">
        <v>1082</v>
      </c>
      <c r="C318" s="9" t="s">
        <v>1083</v>
      </c>
      <c r="D318" s="1" t="s">
        <v>95</v>
      </c>
      <c r="E318" s="1" t="s">
        <v>135</v>
      </c>
      <c r="F318" s="10" t="s">
        <v>1075</v>
      </c>
      <c r="G318" s="1">
        <v>0</v>
      </c>
      <c r="H318" s="1">
        <v>0.05</v>
      </c>
      <c r="I318" s="8">
        <v>44770</v>
      </c>
      <c r="J318" s="6">
        <v>621816</v>
      </c>
      <c r="K318" s="6">
        <v>122391</v>
      </c>
      <c r="L318" s="6">
        <v>27759.64</v>
      </c>
      <c r="M318" s="6">
        <v>5463.88</v>
      </c>
      <c r="N318" s="7">
        <v>6644.71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44652.42</v>
      </c>
      <c r="U318" s="6">
        <v>39868.229999999996</v>
      </c>
      <c r="V318" s="6">
        <v>0</v>
      </c>
      <c r="W318" s="6">
        <v>3721.04</v>
      </c>
      <c r="X318" s="46">
        <v>45784</v>
      </c>
      <c r="Y318" s="1">
        <v>25111810</v>
      </c>
      <c r="Z318" s="1">
        <v>25111811</v>
      </c>
      <c r="AI318" s="2">
        <v>621816</v>
      </c>
      <c r="AJ318" s="2">
        <v>122391</v>
      </c>
      <c r="AK318" s="2">
        <v>27759.64</v>
      </c>
      <c r="AL318" s="2">
        <v>5463.88</v>
      </c>
      <c r="AM318" s="5">
        <v>6644.71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44652.42</v>
      </c>
      <c r="AT318" s="12">
        <v>39868.229999999996</v>
      </c>
      <c r="AU318" s="2">
        <v>0</v>
      </c>
      <c r="AV318" s="5">
        <v>3721.04</v>
      </c>
      <c r="BL318" s="1" t="s">
        <v>137</v>
      </c>
    </row>
    <row r="319" spans="1:64" x14ac:dyDescent="0.3">
      <c r="A319" t="s">
        <v>1088</v>
      </c>
      <c r="B319" s="1" t="s">
        <v>1089</v>
      </c>
      <c r="C319" s="9" t="s">
        <v>1090</v>
      </c>
      <c r="D319" s="1" t="s">
        <v>95</v>
      </c>
      <c r="E319" s="1" t="s">
        <v>128</v>
      </c>
      <c r="F319" s="10" t="s">
        <v>309</v>
      </c>
      <c r="G319" s="1">
        <v>0</v>
      </c>
      <c r="H319" s="1">
        <v>0.05</v>
      </c>
      <c r="I319" s="8">
        <v>44755</v>
      </c>
      <c r="J319" s="6">
        <v>3685532</v>
      </c>
      <c r="K319" s="6">
        <v>42555</v>
      </c>
      <c r="L319" s="6">
        <v>164532.68000000002</v>
      </c>
      <c r="M319" s="6">
        <v>1899.78</v>
      </c>
      <c r="N319" s="7">
        <v>33286.49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223685.22</v>
      </c>
      <c r="U319" s="6">
        <v>199718.95</v>
      </c>
      <c r="V319" s="6">
        <v>0</v>
      </c>
      <c r="W319" s="6">
        <v>18640.45</v>
      </c>
      <c r="X319" s="46">
        <v>45784</v>
      </c>
      <c r="Y319" s="1">
        <v>25111812</v>
      </c>
      <c r="Z319" s="1">
        <v>25111813</v>
      </c>
      <c r="AI319" s="2">
        <v>3685532</v>
      </c>
      <c r="AJ319" s="2">
        <v>42555</v>
      </c>
      <c r="AK319" s="2">
        <v>164532.68000000002</v>
      </c>
      <c r="AL319" s="2">
        <v>1899.78</v>
      </c>
      <c r="AM319" s="5">
        <v>33286.49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223685.22</v>
      </c>
      <c r="AT319" s="12">
        <v>199718.95</v>
      </c>
      <c r="AU319" s="2">
        <v>0</v>
      </c>
      <c r="AV319" s="5">
        <v>18640.45</v>
      </c>
      <c r="BL319" s="1" t="s">
        <v>130</v>
      </c>
    </row>
    <row r="320" spans="1:64" x14ac:dyDescent="0.3">
      <c r="A320" t="s">
        <v>1116</v>
      </c>
      <c r="B320" s="1" t="s">
        <v>1116</v>
      </c>
      <c r="C320" s="9" t="s">
        <v>1117</v>
      </c>
      <c r="D320" s="1" t="s">
        <v>95</v>
      </c>
      <c r="E320" s="1" t="s">
        <v>88</v>
      </c>
      <c r="F320" s="10" t="s">
        <v>534</v>
      </c>
      <c r="G320" s="1">
        <v>0</v>
      </c>
      <c r="H320" s="1">
        <v>0.05</v>
      </c>
      <c r="I320" s="8">
        <v>45004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589272.60000000009</v>
      </c>
      <c r="P320" s="6">
        <v>73431.899999999994</v>
      </c>
      <c r="Q320" s="6">
        <v>26306.81</v>
      </c>
      <c r="R320" s="6">
        <v>3278.21</v>
      </c>
      <c r="S320" s="7">
        <v>0</v>
      </c>
      <c r="T320" s="11">
        <v>33135.22</v>
      </c>
      <c r="U320" s="6">
        <v>29585.02</v>
      </c>
      <c r="V320" s="6">
        <v>0</v>
      </c>
      <c r="W320" s="6">
        <v>3313.52</v>
      </c>
      <c r="X320" s="46">
        <v>45784</v>
      </c>
      <c r="Y320" s="1">
        <v>25111814</v>
      </c>
      <c r="Z320" s="1">
        <v>25111815</v>
      </c>
      <c r="AI320" s="2">
        <v>0</v>
      </c>
      <c r="AJ320" s="2">
        <v>0</v>
      </c>
      <c r="AK320" s="2">
        <v>0</v>
      </c>
      <c r="AL320" s="2">
        <v>0</v>
      </c>
      <c r="AM320" s="5">
        <v>0</v>
      </c>
      <c r="AN320" s="12">
        <v>589272.60000000009</v>
      </c>
      <c r="AO320" s="2">
        <v>73431.899999999994</v>
      </c>
      <c r="AP320" s="2">
        <v>26306.81</v>
      </c>
      <c r="AQ320" s="2">
        <v>3278.21</v>
      </c>
      <c r="AR320" s="5">
        <v>0</v>
      </c>
      <c r="AS320" s="2">
        <v>33135.22</v>
      </c>
      <c r="AT320" s="12">
        <v>29585.02</v>
      </c>
      <c r="AU320" s="2">
        <v>0</v>
      </c>
      <c r="AV320" s="5">
        <v>3313.52</v>
      </c>
      <c r="BL320" s="1" t="s">
        <v>90</v>
      </c>
    </row>
    <row r="321" spans="1:64" x14ac:dyDescent="0.3">
      <c r="A321" t="s">
        <v>1118</v>
      </c>
      <c r="B321" s="1" t="s">
        <v>1118</v>
      </c>
      <c r="C321" s="9" t="s">
        <v>1119</v>
      </c>
      <c r="D321" s="1" t="s">
        <v>95</v>
      </c>
      <c r="E321" s="1" t="s">
        <v>135</v>
      </c>
      <c r="F321" s="10" t="s">
        <v>435</v>
      </c>
      <c r="G321" s="1">
        <v>0</v>
      </c>
      <c r="H321" s="1">
        <v>0.05</v>
      </c>
      <c r="I321" s="8">
        <v>44879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573654.30000000016</v>
      </c>
      <c r="P321" s="6">
        <v>46283.1</v>
      </c>
      <c r="Q321" s="6">
        <v>25609.57</v>
      </c>
      <c r="R321" s="6">
        <v>2066.21</v>
      </c>
      <c r="S321" s="7">
        <v>0</v>
      </c>
      <c r="T321" s="11">
        <v>30996.87</v>
      </c>
      <c r="U321" s="6">
        <v>27675.78</v>
      </c>
      <c r="V321" s="6">
        <v>0</v>
      </c>
      <c r="W321" s="6">
        <v>3099.69</v>
      </c>
      <c r="X321" s="46">
        <v>45784</v>
      </c>
      <c r="Y321" s="1">
        <v>25111816</v>
      </c>
      <c r="Z321" s="1">
        <v>25111817</v>
      </c>
      <c r="AI321" s="2">
        <v>0</v>
      </c>
      <c r="AJ321" s="2">
        <v>0</v>
      </c>
      <c r="AK321" s="2">
        <v>0</v>
      </c>
      <c r="AL321" s="2">
        <v>0</v>
      </c>
      <c r="AM321" s="5">
        <v>0</v>
      </c>
      <c r="AN321" s="12">
        <v>573654.30000000016</v>
      </c>
      <c r="AO321" s="2">
        <v>46283.1</v>
      </c>
      <c r="AP321" s="2">
        <v>25609.57</v>
      </c>
      <c r="AQ321" s="2">
        <v>2066.21</v>
      </c>
      <c r="AR321" s="5">
        <v>0</v>
      </c>
      <c r="AS321" s="2">
        <v>30996.87</v>
      </c>
      <c r="AT321" s="12">
        <v>27675.78</v>
      </c>
      <c r="AU321" s="2">
        <v>0</v>
      </c>
      <c r="AV321" s="5">
        <v>3099.69</v>
      </c>
      <c r="BL321" s="1" t="s">
        <v>137</v>
      </c>
    </row>
    <row r="322" spans="1:64" x14ac:dyDescent="0.3">
      <c r="A322" t="s">
        <v>1140</v>
      </c>
      <c r="B322" s="1" t="s">
        <v>1140</v>
      </c>
      <c r="C322" s="9" t="s">
        <v>1141</v>
      </c>
      <c r="D322" s="1" t="s">
        <v>95</v>
      </c>
      <c r="E322" s="1" t="s">
        <v>135</v>
      </c>
      <c r="F322" s="10" t="s">
        <v>136</v>
      </c>
      <c r="G322" s="1">
        <v>0</v>
      </c>
      <c r="H322" s="1">
        <v>0.05</v>
      </c>
      <c r="I322" s="8">
        <v>45123</v>
      </c>
      <c r="J322" s="6">
        <v>1087436</v>
      </c>
      <c r="K322" s="6">
        <v>134752</v>
      </c>
      <c r="L322" s="6">
        <v>48546.25</v>
      </c>
      <c r="M322" s="6">
        <v>6015.71</v>
      </c>
      <c r="N322" s="7">
        <v>10912.39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73331.27</v>
      </c>
      <c r="U322" s="6">
        <v>65474.35</v>
      </c>
      <c r="V322" s="6">
        <v>0</v>
      </c>
      <c r="W322" s="6">
        <v>6110.94</v>
      </c>
      <c r="X322" s="46">
        <v>45784</v>
      </c>
      <c r="Y322" s="1">
        <v>25111818</v>
      </c>
      <c r="Z322" s="1">
        <v>25111819</v>
      </c>
      <c r="AI322" s="2">
        <v>1087436</v>
      </c>
      <c r="AJ322" s="2">
        <v>134752</v>
      </c>
      <c r="AK322" s="2">
        <v>48546.25</v>
      </c>
      <c r="AL322" s="2">
        <v>6015.71</v>
      </c>
      <c r="AM322" s="5">
        <v>10912.39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73331.27</v>
      </c>
      <c r="AT322" s="12">
        <v>65474.35</v>
      </c>
      <c r="AU322" s="2">
        <v>0</v>
      </c>
      <c r="AV322" s="5">
        <v>6110.94</v>
      </c>
      <c r="BL322" s="1" t="s">
        <v>137</v>
      </c>
    </row>
    <row r="323" spans="1:64" x14ac:dyDescent="0.3">
      <c r="A323" t="s">
        <v>1142</v>
      </c>
      <c r="B323" s="1" t="s">
        <v>1142</v>
      </c>
      <c r="C323" s="9" t="s">
        <v>1143</v>
      </c>
      <c r="D323" s="1" t="s">
        <v>95</v>
      </c>
      <c r="E323" s="1" t="s">
        <v>135</v>
      </c>
      <c r="F323" s="10" t="s">
        <v>193</v>
      </c>
      <c r="G323" s="1">
        <v>0</v>
      </c>
      <c r="H323" s="1">
        <v>0.05</v>
      </c>
      <c r="I323" s="8">
        <v>44774</v>
      </c>
      <c r="J323" s="6">
        <v>296399</v>
      </c>
      <c r="K323" s="6">
        <v>56211</v>
      </c>
      <c r="L323" s="6">
        <v>13232.1</v>
      </c>
      <c r="M323" s="6">
        <v>2509.42</v>
      </c>
      <c r="N323" s="7">
        <v>3148.3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21156.6</v>
      </c>
      <c r="U323" s="6">
        <v>18889.82</v>
      </c>
      <c r="V323" s="6">
        <v>0</v>
      </c>
      <c r="W323" s="6">
        <v>1763.05</v>
      </c>
      <c r="X323" s="46">
        <v>45784</v>
      </c>
      <c r="Y323" s="1">
        <v>25111820</v>
      </c>
      <c r="Z323" s="1">
        <v>25111821</v>
      </c>
      <c r="AI323" s="2">
        <v>296399</v>
      </c>
      <c r="AJ323" s="2">
        <v>56211</v>
      </c>
      <c r="AK323" s="2">
        <v>13232.1</v>
      </c>
      <c r="AL323" s="2">
        <v>2509.42</v>
      </c>
      <c r="AM323" s="5">
        <v>3148.3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21156.6</v>
      </c>
      <c r="AT323" s="12">
        <v>18889.82</v>
      </c>
      <c r="AU323" s="2">
        <v>0</v>
      </c>
      <c r="AV323" s="5">
        <v>1763.05</v>
      </c>
      <c r="BL323" s="1" t="s">
        <v>137</v>
      </c>
    </row>
    <row r="324" spans="1:64" x14ac:dyDescent="0.3">
      <c r="A324" t="s">
        <v>1144</v>
      </c>
      <c r="B324" s="1" t="s">
        <v>1144</v>
      </c>
      <c r="C324" s="9" t="s">
        <v>1145</v>
      </c>
      <c r="D324" s="1" t="s">
        <v>95</v>
      </c>
      <c r="E324" s="1" t="s">
        <v>135</v>
      </c>
      <c r="F324" s="10" t="s">
        <v>193</v>
      </c>
      <c r="G324" s="1">
        <v>0</v>
      </c>
      <c r="H324" s="1">
        <v>0.05</v>
      </c>
      <c r="I324" s="8">
        <v>44774</v>
      </c>
      <c r="J324" s="6">
        <v>610271</v>
      </c>
      <c r="K324" s="6">
        <v>132485</v>
      </c>
      <c r="L324" s="6">
        <v>27244.23</v>
      </c>
      <c r="M324" s="6">
        <v>5914.51</v>
      </c>
      <c r="N324" s="7">
        <v>6631.75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44565.35</v>
      </c>
      <c r="U324" s="6">
        <v>39790.49</v>
      </c>
      <c r="V324" s="6">
        <v>0</v>
      </c>
      <c r="W324" s="6">
        <v>3713.79</v>
      </c>
      <c r="X324" s="46">
        <v>45784</v>
      </c>
      <c r="Y324" s="1">
        <v>25111822</v>
      </c>
      <c r="Z324" s="1">
        <v>25111823</v>
      </c>
      <c r="AI324" s="2">
        <v>610271</v>
      </c>
      <c r="AJ324" s="2">
        <v>132485</v>
      </c>
      <c r="AK324" s="2">
        <v>27244.23</v>
      </c>
      <c r="AL324" s="2">
        <v>5914.51</v>
      </c>
      <c r="AM324" s="5">
        <v>6631.75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44565.35</v>
      </c>
      <c r="AT324" s="12">
        <v>39790.49</v>
      </c>
      <c r="AU324" s="2">
        <v>0</v>
      </c>
      <c r="AV324" s="5">
        <v>3713.79</v>
      </c>
      <c r="BL324" s="1" t="s">
        <v>137</v>
      </c>
    </row>
    <row r="325" spans="1:64" x14ac:dyDescent="0.3">
      <c r="A325" t="s">
        <v>1150</v>
      </c>
      <c r="B325" s="1" t="s">
        <v>1150</v>
      </c>
      <c r="C325" s="9" t="s">
        <v>1151</v>
      </c>
      <c r="D325" s="1" t="s">
        <v>95</v>
      </c>
      <c r="E325" s="1" t="s">
        <v>88</v>
      </c>
      <c r="F325" s="10" t="s">
        <v>534</v>
      </c>
      <c r="G325" s="1">
        <v>0</v>
      </c>
      <c r="H325" s="1">
        <v>0.05</v>
      </c>
      <c r="I325" s="8">
        <v>44638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523928.4</v>
      </c>
      <c r="P325" s="6">
        <v>42271.5</v>
      </c>
      <c r="Q325" s="6">
        <v>23389.66</v>
      </c>
      <c r="R325" s="6">
        <v>1887.12</v>
      </c>
      <c r="S325" s="7">
        <v>0</v>
      </c>
      <c r="T325" s="11">
        <v>28309.99</v>
      </c>
      <c r="U325" s="6">
        <v>25276.78</v>
      </c>
      <c r="V325" s="6">
        <v>0</v>
      </c>
      <c r="W325" s="6">
        <v>2831</v>
      </c>
      <c r="X325" s="46">
        <v>45784</v>
      </c>
      <c r="Y325" s="1">
        <v>25111824</v>
      </c>
      <c r="Z325" s="1">
        <v>25111825</v>
      </c>
      <c r="AI325" s="2">
        <v>0</v>
      </c>
      <c r="AJ325" s="2">
        <v>0</v>
      </c>
      <c r="AK325" s="2">
        <v>0</v>
      </c>
      <c r="AL325" s="2">
        <v>0</v>
      </c>
      <c r="AM325" s="5">
        <v>0</v>
      </c>
      <c r="AN325" s="12">
        <v>523928.4</v>
      </c>
      <c r="AO325" s="2">
        <v>42271.5</v>
      </c>
      <c r="AP325" s="2">
        <v>23389.66</v>
      </c>
      <c r="AQ325" s="2">
        <v>1887.12</v>
      </c>
      <c r="AR325" s="5">
        <v>0</v>
      </c>
      <c r="AS325" s="2">
        <v>28309.99</v>
      </c>
      <c r="AT325" s="12">
        <v>25276.78</v>
      </c>
      <c r="AU325" s="2">
        <v>0</v>
      </c>
      <c r="AV325" s="5">
        <v>2831</v>
      </c>
      <c r="BL325" s="1" t="s">
        <v>90</v>
      </c>
    </row>
    <row r="326" spans="1:64" x14ac:dyDescent="0.3">
      <c r="A326" t="s">
        <v>1156</v>
      </c>
      <c r="B326" s="1" t="s">
        <v>1156</v>
      </c>
      <c r="C326" s="9" t="s">
        <v>1157</v>
      </c>
      <c r="D326" s="1" t="s">
        <v>95</v>
      </c>
      <c r="E326" s="1" t="s">
        <v>135</v>
      </c>
      <c r="F326" s="10" t="s">
        <v>435</v>
      </c>
      <c r="G326" s="1">
        <v>0</v>
      </c>
      <c r="H326" s="1">
        <v>0.05</v>
      </c>
      <c r="I326" s="8">
        <v>44942</v>
      </c>
      <c r="J326" s="6">
        <v>394776</v>
      </c>
      <c r="K326" s="6">
        <v>62420</v>
      </c>
      <c r="L326" s="6">
        <v>17623.93</v>
      </c>
      <c r="M326" s="6">
        <v>2786.61</v>
      </c>
      <c r="N326" s="7">
        <v>4082.11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27431.77</v>
      </c>
      <c r="U326" s="6">
        <v>24492.65</v>
      </c>
      <c r="V326" s="6">
        <v>0</v>
      </c>
      <c r="W326" s="6">
        <v>2285.98</v>
      </c>
      <c r="X326" s="46">
        <v>45784</v>
      </c>
      <c r="Y326" s="1">
        <v>25111826</v>
      </c>
      <c r="Z326" s="1">
        <v>25111827</v>
      </c>
      <c r="AI326" s="2">
        <v>394776</v>
      </c>
      <c r="AJ326" s="2">
        <v>62420</v>
      </c>
      <c r="AK326" s="2">
        <v>17623.93</v>
      </c>
      <c r="AL326" s="2">
        <v>2786.61</v>
      </c>
      <c r="AM326" s="5">
        <v>4082.11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27431.77</v>
      </c>
      <c r="AT326" s="12">
        <v>24492.65</v>
      </c>
      <c r="AU326" s="2">
        <v>0</v>
      </c>
      <c r="AV326" s="5">
        <v>2285.98</v>
      </c>
      <c r="BL326" s="1" t="s">
        <v>137</v>
      </c>
    </row>
    <row r="327" spans="1:64" x14ac:dyDescent="0.3">
      <c r="A327" t="s">
        <v>1158</v>
      </c>
      <c r="B327" s="1" t="s">
        <v>1158</v>
      </c>
      <c r="C327" s="9" t="s">
        <v>1159</v>
      </c>
      <c r="D327" s="1" t="s">
        <v>95</v>
      </c>
      <c r="E327" s="1" t="s">
        <v>135</v>
      </c>
      <c r="F327" s="10" t="s">
        <v>193</v>
      </c>
      <c r="G327" s="1">
        <v>0</v>
      </c>
      <c r="H327" s="1">
        <v>0.05</v>
      </c>
      <c r="I327" s="8">
        <v>44948</v>
      </c>
      <c r="J327" s="6">
        <v>298480.5</v>
      </c>
      <c r="K327" s="6">
        <v>60429</v>
      </c>
      <c r="L327" s="6">
        <v>13325.03</v>
      </c>
      <c r="M327" s="6">
        <v>2697.72</v>
      </c>
      <c r="N327" s="7">
        <v>3204.55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21534.58</v>
      </c>
      <c r="U327" s="6">
        <v>19227.3</v>
      </c>
      <c r="V327" s="6">
        <v>0</v>
      </c>
      <c r="W327" s="6">
        <v>1794.55</v>
      </c>
      <c r="X327" s="46">
        <v>45784</v>
      </c>
      <c r="Y327" s="1">
        <v>25111828</v>
      </c>
      <c r="Z327" s="1">
        <v>25111829</v>
      </c>
      <c r="AI327" s="2">
        <v>298480.5</v>
      </c>
      <c r="AJ327" s="2">
        <v>60429</v>
      </c>
      <c r="AK327" s="2">
        <v>13325.03</v>
      </c>
      <c r="AL327" s="2">
        <v>2697.72</v>
      </c>
      <c r="AM327" s="5">
        <v>3204.55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21534.58</v>
      </c>
      <c r="AT327" s="12">
        <v>19227.3</v>
      </c>
      <c r="AU327" s="2">
        <v>0</v>
      </c>
      <c r="AV327" s="5">
        <v>1794.55</v>
      </c>
      <c r="BL327" s="1" t="s">
        <v>137</v>
      </c>
    </row>
    <row r="328" spans="1:64" x14ac:dyDescent="0.3">
      <c r="A328" t="s">
        <v>1160</v>
      </c>
      <c r="B328" s="1" t="s">
        <v>1160</v>
      </c>
      <c r="C328" s="9" t="s">
        <v>1161</v>
      </c>
      <c r="D328" s="1" t="s">
        <v>95</v>
      </c>
      <c r="E328" s="1" t="s">
        <v>135</v>
      </c>
      <c r="F328" s="10" t="s">
        <v>435</v>
      </c>
      <c r="G328" s="1">
        <v>0</v>
      </c>
      <c r="H328" s="1">
        <v>0.05</v>
      </c>
      <c r="I328" s="8">
        <v>44040</v>
      </c>
      <c r="J328" s="6">
        <v>1022634</v>
      </c>
      <c r="K328" s="6">
        <v>113679</v>
      </c>
      <c r="L328" s="6">
        <v>45653.3</v>
      </c>
      <c r="M328" s="6">
        <v>5074.96</v>
      </c>
      <c r="N328" s="7">
        <v>10145.65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68178.78</v>
      </c>
      <c r="U328" s="6">
        <v>60873.91</v>
      </c>
      <c r="V328" s="6">
        <v>0</v>
      </c>
      <c r="W328" s="6">
        <v>5681.56</v>
      </c>
      <c r="X328" s="46">
        <v>45784</v>
      </c>
      <c r="Y328" s="1">
        <v>25111830</v>
      </c>
      <c r="Z328" s="1">
        <v>25111831</v>
      </c>
      <c r="AI328" s="2">
        <v>1022634</v>
      </c>
      <c r="AJ328" s="2">
        <v>113679</v>
      </c>
      <c r="AK328" s="2">
        <v>45653.3</v>
      </c>
      <c r="AL328" s="2">
        <v>5074.96</v>
      </c>
      <c r="AM328" s="5">
        <v>10145.65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68178.78</v>
      </c>
      <c r="AT328" s="12">
        <v>60873.91</v>
      </c>
      <c r="AU328" s="2">
        <v>0</v>
      </c>
      <c r="AV328" s="5">
        <v>5681.56</v>
      </c>
      <c r="BL328" s="1" t="s">
        <v>302</v>
      </c>
    </row>
    <row r="329" spans="1:64" x14ac:dyDescent="0.3">
      <c r="A329" t="s">
        <v>1162</v>
      </c>
      <c r="B329" s="1" t="s">
        <v>1162</v>
      </c>
      <c r="C329" s="9" t="s">
        <v>1163</v>
      </c>
      <c r="D329" s="1" t="s">
        <v>95</v>
      </c>
      <c r="E329" s="1" t="s">
        <v>135</v>
      </c>
      <c r="F329" s="10" t="s">
        <v>136</v>
      </c>
      <c r="G329" s="1">
        <v>0</v>
      </c>
      <c r="H329" s="1">
        <v>0.05</v>
      </c>
      <c r="I329" s="8">
        <v>44878</v>
      </c>
      <c r="J329" s="6">
        <v>1232128</v>
      </c>
      <c r="K329" s="6">
        <v>156216</v>
      </c>
      <c r="L329" s="6">
        <v>55005.71</v>
      </c>
      <c r="M329" s="6">
        <v>6973.93</v>
      </c>
      <c r="N329" s="7">
        <v>12395.93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83300.639999999999</v>
      </c>
      <c r="U329" s="6">
        <v>74375.570000000007</v>
      </c>
      <c r="V329" s="6">
        <v>0</v>
      </c>
      <c r="W329" s="6">
        <v>6941.72</v>
      </c>
      <c r="X329" s="46">
        <v>45784</v>
      </c>
      <c r="Y329" s="1">
        <v>25111832</v>
      </c>
      <c r="Z329" s="1">
        <v>25111833</v>
      </c>
      <c r="AI329" s="2">
        <v>1232128</v>
      </c>
      <c r="AJ329" s="2">
        <v>156216</v>
      </c>
      <c r="AK329" s="2">
        <v>55005.71</v>
      </c>
      <c r="AL329" s="2">
        <v>6973.93</v>
      </c>
      <c r="AM329" s="5">
        <v>12395.93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83300.639999999999</v>
      </c>
      <c r="AT329" s="12">
        <v>74375.570000000007</v>
      </c>
      <c r="AU329" s="2">
        <v>0</v>
      </c>
      <c r="AV329" s="5">
        <v>6941.72</v>
      </c>
      <c r="BL329" s="1" t="s">
        <v>302</v>
      </c>
    </row>
    <row r="330" spans="1:64" x14ac:dyDescent="0.3">
      <c r="A330" t="s">
        <v>1164</v>
      </c>
      <c r="B330" s="1" t="s">
        <v>1164</v>
      </c>
      <c r="C330" s="9" t="s">
        <v>1165</v>
      </c>
      <c r="D330" s="1" t="s">
        <v>95</v>
      </c>
      <c r="E330" s="1" t="s">
        <v>135</v>
      </c>
      <c r="F330" s="10" t="s">
        <v>193</v>
      </c>
      <c r="G330" s="1">
        <v>0</v>
      </c>
      <c r="H330" s="1">
        <v>0.05</v>
      </c>
      <c r="I330" s="8">
        <v>45000</v>
      </c>
      <c r="J330" s="6">
        <v>474345</v>
      </c>
      <c r="K330" s="6">
        <v>47725</v>
      </c>
      <c r="L330" s="6">
        <v>21176.12</v>
      </c>
      <c r="M330" s="6">
        <v>2130.58</v>
      </c>
      <c r="N330" s="7">
        <v>4661.34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31324.2</v>
      </c>
      <c r="U330" s="6">
        <v>27968.039999999997</v>
      </c>
      <c r="V330" s="6">
        <v>0</v>
      </c>
      <c r="W330" s="6">
        <v>2610.35</v>
      </c>
      <c r="X330" s="46">
        <v>45784</v>
      </c>
      <c r="Y330" s="1">
        <v>25111834</v>
      </c>
      <c r="Z330" s="1">
        <v>25111835</v>
      </c>
      <c r="AI330" s="2">
        <v>474345</v>
      </c>
      <c r="AJ330" s="2">
        <v>47725</v>
      </c>
      <c r="AK330" s="2">
        <v>21176.12</v>
      </c>
      <c r="AL330" s="2">
        <v>2130.58</v>
      </c>
      <c r="AM330" s="5">
        <v>4661.34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31324.2</v>
      </c>
      <c r="AT330" s="12">
        <v>27968.039999999997</v>
      </c>
      <c r="AU330" s="2">
        <v>0</v>
      </c>
      <c r="AV330" s="5">
        <v>2610.35</v>
      </c>
      <c r="BL330" s="1" t="s">
        <v>137</v>
      </c>
    </row>
    <row r="331" spans="1:64" x14ac:dyDescent="0.3">
      <c r="A331" t="s">
        <v>1168</v>
      </c>
      <c r="B331" s="1" t="s">
        <v>1168</v>
      </c>
      <c r="C331" s="9" t="s">
        <v>1169</v>
      </c>
      <c r="D331" s="1" t="s">
        <v>95</v>
      </c>
      <c r="E331" s="1" t="s">
        <v>88</v>
      </c>
      <c r="F331" s="10" t="s">
        <v>1170</v>
      </c>
      <c r="G331" s="1">
        <v>0</v>
      </c>
      <c r="H331" s="1">
        <v>0.05</v>
      </c>
      <c r="I331" s="8">
        <v>44915</v>
      </c>
      <c r="J331" s="6">
        <v>823133</v>
      </c>
      <c r="K331" s="6">
        <v>153129</v>
      </c>
      <c r="L331" s="6">
        <v>36747.01</v>
      </c>
      <c r="M331" s="6">
        <v>6836.12</v>
      </c>
      <c r="N331" s="7">
        <v>8716.619999999999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58575.72</v>
      </c>
      <c r="U331" s="6">
        <v>52299.75</v>
      </c>
      <c r="V331" s="6">
        <v>0</v>
      </c>
      <c r="W331" s="6">
        <v>4881.3</v>
      </c>
      <c r="X331" s="46">
        <v>45784</v>
      </c>
      <c r="Y331" s="1">
        <v>25111836</v>
      </c>
      <c r="Z331" s="1">
        <v>25111837</v>
      </c>
      <c r="AI331" s="2">
        <v>823133</v>
      </c>
      <c r="AJ331" s="2">
        <v>153129</v>
      </c>
      <c r="AK331" s="2">
        <v>36747.01</v>
      </c>
      <c r="AL331" s="2">
        <v>6836.12</v>
      </c>
      <c r="AM331" s="5">
        <v>8716.619999999999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58575.72</v>
      </c>
      <c r="AT331" s="12">
        <v>52299.75</v>
      </c>
      <c r="AU331" s="2">
        <v>0</v>
      </c>
      <c r="AV331" s="5">
        <v>4881.3</v>
      </c>
      <c r="BL331" s="1" t="s">
        <v>90</v>
      </c>
    </row>
    <row r="332" spans="1:64" x14ac:dyDescent="0.3">
      <c r="A332" t="s">
        <v>1175</v>
      </c>
      <c r="B332" s="1" t="s">
        <v>1175</v>
      </c>
      <c r="C332" s="9" t="s">
        <v>1176</v>
      </c>
      <c r="D332" s="1" t="s">
        <v>95</v>
      </c>
      <c r="E332" s="1" t="s">
        <v>135</v>
      </c>
      <c r="F332" s="10" t="s">
        <v>485</v>
      </c>
      <c r="G332" s="1">
        <v>0</v>
      </c>
      <c r="H332" s="1">
        <v>0.05</v>
      </c>
      <c r="I332" s="8">
        <v>0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0</v>
      </c>
      <c r="AJ332" s="2">
        <v>0</v>
      </c>
      <c r="AK332" s="2">
        <v>0</v>
      </c>
      <c r="AL332" s="2">
        <v>0</v>
      </c>
      <c r="AM332" s="5">
        <v>0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0</v>
      </c>
      <c r="AT332" s="12">
        <v>0</v>
      </c>
      <c r="AU332" s="2">
        <v>0</v>
      </c>
      <c r="AV332" s="5">
        <v>0</v>
      </c>
      <c r="BL332" s="1" t="s">
        <v>302</v>
      </c>
    </row>
    <row r="333" spans="1:64" x14ac:dyDescent="0.3">
      <c r="A333" t="s">
        <v>1177</v>
      </c>
      <c r="B333" s="1" t="s">
        <v>1177</v>
      </c>
      <c r="C333" s="9" t="s">
        <v>1178</v>
      </c>
      <c r="D333" s="1" t="s">
        <v>95</v>
      </c>
      <c r="E333" s="1" t="s">
        <v>135</v>
      </c>
      <c r="F333" s="10" t="s">
        <v>435</v>
      </c>
      <c r="G333" s="1">
        <v>0</v>
      </c>
      <c r="H333" s="1">
        <v>0.05</v>
      </c>
      <c r="I333" s="8">
        <v>44948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616506.89999999991</v>
      </c>
      <c r="P333" s="6">
        <v>56328.3</v>
      </c>
      <c r="Q333" s="6">
        <v>27522.62</v>
      </c>
      <c r="R333" s="6">
        <v>2514.66</v>
      </c>
      <c r="S333" s="7">
        <v>0</v>
      </c>
      <c r="T333" s="11">
        <v>33641.75</v>
      </c>
      <c r="U333" s="6">
        <v>30037.279999999999</v>
      </c>
      <c r="V333" s="6">
        <v>0</v>
      </c>
      <c r="W333" s="6">
        <v>3364.18</v>
      </c>
      <c r="X333" s="46">
        <v>45784</v>
      </c>
      <c r="Y333" s="1">
        <v>25111838</v>
      </c>
      <c r="Z333" s="1">
        <v>25111839</v>
      </c>
      <c r="AI333" s="2">
        <v>0</v>
      </c>
      <c r="AJ333" s="2">
        <v>0</v>
      </c>
      <c r="AK333" s="2">
        <v>0</v>
      </c>
      <c r="AL333" s="2">
        <v>0</v>
      </c>
      <c r="AM333" s="5">
        <v>0</v>
      </c>
      <c r="AN333" s="12">
        <v>616506.89999999991</v>
      </c>
      <c r="AO333" s="2">
        <v>56328.3</v>
      </c>
      <c r="AP333" s="2">
        <v>27522.62</v>
      </c>
      <c r="AQ333" s="2">
        <v>2514.66</v>
      </c>
      <c r="AR333" s="5">
        <v>0</v>
      </c>
      <c r="AS333" s="2">
        <v>33641.75</v>
      </c>
      <c r="AT333" s="12">
        <v>30037.279999999999</v>
      </c>
      <c r="AU333" s="2">
        <v>0</v>
      </c>
      <c r="AV333" s="5">
        <v>3364.18</v>
      </c>
      <c r="BL333" s="1" t="s">
        <v>137</v>
      </c>
    </row>
    <row r="334" spans="1:64" x14ac:dyDescent="0.3">
      <c r="A334" t="s">
        <v>1179</v>
      </c>
      <c r="B334" s="1" t="s">
        <v>1179</v>
      </c>
      <c r="C334" s="9" t="s">
        <v>1180</v>
      </c>
      <c r="D334" s="1" t="s">
        <v>95</v>
      </c>
      <c r="E334" s="1" t="s">
        <v>135</v>
      </c>
      <c r="F334" s="10" t="s">
        <v>435</v>
      </c>
      <c r="G334" s="1">
        <v>0</v>
      </c>
      <c r="H334" s="1">
        <v>0.05</v>
      </c>
      <c r="I334" s="8">
        <v>45007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611152.5</v>
      </c>
      <c r="P334" s="6">
        <v>67696.5</v>
      </c>
      <c r="Q334" s="6">
        <v>27283.59</v>
      </c>
      <c r="R334" s="6">
        <v>3022.16</v>
      </c>
      <c r="S334" s="7">
        <v>0</v>
      </c>
      <c r="T334" s="11">
        <v>33942.44</v>
      </c>
      <c r="U334" s="6">
        <v>30305.75</v>
      </c>
      <c r="V334" s="6">
        <v>0</v>
      </c>
      <c r="W334" s="6">
        <v>3394.24</v>
      </c>
      <c r="X334" s="46">
        <v>45784</v>
      </c>
      <c r="Y334" s="1">
        <v>25111840</v>
      </c>
      <c r="Z334" s="1">
        <v>25111841</v>
      </c>
      <c r="AI334" s="2">
        <v>0</v>
      </c>
      <c r="AJ334" s="2">
        <v>0</v>
      </c>
      <c r="AK334" s="2">
        <v>0</v>
      </c>
      <c r="AL334" s="2">
        <v>0</v>
      </c>
      <c r="AM334" s="5">
        <v>0</v>
      </c>
      <c r="AN334" s="12">
        <v>611152.5</v>
      </c>
      <c r="AO334" s="2">
        <v>67696.5</v>
      </c>
      <c r="AP334" s="2">
        <v>27283.59</v>
      </c>
      <c r="AQ334" s="2">
        <v>3022.16</v>
      </c>
      <c r="AR334" s="5">
        <v>0</v>
      </c>
      <c r="AS334" s="2">
        <v>33942.44</v>
      </c>
      <c r="AT334" s="12">
        <v>30305.75</v>
      </c>
      <c r="AU334" s="2">
        <v>0</v>
      </c>
      <c r="AV334" s="5">
        <v>3394.24</v>
      </c>
      <c r="BL334" s="1" t="s">
        <v>137</v>
      </c>
    </row>
    <row r="335" spans="1:64" x14ac:dyDescent="0.3">
      <c r="A335" t="s">
        <v>1181</v>
      </c>
      <c r="B335" s="1" t="s">
        <v>1181</v>
      </c>
      <c r="C335" s="9" t="s">
        <v>1182</v>
      </c>
      <c r="D335" s="1" t="s">
        <v>95</v>
      </c>
      <c r="E335" s="1" t="s">
        <v>128</v>
      </c>
      <c r="F335" s="10" t="s">
        <v>309</v>
      </c>
      <c r="G335" s="1">
        <v>0</v>
      </c>
      <c r="H335" s="1">
        <v>0.05</v>
      </c>
      <c r="I335" s="8">
        <v>45092</v>
      </c>
      <c r="J335" s="6">
        <v>302016</v>
      </c>
      <c r="K335" s="6">
        <v>12390</v>
      </c>
      <c r="L335" s="6">
        <v>13482.86</v>
      </c>
      <c r="M335" s="6">
        <v>553.12</v>
      </c>
      <c r="N335" s="7">
        <v>2807.2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18864.36</v>
      </c>
      <c r="U335" s="6">
        <v>16843.18</v>
      </c>
      <c r="V335" s="6">
        <v>0</v>
      </c>
      <c r="W335" s="6">
        <v>1572.03</v>
      </c>
      <c r="X335" s="46">
        <v>45784</v>
      </c>
      <c r="Y335" s="1">
        <v>25111842</v>
      </c>
      <c r="Z335" s="1">
        <v>25111843</v>
      </c>
      <c r="AI335" s="2">
        <v>302016</v>
      </c>
      <c r="AJ335" s="2">
        <v>12390</v>
      </c>
      <c r="AK335" s="2">
        <v>13482.86</v>
      </c>
      <c r="AL335" s="2">
        <v>553.12</v>
      </c>
      <c r="AM335" s="5">
        <v>2807.2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18864.36</v>
      </c>
      <c r="AT335" s="12">
        <v>16843.18</v>
      </c>
      <c r="AU335" s="2">
        <v>0</v>
      </c>
      <c r="AV335" s="5">
        <v>1572.03</v>
      </c>
      <c r="BL335" s="1" t="s">
        <v>130</v>
      </c>
    </row>
    <row r="336" spans="1:64" x14ac:dyDescent="0.3">
      <c r="A336" t="s">
        <v>1183</v>
      </c>
      <c r="B336" s="1" t="s">
        <v>1183</v>
      </c>
      <c r="C336" s="9" t="s">
        <v>1184</v>
      </c>
      <c r="D336" s="1" t="s">
        <v>95</v>
      </c>
      <c r="E336" s="1" t="s">
        <v>135</v>
      </c>
      <c r="F336" s="10" t="s">
        <v>136</v>
      </c>
      <c r="G336" s="1">
        <v>0</v>
      </c>
      <c r="H336" s="1">
        <v>0.05</v>
      </c>
      <c r="I336" s="8">
        <v>44944</v>
      </c>
      <c r="J336" s="6">
        <v>784052</v>
      </c>
      <c r="K336" s="6">
        <v>112600</v>
      </c>
      <c r="L336" s="6">
        <v>35002.32</v>
      </c>
      <c r="M336" s="6">
        <v>5026.79</v>
      </c>
      <c r="N336" s="7">
        <v>8005.82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53799.12</v>
      </c>
      <c r="U336" s="6">
        <v>48034.93</v>
      </c>
      <c r="V336" s="6">
        <v>0</v>
      </c>
      <c r="W336" s="6">
        <v>4483.26</v>
      </c>
      <c r="X336" s="46">
        <v>45784</v>
      </c>
      <c r="Y336" s="1">
        <v>25111844</v>
      </c>
      <c r="Z336" s="1">
        <v>25111845</v>
      </c>
      <c r="AI336" s="2">
        <v>784052</v>
      </c>
      <c r="AJ336" s="2">
        <v>112600</v>
      </c>
      <c r="AK336" s="2">
        <v>35002.32</v>
      </c>
      <c r="AL336" s="2">
        <v>5026.79</v>
      </c>
      <c r="AM336" s="5">
        <v>8005.82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53799.12</v>
      </c>
      <c r="AT336" s="12">
        <v>48034.93</v>
      </c>
      <c r="AU336" s="2">
        <v>0</v>
      </c>
      <c r="AV336" s="5">
        <v>4483.26</v>
      </c>
      <c r="BL336" s="1" t="s">
        <v>137</v>
      </c>
    </row>
    <row r="337" spans="1:64" x14ac:dyDescent="0.3">
      <c r="A337" t="s">
        <v>1207</v>
      </c>
      <c r="B337" s="1" t="s">
        <v>1208</v>
      </c>
      <c r="C337" s="9" t="s">
        <v>1209</v>
      </c>
      <c r="D337" s="1" t="s">
        <v>95</v>
      </c>
      <c r="E337" s="1" t="s">
        <v>135</v>
      </c>
      <c r="F337" s="10" t="s">
        <v>136</v>
      </c>
      <c r="G337" s="1">
        <v>4.4999999999999998E-2</v>
      </c>
      <c r="H337" s="1">
        <v>0.05</v>
      </c>
      <c r="I337" s="8">
        <v>44441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850785</v>
      </c>
      <c r="P337" s="6">
        <v>130589.70000000001</v>
      </c>
      <c r="Q337" s="6">
        <v>37981.47</v>
      </c>
      <c r="R337" s="6">
        <v>5829.9</v>
      </c>
      <c r="S337" s="7">
        <v>8762.2799999999988</v>
      </c>
      <c r="T337" s="11">
        <v>58882.49</v>
      </c>
      <c r="U337" s="6">
        <v>52573.650000000009</v>
      </c>
      <c r="V337" s="6">
        <v>0</v>
      </c>
      <c r="W337" s="6">
        <v>4906.87</v>
      </c>
      <c r="X337" s="46">
        <v>45784</v>
      </c>
      <c r="Y337" s="1">
        <v>25111846</v>
      </c>
      <c r="Z337" s="1">
        <v>25111847</v>
      </c>
      <c r="AI337" s="2">
        <v>0</v>
      </c>
      <c r="AJ337" s="2">
        <v>0</v>
      </c>
      <c r="AK337" s="2">
        <v>0</v>
      </c>
      <c r="AL337" s="2">
        <v>0</v>
      </c>
      <c r="AM337" s="5">
        <v>0</v>
      </c>
      <c r="AN337" s="12">
        <v>850785</v>
      </c>
      <c r="AO337" s="2">
        <v>130589.70000000001</v>
      </c>
      <c r="AP337" s="2">
        <v>37981.47</v>
      </c>
      <c r="AQ337" s="2">
        <v>5829.9</v>
      </c>
      <c r="AR337" s="5">
        <v>8762.2799999999988</v>
      </c>
      <c r="AS337" s="2">
        <v>58882.49</v>
      </c>
      <c r="AT337" s="12">
        <v>52573.650000000009</v>
      </c>
      <c r="AU337" s="2">
        <v>0</v>
      </c>
      <c r="AV337" s="5">
        <v>4906.87</v>
      </c>
      <c r="BL337" s="1" t="s">
        <v>137</v>
      </c>
    </row>
    <row r="338" spans="1:64" x14ac:dyDescent="0.3">
      <c r="A338" t="s">
        <v>1211</v>
      </c>
      <c r="B338" s="1" t="s">
        <v>1211</v>
      </c>
      <c r="C338" s="9" t="s">
        <v>1212</v>
      </c>
      <c r="D338" s="1" t="s">
        <v>95</v>
      </c>
      <c r="E338" s="1" t="s">
        <v>128</v>
      </c>
      <c r="F338" s="10" t="s">
        <v>988</v>
      </c>
      <c r="G338" s="1">
        <v>4.4999999999999998E-2</v>
      </c>
      <c r="H338" s="1">
        <v>0.05</v>
      </c>
      <c r="I338" s="8">
        <v>44956</v>
      </c>
      <c r="J338" s="6">
        <v>266512</v>
      </c>
      <c r="K338" s="6">
        <v>23290</v>
      </c>
      <c r="L338" s="6">
        <v>11897.86</v>
      </c>
      <c r="M338" s="6">
        <v>1039.73</v>
      </c>
      <c r="N338" s="7">
        <v>2587.52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17388.12</v>
      </c>
      <c r="U338" s="6">
        <v>15525.109999999999</v>
      </c>
      <c r="V338" s="6">
        <v>0</v>
      </c>
      <c r="W338" s="6">
        <v>1449.02</v>
      </c>
      <c r="X338" s="46">
        <v>45784</v>
      </c>
      <c r="Y338" s="1">
        <v>25111848</v>
      </c>
      <c r="Z338" s="1">
        <v>25111849</v>
      </c>
      <c r="AI338" s="2">
        <v>266512</v>
      </c>
      <c r="AJ338" s="2">
        <v>23290</v>
      </c>
      <c r="AK338" s="2">
        <v>11897.86</v>
      </c>
      <c r="AL338" s="2">
        <v>1039.73</v>
      </c>
      <c r="AM338" s="5">
        <v>2587.52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17388.12</v>
      </c>
      <c r="AT338" s="12">
        <v>15525.109999999999</v>
      </c>
      <c r="AU338" s="2">
        <v>0</v>
      </c>
      <c r="AV338" s="5">
        <v>1449.02</v>
      </c>
      <c r="BL338" s="1" t="s">
        <v>130</v>
      </c>
    </row>
    <row r="339" spans="1:64" x14ac:dyDescent="0.3">
      <c r="A339" t="s">
        <v>1221</v>
      </c>
      <c r="B339" s="1" t="s">
        <v>1222</v>
      </c>
      <c r="C339" s="9" t="s">
        <v>1223</v>
      </c>
      <c r="D339" s="1" t="s">
        <v>95</v>
      </c>
      <c r="E339" s="1" t="s">
        <v>128</v>
      </c>
      <c r="F339" s="10" t="s">
        <v>988</v>
      </c>
      <c r="G339" s="1">
        <v>0</v>
      </c>
      <c r="H339" s="1">
        <v>0.05</v>
      </c>
      <c r="I339" s="8">
        <v>43972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530327.4</v>
      </c>
      <c r="P339" s="6">
        <v>22021.800000000003</v>
      </c>
      <c r="Q339" s="6">
        <v>23675.329999999998</v>
      </c>
      <c r="R339" s="6">
        <v>983.12</v>
      </c>
      <c r="S339" s="7">
        <v>1756.71</v>
      </c>
      <c r="T339" s="11">
        <v>29584.98</v>
      </c>
      <c r="U339" s="6">
        <v>26415.16</v>
      </c>
      <c r="V339" s="6">
        <v>0</v>
      </c>
      <c r="W339" s="6">
        <v>2761.75</v>
      </c>
      <c r="X339" s="46">
        <v>45784</v>
      </c>
      <c r="Y339" s="1">
        <v>25111850</v>
      </c>
      <c r="Z339" s="1">
        <v>25111851</v>
      </c>
      <c r="AI339" s="2">
        <v>0</v>
      </c>
      <c r="AJ339" s="2">
        <v>0</v>
      </c>
      <c r="AK339" s="2">
        <v>0</v>
      </c>
      <c r="AL339" s="2">
        <v>0</v>
      </c>
      <c r="AM339" s="5">
        <v>0</v>
      </c>
      <c r="AN339" s="12">
        <v>530327.4</v>
      </c>
      <c r="AO339" s="2">
        <v>22021.800000000003</v>
      </c>
      <c r="AP339" s="2">
        <v>23675.329999999998</v>
      </c>
      <c r="AQ339" s="2">
        <v>983.12</v>
      </c>
      <c r="AR339" s="5">
        <v>1756.71</v>
      </c>
      <c r="AS339" s="2">
        <v>29584.98</v>
      </c>
      <c r="AT339" s="12">
        <v>26415.16</v>
      </c>
      <c r="AU339" s="2">
        <v>0</v>
      </c>
      <c r="AV339" s="5">
        <v>2761.75</v>
      </c>
      <c r="BL339" s="1" t="s">
        <v>130</v>
      </c>
    </row>
    <row r="340" spans="1:64" x14ac:dyDescent="0.3">
      <c r="A340" t="s">
        <v>1229</v>
      </c>
      <c r="B340" s="1" t="s">
        <v>1229</v>
      </c>
      <c r="C340" s="9" t="s">
        <v>1230</v>
      </c>
      <c r="D340" s="1" t="s">
        <v>95</v>
      </c>
      <c r="E340" s="1" t="s">
        <v>135</v>
      </c>
      <c r="F340" s="10" t="s">
        <v>348</v>
      </c>
      <c r="G340" s="1">
        <v>0</v>
      </c>
      <c r="H340" s="1">
        <v>0.05</v>
      </c>
      <c r="I340" s="8">
        <v>44958</v>
      </c>
      <c r="J340" s="6">
        <v>889597</v>
      </c>
      <c r="K340" s="6">
        <v>110781</v>
      </c>
      <c r="L340" s="6">
        <v>39714.15</v>
      </c>
      <c r="M340" s="6">
        <v>4945.58</v>
      </c>
      <c r="N340" s="7">
        <v>8931.9500000000007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60022.68</v>
      </c>
      <c r="U340" s="6">
        <v>53591.680000000008</v>
      </c>
      <c r="V340" s="6">
        <v>0</v>
      </c>
      <c r="W340" s="6">
        <v>5001.8900000000003</v>
      </c>
      <c r="X340" s="46">
        <v>45784</v>
      </c>
      <c r="Y340" s="1">
        <v>25111852</v>
      </c>
      <c r="Z340" s="1">
        <v>25111853</v>
      </c>
      <c r="AI340" s="2">
        <v>889597</v>
      </c>
      <c r="AJ340" s="2">
        <v>110781</v>
      </c>
      <c r="AK340" s="2">
        <v>39714.15</v>
      </c>
      <c r="AL340" s="2">
        <v>4945.58</v>
      </c>
      <c r="AM340" s="5">
        <v>8931.9500000000007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60022.68</v>
      </c>
      <c r="AT340" s="12">
        <v>53591.680000000008</v>
      </c>
      <c r="AU340" s="2">
        <v>0</v>
      </c>
      <c r="AV340" s="5">
        <v>5001.8900000000003</v>
      </c>
      <c r="BL340" s="1" t="s">
        <v>302</v>
      </c>
    </row>
    <row r="341" spans="1:64" x14ac:dyDescent="0.3">
      <c r="A341" t="s">
        <v>1231</v>
      </c>
      <c r="B341" s="1" t="s">
        <v>1231</v>
      </c>
      <c r="C341" s="9" t="s">
        <v>1232</v>
      </c>
      <c r="D341" s="1" t="s">
        <v>95</v>
      </c>
      <c r="E341" s="1" t="s">
        <v>135</v>
      </c>
      <c r="F341" s="10" t="s">
        <v>348</v>
      </c>
      <c r="G341" s="1">
        <v>0</v>
      </c>
      <c r="H341" s="1">
        <v>0.05</v>
      </c>
      <c r="I341" s="8">
        <v>44958</v>
      </c>
      <c r="J341" s="6">
        <v>930675</v>
      </c>
      <c r="K341" s="6">
        <v>129618</v>
      </c>
      <c r="L341" s="6">
        <v>41547.99</v>
      </c>
      <c r="M341" s="6">
        <v>5786.52</v>
      </c>
      <c r="N341" s="7">
        <v>9466.9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63617.58</v>
      </c>
      <c r="U341" s="6">
        <v>56801.409999999996</v>
      </c>
      <c r="V341" s="6">
        <v>0</v>
      </c>
      <c r="W341" s="6">
        <v>5301.46</v>
      </c>
      <c r="X341" s="46">
        <v>45784</v>
      </c>
      <c r="Y341" s="1">
        <v>25111854</v>
      </c>
      <c r="Z341" s="1">
        <v>25111855</v>
      </c>
      <c r="AI341" s="2">
        <v>930675</v>
      </c>
      <c r="AJ341" s="2">
        <v>129618</v>
      </c>
      <c r="AK341" s="2">
        <v>41547.99</v>
      </c>
      <c r="AL341" s="2">
        <v>5786.52</v>
      </c>
      <c r="AM341" s="5">
        <v>9466.9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63617.58</v>
      </c>
      <c r="AT341" s="12">
        <v>56801.409999999996</v>
      </c>
      <c r="AU341" s="2">
        <v>0</v>
      </c>
      <c r="AV341" s="5">
        <v>5301.46</v>
      </c>
      <c r="BL341" s="1" t="s">
        <v>302</v>
      </c>
    </row>
    <row r="342" spans="1:64" x14ac:dyDescent="0.3">
      <c r="A342" t="s">
        <v>1244</v>
      </c>
      <c r="B342" s="1" t="s">
        <v>1244</v>
      </c>
      <c r="C342" s="9" t="s">
        <v>1245</v>
      </c>
      <c r="D342" s="1" t="s">
        <v>95</v>
      </c>
      <c r="E342" s="1" t="s">
        <v>88</v>
      </c>
      <c r="F342" s="10" t="s">
        <v>1170</v>
      </c>
      <c r="G342" s="1">
        <v>0</v>
      </c>
      <c r="H342" s="1">
        <v>0.05</v>
      </c>
      <c r="I342" s="8">
        <v>45036</v>
      </c>
      <c r="J342" s="6">
        <v>73382</v>
      </c>
      <c r="K342" s="6">
        <v>17278</v>
      </c>
      <c r="L342" s="6">
        <v>3275.98</v>
      </c>
      <c r="M342" s="6">
        <v>771.34</v>
      </c>
      <c r="N342" s="7">
        <v>809.46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5439.59</v>
      </c>
      <c r="U342" s="6">
        <v>4856.7800000000007</v>
      </c>
      <c r="V342" s="6">
        <v>0</v>
      </c>
      <c r="W342" s="6">
        <v>453.3</v>
      </c>
      <c r="X342" s="46">
        <v>45784</v>
      </c>
      <c r="Y342" s="1">
        <v>25111856</v>
      </c>
      <c r="Z342" s="1">
        <v>25111857</v>
      </c>
      <c r="AI342" s="2">
        <v>73382</v>
      </c>
      <c r="AJ342" s="2">
        <v>17278</v>
      </c>
      <c r="AK342" s="2">
        <v>3275.98</v>
      </c>
      <c r="AL342" s="2">
        <v>771.34</v>
      </c>
      <c r="AM342" s="5">
        <v>809.46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5439.59</v>
      </c>
      <c r="AT342" s="12">
        <v>4856.7800000000007</v>
      </c>
      <c r="AU342" s="2">
        <v>0</v>
      </c>
      <c r="AV342" s="5">
        <v>453.3</v>
      </c>
      <c r="BL342" s="1" t="s">
        <v>90</v>
      </c>
    </row>
    <row r="343" spans="1:64" x14ac:dyDescent="0.3">
      <c r="A343" t="s">
        <v>1256</v>
      </c>
      <c r="B343" s="1" t="s">
        <v>1256</v>
      </c>
      <c r="C343" s="9" t="s">
        <v>1257</v>
      </c>
      <c r="D343" s="1" t="s">
        <v>95</v>
      </c>
      <c r="E343" s="1" t="s">
        <v>128</v>
      </c>
      <c r="F343" s="10" t="s">
        <v>129</v>
      </c>
      <c r="G343" s="1">
        <v>0</v>
      </c>
      <c r="H343" s="1">
        <v>0.05</v>
      </c>
      <c r="I343" s="8">
        <v>45062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759934.5</v>
      </c>
      <c r="P343" s="6">
        <v>32513.1</v>
      </c>
      <c r="Q343" s="6">
        <v>33925.659999999996</v>
      </c>
      <c r="R343" s="6">
        <v>1451.49</v>
      </c>
      <c r="S343" s="7">
        <v>0</v>
      </c>
      <c r="T343" s="11">
        <v>39622.410000000003</v>
      </c>
      <c r="U343" s="6">
        <v>35377.149999999994</v>
      </c>
      <c r="V343" s="6">
        <v>0</v>
      </c>
      <c r="W343" s="6">
        <v>3962.24</v>
      </c>
      <c r="X343" s="46">
        <v>45784</v>
      </c>
      <c r="Y343" s="1">
        <v>25111858</v>
      </c>
      <c r="Z343" s="1">
        <v>25111859</v>
      </c>
      <c r="AI343" s="2">
        <v>0</v>
      </c>
      <c r="AJ343" s="2">
        <v>0</v>
      </c>
      <c r="AK343" s="2">
        <v>0</v>
      </c>
      <c r="AL343" s="2">
        <v>0</v>
      </c>
      <c r="AM343" s="5">
        <v>0</v>
      </c>
      <c r="AN343" s="12">
        <v>759934.5</v>
      </c>
      <c r="AO343" s="2">
        <v>32513.1</v>
      </c>
      <c r="AP343" s="2">
        <v>33925.659999999996</v>
      </c>
      <c r="AQ343" s="2">
        <v>1451.49</v>
      </c>
      <c r="AR343" s="5">
        <v>0</v>
      </c>
      <c r="AS343" s="2">
        <v>39622.410000000003</v>
      </c>
      <c r="AT343" s="12">
        <v>35377.149999999994</v>
      </c>
      <c r="AU343" s="2">
        <v>0</v>
      </c>
      <c r="AV343" s="5">
        <v>3962.24</v>
      </c>
      <c r="BL343" s="1" t="s">
        <v>130</v>
      </c>
    </row>
    <row r="344" spans="1:64" x14ac:dyDescent="0.3">
      <c r="A344" t="s">
        <v>1260</v>
      </c>
      <c r="B344" s="1" t="s">
        <v>1260</v>
      </c>
      <c r="C344" s="9" t="s">
        <v>1261</v>
      </c>
      <c r="D344" s="1" t="s">
        <v>95</v>
      </c>
      <c r="E344" s="1" t="s">
        <v>128</v>
      </c>
      <c r="F344" s="10" t="s">
        <v>129</v>
      </c>
      <c r="G344" s="1">
        <v>0</v>
      </c>
      <c r="H344" s="1">
        <v>0.05</v>
      </c>
      <c r="I344" s="8">
        <v>45085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539197.80000000005</v>
      </c>
      <c r="P344" s="6">
        <v>23571.600000000002</v>
      </c>
      <c r="Q344" s="6">
        <v>24071.33</v>
      </c>
      <c r="R344" s="6">
        <v>1052.3</v>
      </c>
      <c r="S344" s="7">
        <v>0</v>
      </c>
      <c r="T344" s="11">
        <v>28138.47</v>
      </c>
      <c r="U344" s="6">
        <v>25123.63</v>
      </c>
      <c r="V344" s="6">
        <v>0</v>
      </c>
      <c r="W344" s="6">
        <v>2813.85</v>
      </c>
      <c r="X344" s="46">
        <v>45784</v>
      </c>
      <c r="Y344" s="1">
        <v>25111860</v>
      </c>
      <c r="Z344" s="1">
        <v>25111861</v>
      </c>
      <c r="AI344" s="2">
        <v>0</v>
      </c>
      <c r="AJ344" s="2">
        <v>0</v>
      </c>
      <c r="AK344" s="2">
        <v>0</v>
      </c>
      <c r="AL344" s="2">
        <v>0</v>
      </c>
      <c r="AM344" s="5">
        <v>0</v>
      </c>
      <c r="AN344" s="12">
        <v>539197.80000000005</v>
      </c>
      <c r="AO344" s="2">
        <v>23571.600000000002</v>
      </c>
      <c r="AP344" s="2">
        <v>24071.33</v>
      </c>
      <c r="AQ344" s="2">
        <v>1052.3</v>
      </c>
      <c r="AR344" s="5">
        <v>0</v>
      </c>
      <c r="AS344" s="2">
        <v>28138.47</v>
      </c>
      <c r="AT344" s="12">
        <v>25123.63</v>
      </c>
      <c r="AU344" s="2">
        <v>0</v>
      </c>
      <c r="AV344" s="5">
        <v>2813.85</v>
      </c>
      <c r="BL344" s="1" t="s">
        <v>130</v>
      </c>
    </row>
    <row r="345" spans="1:64" x14ac:dyDescent="0.3">
      <c r="A345" t="s">
        <v>1264</v>
      </c>
      <c r="B345" s="1" t="s">
        <v>1264</v>
      </c>
      <c r="C345" s="9" t="s">
        <v>1265</v>
      </c>
      <c r="D345" s="1" t="s">
        <v>95</v>
      </c>
      <c r="E345" s="1" t="s">
        <v>135</v>
      </c>
      <c r="F345" s="10" t="s">
        <v>435</v>
      </c>
      <c r="G345" s="1">
        <v>0</v>
      </c>
      <c r="H345" s="1">
        <v>0.05</v>
      </c>
      <c r="I345" s="8">
        <v>45066</v>
      </c>
      <c r="J345" s="6">
        <v>683821</v>
      </c>
      <c r="K345" s="6">
        <v>105075</v>
      </c>
      <c r="L345" s="6">
        <v>30527.72</v>
      </c>
      <c r="M345" s="6">
        <v>4690.8500000000004</v>
      </c>
      <c r="N345" s="7">
        <v>7043.71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47333.75</v>
      </c>
      <c r="U345" s="6">
        <v>42262.28</v>
      </c>
      <c r="V345" s="6">
        <v>0</v>
      </c>
      <c r="W345" s="6">
        <v>3944.48</v>
      </c>
      <c r="X345" s="46">
        <v>45784</v>
      </c>
      <c r="Y345" s="1">
        <v>25111862</v>
      </c>
      <c r="Z345" s="1">
        <v>25111863</v>
      </c>
      <c r="AI345" s="2">
        <v>683821</v>
      </c>
      <c r="AJ345" s="2">
        <v>105075</v>
      </c>
      <c r="AK345" s="2">
        <v>30527.72</v>
      </c>
      <c r="AL345" s="2">
        <v>4690.8500000000004</v>
      </c>
      <c r="AM345" s="5">
        <v>7043.71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47333.75</v>
      </c>
      <c r="AT345" s="12">
        <v>42262.28</v>
      </c>
      <c r="AU345" s="2">
        <v>0</v>
      </c>
      <c r="AV345" s="5">
        <v>3944.48</v>
      </c>
      <c r="BL345" s="1" t="s">
        <v>137</v>
      </c>
    </row>
    <row r="346" spans="1:64" x14ac:dyDescent="0.3">
      <c r="A346" t="s">
        <v>1266</v>
      </c>
      <c r="B346" s="1" t="s">
        <v>1266</v>
      </c>
      <c r="C346" s="9" t="s">
        <v>1267</v>
      </c>
      <c r="D346" s="1" t="s">
        <v>95</v>
      </c>
      <c r="E346" s="1" t="s">
        <v>128</v>
      </c>
      <c r="F346" s="10" t="s">
        <v>129</v>
      </c>
      <c r="G346" s="1">
        <v>0</v>
      </c>
      <c r="H346" s="1">
        <v>0.05</v>
      </c>
      <c r="I346" s="8">
        <v>45091</v>
      </c>
      <c r="J346" s="6">
        <v>529334</v>
      </c>
      <c r="K346" s="6">
        <v>9561</v>
      </c>
      <c r="L346" s="6">
        <v>23630.98</v>
      </c>
      <c r="M346" s="6">
        <v>426.83</v>
      </c>
      <c r="N346" s="7">
        <v>4811.5600000000004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32333.69</v>
      </c>
      <c r="U346" s="6">
        <v>28869.370000000003</v>
      </c>
      <c r="V346" s="6">
        <v>0</v>
      </c>
      <c r="W346" s="6">
        <v>2694.48</v>
      </c>
      <c r="X346" s="46">
        <v>45784</v>
      </c>
      <c r="Y346" s="1">
        <v>25111864</v>
      </c>
      <c r="Z346" s="1">
        <v>25111865</v>
      </c>
      <c r="AI346" s="2">
        <v>529334</v>
      </c>
      <c r="AJ346" s="2">
        <v>9561</v>
      </c>
      <c r="AK346" s="2">
        <v>23630.98</v>
      </c>
      <c r="AL346" s="2">
        <v>426.83</v>
      </c>
      <c r="AM346" s="5">
        <v>4811.5600000000004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32333.69</v>
      </c>
      <c r="AT346" s="12">
        <v>28869.370000000003</v>
      </c>
      <c r="AU346" s="2">
        <v>0</v>
      </c>
      <c r="AV346" s="5">
        <v>2694.48</v>
      </c>
      <c r="BL346" s="1" t="s">
        <v>130</v>
      </c>
    </row>
    <row r="347" spans="1:64" x14ac:dyDescent="0.3">
      <c r="A347" t="s">
        <v>1278</v>
      </c>
      <c r="B347" s="1" t="s">
        <v>1278</v>
      </c>
      <c r="C347" s="9" t="s">
        <v>1279</v>
      </c>
      <c r="D347" s="1" t="s">
        <v>95</v>
      </c>
      <c r="E347" s="1" t="s">
        <v>135</v>
      </c>
      <c r="F347" s="10" t="s">
        <v>193</v>
      </c>
      <c r="G347" s="1">
        <v>0</v>
      </c>
      <c r="H347" s="1">
        <v>0.05</v>
      </c>
      <c r="I347" s="8">
        <v>45107</v>
      </c>
      <c r="J347" s="6">
        <v>437178</v>
      </c>
      <c r="K347" s="6">
        <v>34211</v>
      </c>
      <c r="L347" s="6">
        <v>19516.88</v>
      </c>
      <c r="M347" s="6">
        <v>1527.28</v>
      </c>
      <c r="N347" s="7">
        <v>4208.83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28283.35</v>
      </c>
      <c r="U347" s="6">
        <v>25252.989999999998</v>
      </c>
      <c r="V347" s="6">
        <v>0</v>
      </c>
      <c r="W347" s="6">
        <v>2356.9499999999998</v>
      </c>
      <c r="X347" s="46">
        <v>45784</v>
      </c>
      <c r="Y347" s="1">
        <v>25111866</v>
      </c>
      <c r="Z347" s="1">
        <v>25111867</v>
      </c>
      <c r="AI347" s="2">
        <v>437178</v>
      </c>
      <c r="AJ347" s="2">
        <v>34211</v>
      </c>
      <c r="AK347" s="2">
        <v>19516.88</v>
      </c>
      <c r="AL347" s="2">
        <v>1527.28</v>
      </c>
      <c r="AM347" s="5">
        <v>4208.83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28283.35</v>
      </c>
      <c r="AT347" s="12">
        <v>25252.989999999998</v>
      </c>
      <c r="AU347" s="2">
        <v>0</v>
      </c>
      <c r="AV347" s="5">
        <v>2356.9499999999998</v>
      </c>
      <c r="BL347" s="1" t="s">
        <v>137</v>
      </c>
    </row>
    <row r="348" spans="1:64" x14ac:dyDescent="0.3">
      <c r="A348" t="s">
        <v>1280</v>
      </c>
      <c r="B348" s="1" t="s">
        <v>1280</v>
      </c>
      <c r="C348" s="9" t="s">
        <v>1281</v>
      </c>
      <c r="D348" s="1" t="s">
        <v>95</v>
      </c>
      <c r="E348" s="1" t="s">
        <v>88</v>
      </c>
      <c r="F348" s="10" t="s">
        <v>1170</v>
      </c>
      <c r="G348" s="1">
        <v>0</v>
      </c>
      <c r="H348" s="1">
        <v>0.05</v>
      </c>
      <c r="I348" s="8">
        <v>45135</v>
      </c>
      <c r="J348" s="6">
        <v>97936</v>
      </c>
      <c r="K348" s="6">
        <v>23500</v>
      </c>
      <c r="L348" s="6">
        <v>4372.1400000000003</v>
      </c>
      <c r="M348" s="6">
        <v>1049.1099999999999</v>
      </c>
      <c r="N348" s="7">
        <v>1084.25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7286.16</v>
      </c>
      <c r="U348" s="6">
        <v>6505.5</v>
      </c>
      <c r="V348" s="6">
        <v>0</v>
      </c>
      <c r="W348" s="6">
        <v>607.17999999999995</v>
      </c>
      <c r="X348" s="46">
        <v>45784</v>
      </c>
      <c r="Y348" s="1">
        <v>25111868</v>
      </c>
      <c r="Z348" s="1">
        <v>25111869</v>
      </c>
      <c r="AI348" s="2">
        <v>97936</v>
      </c>
      <c r="AJ348" s="2">
        <v>23500</v>
      </c>
      <c r="AK348" s="2">
        <v>4372.1400000000003</v>
      </c>
      <c r="AL348" s="2">
        <v>1049.1099999999999</v>
      </c>
      <c r="AM348" s="5">
        <v>1084.25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7286.16</v>
      </c>
      <c r="AT348" s="12">
        <v>6505.5</v>
      </c>
      <c r="AU348" s="2">
        <v>0</v>
      </c>
      <c r="AV348" s="5">
        <v>607.17999999999995</v>
      </c>
      <c r="BL348" s="1" t="s">
        <v>90</v>
      </c>
    </row>
    <row r="349" spans="1:64" x14ac:dyDescent="0.3">
      <c r="A349" t="s">
        <v>1284</v>
      </c>
      <c r="B349" s="1" t="s">
        <v>1284</v>
      </c>
      <c r="C349" s="9" t="s">
        <v>1285</v>
      </c>
      <c r="D349" s="1" t="s">
        <v>95</v>
      </c>
      <c r="E349" s="1" t="s">
        <v>135</v>
      </c>
      <c r="F349" s="10" t="s">
        <v>348</v>
      </c>
      <c r="G349" s="1">
        <v>0</v>
      </c>
      <c r="H349" s="1">
        <v>0.05</v>
      </c>
      <c r="I349" s="8">
        <v>45107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637058.10000000009</v>
      </c>
      <c r="P349" s="6">
        <v>26201.399999999998</v>
      </c>
      <c r="Q349" s="6">
        <v>28440.1</v>
      </c>
      <c r="R349" s="6">
        <v>1169.71</v>
      </c>
      <c r="S349" s="7">
        <v>0</v>
      </c>
      <c r="T349" s="11">
        <v>33162.99</v>
      </c>
      <c r="U349" s="6">
        <v>29609.809999999998</v>
      </c>
      <c r="V349" s="6">
        <v>0</v>
      </c>
      <c r="W349" s="6">
        <v>3316.3</v>
      </c>
      <c r="X349" s="46">
        <v>45784</v>
      </c>
      <c r="Y349" s="1">
        <v>25111870</v>
      </c>
      <c r="Z349" s="1">
        <v>25111871</v>
      </c>
      <c r="AI349" s="2">
        <v>0</v>
      </c>
      <c r="AJ349" s="2">
        <v>0</v>
      </c>
      <c r="AK349" s="2">
        <v>0</v>
      </c>
      <c r="AL349" s="2">
        <v>0</v>
      </c>
      <c r="AM349" s="5">
        <v>0</v>
      </c>
      <c r="AN349" s="12">
        <v>637058.10000000009</v>
      </c>
      <c r="AO349" s="2">
        <v>26201.399999999998</v>
      </c>
      <c r="AP349" s="2">
        <v>28440.1</v>
      </c>
      <c r="AQ349" s="2">
        <v>1169.71</v>
      </c>
      <c r="AR349" s="5">
        <v>0</v>
      </c>
      <c r="AS349" s="2">
        <v>33162.99</v>
      </c>
      <c r="AT349" s="12">
        <v>29609.809999999998</v>
      </c>
      <c r="AU349" s="2">
        <v>0</v>
      </c>
      <c r="AV349" s="5">
        <v>3316.3</v>
      </c>
      <c r="BL349" s="1" t="s">
        <v>137</v>
      </c>
    </row>
    <row r="350" spans="1:64" x14ac:dyDescent="0.3">
      <c r="A350" t="s">
        <v>1286</v>
      </c>
      <c r="B350" s="1" t="s">
        <v>1286</v>
      </c>
      <c r="C350" s="9" t="s">
        <v>1287</v>
      </c>
      <c r="D350" s="1" t="s">
        <v>95</v>
      </c>
      <c r="E350" s="1" t="s">
        <v>135</v>
      </c>
      <c r="F350" s="10" t="s">
        <v>435</v>
      </c>
      <c r="G350" s="1">
        <v>0</v>
      </c>
      <c r="H350" s="1">
        <v>0.05</v>
      </c>
      <c r="I350" s="8">
        <v>45122</v>
      </c>
      <c r="J350" s="6">
        <v>407904</v>
      </c>
      <c r="K350" s="6">
        <v>46319</v>
      </c>
      <c r="L350" s="6">
        <v>18210</v>
      </c>
      <c r="M350" s="6">
        <v>2067.81</v>
      </c>
      <c r="N350" s="7">
        <v>4055.56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27253.37</v>
      </c>
      <c r="U350" s="6">
        <v>24333.370000000003</v>
      </c>
      <c r="V350" s="6">
        <v>0</v>
      </c>
      <c r="W350" s="6">
        <v>2271.12</v>
      </c>
      <c r="X350" s="46">
        <v>45784</v>
      </c>
      <c r="Y350" s="1">
        <v>25111872</v>
      </c>
      <c r="Z350" s="1">
        <v>25111873</v>
      </c>
      <c r="AI350" s="2">
        <v>407904</v>
      </c>
      <c r="AJ350" s="2">
        <v>46319</v>
      </c>
      <c r="AK350" s="2">
        <v>18210</v>
      </c>
      <c r="AL350" s="2">
        <v>2067.81</v>
      </c>
      <c r="AM350" s="5">
        <v>4055.56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27253.37</v>
      </c>
      <c r="AT350" s="12">
        <v>24333.370000000003</v>
      </c>
      <c r="AU350" s="2">
        <v>0</v>
      </c>
      <c r="AV350" s="5">
        <v>2271.12</v>
      </c>
      <c r="BL350" s="1" t="s">
        <v>137</v>
      </c>
    </row>
    <row r="351" spans="1:64" x14ac:dyDescent="0.3">
      <c r="A351" t="s">
        <v>1288</v>
      </c>
      <c r="B351" s="1" t="s">
        <v>1289</v>
      </c>
      <c r="C351" s="9" t="s">
        <v>1290</v>
      </c>
      <c r="D351" s="1" t="s">
        <v>95</v>
      </c>
      <c r="E351" s="1" t="s">
        <v>128</v>
      </c>
      <c r="F351" s="10" t="s">
        <v>401</v>
      </c>
      <c r="G351" s="1">
        <v>3.5000000000000003E-2</v>
      </c>
      <c r="H351" s="1">
        <v>0.05</v>
      </c>
      <c r="I351" s="8">
        <v>45664</v>
      </c>
      <c r="J351" s="6">
        <v>1837116</v>
      </c>
      <c r="K351" s="6">
        <v>93476</v>
      </c>
      <c r="L351" s="6">
        <v>82014.11</v>
      </c>
      <c r="M351" s="6">
        <v>4173.03</v>
      </c>
      <c r="N351" s="7">
        <v>17237.43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115835.52</v>
      </c>
      <c r="U351" s="6">
        <v>103424.56999999999</v>
      </c>
      <c r="V351" s="6">
        <v>0</v>
      </c>
      <c r="W351" s="6">
        <v>9652.9599999999991</v>
      </c>
      <c r="X351" s="46">
        <v>45784</v>
      </c>
      <c r="Y351" s="1">
        <v>25111874</v>
      </c>
      <c r="Z351" s="1">
        <v>25111875</v>
      </c>
      <c r="AI351" s="2">
        <v>1837116</v>
      </c>
      <c r="AJ351" s="2">
        <v>93476</v>
      </c>
      <c r="AK351" s="2">
        <v>82014.11</v>
      </c>
      <c r="AL351" s="2">
        <v>4173.03</v>
      </c>
      <c r="AM351" s="5">
        <v>17237.43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115835.52</v>
      </c>
      <c r="AT351" s="12">
        <v>103424.56999999999</v>
      </c>
      <c r="AU351" s="2">
        <v>0</v>
      </c>
      <c r="AV351" s="5">
        <v>9652.9599999999991</v>
      </c>
      <c r="BL351" s="1" t="s">
        <v>326</v>
      </c>
    </row>
    <row r="352" spans="1:64" x14ac:dyDescent="0.3">
      <c r="A352" t="s">
        <v>1304</v>
      </c>
      <c r="B352" s="1" t="s">
        <v>1304</v>
      </c>
      <c r="C352" s="9" t="s">
        <v>1305</v>
      </c>
      <c r="D352" s="1" t="s">
        <v>95</v>
      </c>
      <c r="E352" s="1" t="s">
        <v>88</v>
      </c>
      <c r="F352" s="10" t="s">
        <v>1170</v>
      </c>
      <c r="G352" s="1">
        <v>0</v>
      </c>
      <c r="H352" s="1">
        <v>0.05</v>
      </c>
      <c r="I352" s="8">
        <v>45316</v>
      </c>
      <c r="J352" s="6">
        <v>321992</v>
      </c>
      <c r="K352" s="6">
        <v>41865</v>
      </c>
      <c r="L352" s="6">
        <v>14374.64</v>
      </c>
      <c r="M352" s="6">
        <v>1868.97</v>
      </c>
      <c r="N352" s="7">
        <v>3248.72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21831.41</v>
      </c>
      <c r="U352" s="6">
        <v>19492.329999999998</v>
      </c>
      <c r="V352" s="6">
        <v>0</v>
      </c>
      <c r="W352" s="6">
        <v>1819.28</v>
      </c>
      <c r="X352" s="46">
        <v>45784</v>
      </c>
      <c r="Y352" s="1">
        <v>25111876</v>
      </c>
      <c r="Z352" s="1">
        <v>25111877</v>
      </c>
      <c r="AI352" s="2">
        <v>321992</v>
      </c>
      <c r="AJ352" s="2">
        <v>41865</v>
      </c>
      <c r="AK352" s="2">
        <v>14374.64</v>
      </c>
      <c r="AL352" s="2">
        <v>1868.97</v>
      </c>
      <c r="AM352" s="5">
        <v>3248.72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21831.41</v>
      </c>
      <c r="AT352" s="12">
        <v>19492.329999999998</v>
      </c>
      <c r="AU352" s="2">
        <v>0</v>
      </c>
      <c r="AV352" s="5">
        <v>1819.28</v>
      </c>
      <c r="BL352" s="1" t="s">
        <v>90</v>
      </c>
    </row>
    <row r="353" spans="1:64" x14ac:dyDescent="0.3">
      <c r="A353" t="s">
        <v>1306</v>
      </c>
      <c r="B353" s="1" t="s">
        <v>1306</v>
      </c>
      <c r="C353" s="9" t="s">
        <v>1307</v>
      </c>
      <c r="D353" s="1" t="s">
        <v>95</v>
      </c>
      <c r="E353" s="1" t="s">
        <v>128</v>
      </c>
      <c r="F353" s="10" t="s">
        <v>129</v>
      </c>
      <c r="G353" s="1">
        <v>0</v>
      </c>
      <c r="H353" s="1">
        <v>0.05</v>
      </c>
      <c r="I353" s="8">
        <v>45199</v>
      </c>
      <c r="J353" s="6">
        <v>174100</v>
      </c>
      <c r="K353" s="6">
        <v>53874</v>
      </c>
      <c r="L353" s="6">
        <v>7772.32</v>
      </c>
      <c r="M353" s="6">
        <v>2405.09</v>
      </c>
      <c r="N353" s="7">
        <v>2035.48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13678.44</v>
      </c>
      <c r="U353" s="6">
        <v>12212.89</v>
      </c>
      <c r="V353" s="6">
        <v>0</v>
      </c>
      <c r="W353" s="6">
        <v>1139.8699999999999</v>
      </c>
      <c r="X353" s="46">
        <v>45784</v>
      </c>
      <c r="Y353" s="1">
        <v>25111878</v>
      </c>
      <c r="Z353" s="1">
        <v>25111879</v>
      </c>
      <c r="AI353" s="2">
        <v>174100</v>
      </c>
      <c r="AJ353" s="2">
        <v>53874</v>
      </c>
      <c r="AK353" s="2">
        <v>7772.32</v>
      </c>
      <c r="AL353" s="2">
        <v>2405.09</v>
      </c>
      <c r="AM353" s="5">
        <v>2035.48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13678.44</v>
      </c>
      <c r="AT353" s="12">
        <v>12212.89</v>
      </c>
      <c r="AU353" s="2">
        <v>0</v>
      </c>
      <c r="AV353" s="5">
        <v>1139.8699999999999</v>
      </c>
      <c r="BL353" s="1" t="s">
        <v>130</v>
      </c>
    </row>
    <row r="354" spans="1:64" x14ac:dyDescent="0.3">
      <c r="A354" t="s">
        <v>1318</v>
      </c>
      <c r="B354" s="1" t="s">
        <v>1318</v>
      </c>
      <c r="C354" s="9" t="s">
        <v>1319</v>
      </c>
      <c r="D354" s="1" t="s">
        <v>95</v>
      </c>
      <c r="E354" s="1" t="s">
        <v>88</v>
      </c>
      <c r="F354" s="10" t="s">
        <v>218</v>
      </c>
      <c r="G354" s="1">
        <v>0</v>
      </c>
      <c r="H354" s="1">
        <v>0.05</v>
      </c>
      <c r="I354" s="8">
        <v>45615</v>
      </c>
      <c r="J354" s="6">
        <v>481894</v>
      </c>
      <c r="K354" s="6">
        <v>32996</v>
      </c>
      <c r="L354" s="6">
        <v>21513.119999999999</v>
      </c>
      <c r="M354" s="6">
        <v>1473.04</v>
      </c>
      <c r="N354" s="7">
        <v>4597.2299999999996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30893.4</v>
      </c>
      <c r="U354" s="6">
        <v>27583.39</v>
      </c>
      <c r="V354" s="6">
        <v>0</v>
      </c>
      <c r="W354" s="6">
        <v>2574.4499999999998</v>
      </c>
      <c r="X354" s="46">
        <v>45784</v>
      </c>
      <c r="Y354" s="1">
        <v>25111880</v>
      </c>
      <c r="Z354" s="1">
        <v>25111881</v>
      </c>
      <c r="AI354" s="2">
        <v>481894</v>
      </c>
      <c r="AJ354" s="2">
        <v>32996</v>
      </c>
      <c r="AK354" s="2">
        <v>21513.119999999999</v>
      </c>
      <c r="AL354" s="2">
        <v>1473.04</v>
      </c>
      <c r="AM354" s="5">
        <v>4597.2299999999996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30893.4</v>
      </c>
      <c r="AT354" s="12">
        <v>27583.39</v>
      </c>
      <c r="AU354" s="2">
        <v>0</v>
      </c>
      <c r="AV354" s="5">
        <v>2574.4499999999998</v>
      </c>
      <c r="BL354" s="1" t="s">
        <v>90</v>
      </c>
    </row>
    <row r="355" spans="1:64" x14ac:dyDescent="0.3">
      <c r="A355" t="s">
        <v>1320</v>
      </c>
      <c r="B355" s="1" t="s">
        <v>1320</v>
      </c>
      <c r="C355" s="9" t="s">
        <v>1321</v>
      </c>
      <c r="D355" s="1" t="s">
        <v>95</v>
      </c>
      <c r="E355" s="1" t="s">
        <v>88</v>
      </c>
      <c r="F355" s="10" t="s">
        <v>96</v>
      </c>
      <c r="G355" s="1">
        <v>0</v>
      </c>
      <c r="H355" s="1">
        <v>0.05</v>
      </c>
      <c r="I355" s="8">
        <v>45185</v>
      </c>
      <c r="J355" s="6">
        <v>294984</v>
      </c>
      <c r="K355" s="6">
        <v>112813</v>
      </c>
      <c r="L355" s="6">
        <v>13168.93</v>
      </c>
      <c r="M355" s="6">
        <v>5036.29</v>
      </c>
      <c r="N355" s="7">
        <v>3641.04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24467.81</v>
      </c>
      <c r="U355" s="6">
        <v>21846.260000000002</v>
      </c>
      <c r="V355" s="6">
        <v>0</v>
      </c>
      <c r="W355" s="6">
        <v>2038.98</v>
      </c>
      <c r="X355" s="46">
        <v>45784</v>
      </c>
      <c r="Y355" s="1">
        <v>25111882</v>
      </c>
      <c r="Z355" s="1">
        <v>25111883</v>
      </c>
      <c r="AI355" s="2">
        <v>294984</v>
      </c>
      <c r="AJ355" s="2">
        <v>112813</v>
      </c>
      <c r="AK355" s="2">
        <v>13168.93</v>
      </c>
      <c r="AL355" s="2">
        <v>5036.29</v>
      </c>
      <c r="AM355" s="5">
        <v>3641.04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24467.81</v>
      </c>
      <c r="AT355" s="12">
        <v>21846.260000000002</v>
      </c>
      <c r="AU355" s="2">
        <v>0</v>
      </c>
      <c r="AV355" s="5">
        <v>2038.98</v>
      </c>
      <c r="BL355" s="1" t="s">
        <v>90</v>
      </c>
    </row>
    <row r="356" spans="1:64" x14ac:dyDescent="0.3">
      <c r="A356" t="s">
        <v>1322</v>
      </c>
      <c r="B356" s="1" t="s">
        <v>1322</v>
      </c>
      <c r="C356" s="9" t="s">
        <v>1323</v>
      </c>
      <c r="D356" s="1" t="s">
        <v>95</v>
      </c>
      <c r="E356" s="1" t="s">
        <v>135</v>
      </c>
      <c r="F356" s="10" t="s">
        <v>435</v>
      </c>
      <c r="G356" s="1">
        <v>0</v>
      </c>
      <c r="H356" s="1">
        <v>0.05</v>
      </c>
      <c r="I356" s="8">
        <v>45184</v>
      </c>
      <c r="J356" s="6">
        <v>499441</v>
      </c>
      <c r="K356" s="6">
        <v>70210</v>
      </c>
      <c r="L356" s="6">
        <v>22296.47</v>
      </c>
      <c r="M356" s="6">
        <v>3134.38</v>
      </c>
      <c r="N356" s="7">
        <v>5086.17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34179.06</v>
      </c>
      <c r="U356" s="6">
        <v>30517.02</v>
      </c>
      <c r="V356" s="6">
        <v>0</v>
      </c>
      <c r="W356" s="6">
        <v>2848.26</v>
      </c>
      <c r="X356" s="46">
        <v>45784</v>
      </c>
      <c r="Y356" s="1">
        <v>25111884</v>
      </c>
      <c r="Z356" s="1">
        <v>25111885</v>
      </c>
      <c r="AI356" s="2">
        <v>499441</v>
      </c>
      <c r="AJ356" s="2">
        <v>70210</v>
      </c>
      <c r="AK356" s="2">
        <v>22296.47</v>
      </c>
      <c r="AL356" s="2">
        <v>3134.38</v>
      </c>
      <c r="AM356" s="5">
        <v>5086.17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34179.06</v>
      </c>
      <c r="AT356" s="12">
        <v>30517.02</v>
      </c>
      <c r="AU356" s="2">
        <v>0</v>
      </c>
      <c r="AV356" s="5">
        <v>2848.26</v>
      </c>
      <c r="BL356" s="1" t="s">
        <v>137</v>
      </c>
    </row>
    <row r="357" spans="1:64" x14ac:dyDescent="0.3">
      <c r="A357" t="s">
        <v>1344</v>
      </c>
      <c r="B357" s="1" t="s">
        <v>1344</v>
      </c>
      <c r="C357" s="9" t="s">
        <v>1345</v>
      </c>
      <c r="D357" s="1" t="s">
        <v>95</v>
      </c>
      <c r="E357" s="1" t="s">
        <v>88</v>
      </c>
      <c r="F357" s="10" t="s">
        <v>1170</v>
      </c>
      <c r="G357" s="1">
        <v>0</v>
      </c>
      <c r="H357" s="1">
        <v>0.05</v>
      </c>
      <c r="I357" s="8">
        <v>45280</v>
      </c>
      <c r="J357" s="6">
        <v>45644</v>
      </c>
      <c r="K357" s="6">
        <v>15832</v>
      </c>
      <c r="L357" s="6">
        <v>2037.68</v>
      </c>
      <c r="M357" s="6">
        <v>706.79</v>
      </c>
      <c r="N357" s="7">
        <v>548.89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3688.56</v>
      </c>
      <c r="U357" s="6">
        <v>3293.36</v>
      </c>
      <c r="V357" s="6">
        <v>0</v>
      </c>
      <c r="W357" s="6">
        <v>307.38</v>
      </c>
      <c r="X357" s="46">
        <v>45784</v>
      </c>
      <c r="Y357" s="1">
        <v>25111886</v>
      </c>
      <c r="Z357" s="1">
        <v>25111887</v>
      </c>
      <c r="AI357" s="2">
        <v>45644</v>
      </c>
      <c r="AJ357" s="2">
        <v>15832</v>
      </c>
      <c r="AK357" s="2">
        <v>2037.68</v>
      </c>
      <c r="AL357" s="2">
        <v>706.79</v>
      </c>
      <c r="AM357" s="5">
        <v>548.89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3688.56</v>
      </c>
      <c r="AT357" s="12">
        <v>3293.36</v>
      </c>
      <c r="AU357" s="2">
        <v>0</v>
      </c>
      <c r="AV357" s="5">
        <v>307.38</v>
      </c>
      <c r="BL357" s="1" t="s">
        <v>90</v>
      </c>
    </row>
    <row r="358" spans="1:64" x14ac:dyDescent="0.3">
      <c r="A358" t="s">
        <v>1346</v>
      </c>
      <c r="B358" s="1" t="s">
        <v>1346</v>
      </c>
      <c r="C358" s="9" t="s">
        <v>1347</v>
      </c>
      <c r="D358" s="1" t="s">
        <v>95</v>
      </c>
      <c r="E358" s="1" t="s">
        <v>88</v>
      </c>
      <c r="F358" s="10" t="s">
        <v>1348</v>
      </c>
      <c r="G358" s="1">
        <v>0</v>
      </c>
      <c r="H358" s="1">
        <v>0.05</v>
      </c>
      <c r="I358" s="8">
        <v>45270</v>
      </c>
      <c r="J358" s="6">
        <v>158704</v>
      </c>
      <c r="K358" s="6">
        <v>35464</v>
      </c>
      <c r="L358" s="6">
        <v>7085</v>
      </c>
      <c r="M358" s="6">
        <v>1583.21</v>
      </c>
      <c r="N358" s="7">
        <v>1733.64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11650.07</v>
      </c>
      <c r="U358" s="6">
        <v>10401.849999999999</v>
      </c>
      <c r="V358" s="6">
        <v>0</v>
      </c>
      <c r="W358" s="6">
        <v>970.84</v>
      </c>
      <c r="X358" s="46">
        <v>45784</v>
      </c>
      <c r="Y358" s="1">
        <v>25111888</v>
      </c>
      <c r="Z358" s="1">
        <v>25111889</v>
      </c>
      <c r="AI358" s="2">
        <v>158704</v>
      </c>
      <c r="AJ358" s="2">
        <v>35464</v>
      </c>
      <c r="AK358" s="2">
        <v>7085</v>
      </c>
      <c r="AL358" s="2">
        <v>1583.21</v>
      </c>
      <c r="AM358" s="5">
        <v>1733.64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11650.07</v>
      </c>
      <c r="AT358" s="12">
        <v>10401.849999999999</v>
      </c>
      <c r="AU358" s="2">
        <v>0</v>
      </c>
      <c r="AV358" s="5">
        <v>970.84</v>
      </c>
      <c r="BL358" s="1" t="s">
        <v>90</v>
      </c>
    </row>
    <row r="359" spans="1:64" x14ac:dyDescent="0.3">
      <c r="A359" t="s">
        <v>1349</v>
      </c>
      <c r="B359" s="1" t="s">
        <v>1349</v>
      </c>
      <c r="C359" s="9" t="s">
        <v>1350</v>
      </c>
      <c r="D359" s="1" t="s">
        <v>95</v>
      </c>
      <c r="E359" s="1" t="s">
        <v>135</v>
      </c>
      <c r="F359" s="10" t="s">
        <v>435</v>
      </c>
      <c r="G359" s="1">
        <v>0</v>
      </c>
      <c r="H359" s="1">
        <v>0.05</v>
      </c>
      <c r="I359" s="8">
        <v>45270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400403.10000000003</v>
      </c>
      <c r="P359" s="6">
        <v>16609.5</v>
      </c>
      <c r="Q359" s="6">
        <v>17875.14</v>
      </c>
      <c r="R359" s="6">
        <v>741.5</v>
      </c>
      <c r="S359" s="7">
        <v>0</v>
      </c>
      <c r="T359" s="11">
        <v>20850.64</v>
      </c>
      <c r="U359" s="6">
        <v>18616.64</v>
      </c>
      <c r="V359" s="6">
        <v>0</v>
      </c>
      <c r="W359" s="6">
        <v>2085.06</v>
      </c>
      <c r="X359" s="46">
        <v>45784</v>
      </c>
      <c r="Y359" s="1">
        <v>25111890</v>
      </c>
      <c r="Z359" s="1">
        <v>25111891</v>
      </c>
      <c r="AI359" s="2">
        <v>0</v>
      </c>
      <c r="AJ359" s="2">
        <v>0</v>
      </c>
      <c r="AK359" s="2">
        <v>0</v>
      </c>
      <c r="AL359" s="2">
        <v>0</v>
      </c>
      <c r="AM359" s="5">
        <v>0</v>
      </c>
      <c r="AN359" s="12">
        <v>400403.10000000003</v>
      </c>
      <c r="AO359" s="2">
        <v>16609.5</v>
      </c>
      <c r="AP359" s="2">
        <v>17875.14</v>
      </c>
      <c r="AQ359" s="2">
        <v>741.5</v>
      </c>
      <c r="AR359" s="5">
        <v>0</v>
      </c>
      <c r="AS359" s="2">
        <v>20850.64</v>
      </c>
      <c r="AT359" s="12">
        <v>18616.64</v>
      </c>
      <c r="AU359" s="2">
        <v>0</v>
      </c>
      <c r="AV359" s="5">
        <v>2085.06</v>
      </c>
      <c r="BL359" s="1" t="s">
        <v>137</v>
      </c>
    </row>
    <row r="360" spans="1:64" x14ac:dyDescent="0.3">
      <c r="A360" t="s">
        <v>1355</v>
      </c>
      <c r="B360" s="1" t="s">
        <v>1355</v>
      </c>
      <c r="C360" s="9" t="s">
        <v>1356</v>
      </c>
      <c r="D360" s="1" t="s">
        <v>95</v>
      </c>
      <c r="E360" s="1" t="s">
        <v>88</v>
      </c>
      <c r="F360" s="10" t="s">
        <v>96</v>
      </c>
      <c r="G360" s="1">
        <v>0</v>
      </c>
      <c r="H360" s="1">
        <v>0.05</v>
      </c>
      <c r="I360" s="8">
        <v>45390</v>
      </c>
      <c r="J360" s="6">
        <v>833163.65</v>
      </c>
      <c r="K360" s="6">
        <v>105387</v>
      </c>
      <c r="L360" s="6">
        <v>37194.81</v>
      </c>
      <c r="M360" s="6">
        <v>4704.78</v>
      </c>
      <c r="N360" s="7">
        <v>8379.91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56313.04</v>
      </c>
      <c r="U360" s="6">
        <v>50279.5</v>
      </c>
      <c r="V360" s="6">
        <v>0</v>
      </c>
      <c r="W360" s="6">
        <v>4692.75</v>
      </c>
      <c r="X360" s="46">
        <v>45784</v>
      </c>
      <c r="Y360" s="1">
        <v>25111892</v>
      </c>
      <c r="Z360" s="1">
        <v>25111893</v>
      </c>
      <c r="AI360" s="2">
        <v>833163.65</v>
      </c>
      <c r="AJ360" s="2">
        <v>105387</v>
      </c>
      <c r="AK360" s="2">
        <v>37194.81</v>
      </c>
      <c r="AL360" s="2">
        <v>4704.78</v>
      </c>
      <c r="AM360" s="5">
        <v>8379.91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56313.04</v>
      </c>
      <c r="AT360" s="12">
        <v>50279.5</v>
      </c>
      <c r="AU360" s="2">
        <v>0</v>
      </c>
      <c r="AV360" s="5">
        <v>4692.75</v>
      </c>
      <c r="BL360" s="1" t="s">
        <v>90</v>
      </c>
    </row>
    <row r="361" spans="1:64" x14ac:dyDescent="0.3">
      <c r="A361" t="s">
        <v>1359</v>
      </c>
      <c r="B361" s="1" t="s">
        <v>1359</v>
      </c>
      <c r="C361" s="9" t="s">
        <v>1360</v>
      </c>
      <c r="D361" s="1" t="s">
        <v>95</v>
      </c>
      <c r="E361" s="1" t="s">
        <v>135</v>
      </c>
      <c r="F361" s="10" t="s">
        <v>435</v>
      </c>
      <c r="G361" s="1">
        <v>0</v>
      </c>
      <c r="H361" s="1">
        <v>0.05</v>
      </c>
      <c r="I361" s="8">
        <v>45273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562095.89999999991</v>
      </c>
      <c r="P361" s="6">
        <v>23316.600000000002</v>
      </c>
      <c r="Q361" s="6">
        <v>25093.57</v>
      </c>
      <c r="R361" s="6">
        <v>1040.92</v>
      </c>
      <c r="S361" s="7">
        <v>0</v>
      </c>
      <c r="T361" s="11">
        <v>29270.63</v>
      </c>
      <c r="U361" s="6">
        <v>26134.489999999998</v>
      </c>
      <c r="V361" s="6">
        <v>0</v>
      </c>
      <c r="W361" s="6">
        <v>2927.06</v>
      </c>
      <c r="X361" s="46">
        <v>45784</v>
      </c>
      <c r="Y361" s="1">
        <v>25111894</v>
      </c>
      <c r="Z361" s="1">
        <v>25111895</v>
      </c>
      <c r="AI361" s="2">
        <v>0</v>
      </c>
      <c r="AJ361" s="2">
        <v>0</v>
      </c>
      <c r="AK361" s="2">
        <v>0</v>
      </c>
      <c r="AL361" s="2">
        <v>0</v>
      </c>
      <c r="AM361" s="5">
        <v>0</v>
      </c>
      <c r="AN361" s="12">
        <v>562095.89999999991</v>
      </c>
      <c r="AO361" s="2">
        <v>23316.600000000002</v>
      </c>
      <c r="AP361" s="2">
        <v>25093.57</v>
      </c>
      <c r="AQ361" s="2">
        <v>1040.92</v>
      </c>
      <c r="AR361" s="5">
        <v>0</v>
      </c>
      <c r="AS361" s="2">
        <v>29270.63</v>
      </c>
      <c r="AT361" s="12">
        <v>26134.489999999998</v>
      </c>
      <c r="AU361" s="2">
        <v>0</v>
      </c>
      <c r="AV361" s="5">
        <v>2927.06</v>
      </c>
      <c r="BL361" s="1" t="s">
        <v>137</v>
      </c>
    </row>
    <row r="362" spans="1:64" x14ac:dyDescent="0.3">
      <c r="A362" t="s">
        <v>1361</v>
      </c>
      <c r="B362" s="1" t="s">
        <v>1362</v>
      </c>
      <c r="C362" s="9" t="s">
        <v>1363</v>
      </c>
      <c r="D362" s="1" t="s">
        <v>95</v>
      </c>
      <c r="E362" s="1" t="s">
        <v>128</v>
      </c>
      <c r="F362" s="10" t="s">
        <v>355</v>
      </c>
      <c r="G362" s="1">
        <v>0.04</v>
      </c>
      <c r="H362" s="1">
        <v>0.05</v>
      </c>
      <c r="I362" s="8">
        <v>44679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2208493.2000000002</v>
      </c>
      <c r="P362" s="6">
        <v>144190.19999999998</v>
      </c>
      <c r="Q362" s="6">
        <v>98593.46</v>
      </c>
      <c r="R362" s="6">
        <v>6437.0700000000006</v>
      </c>
      <c r="S362" s="7">
        <v>18858.55</v>
      </c>
      <c r="T362" s="11">
        <v>138755.76999999999</v>
      </c>
      <c r="U362" s="6">
        <v>123889.08</v>
      </c>
      <c r="V362" s="6">
        <v>0</v>
      </c>
      <c r="W362" s="6">
        <v>11763.420000000002</v>
      </c>
      <c r="X362" s="46">
        <v>45784</v>
      </c>
      <c r="Y362" s="1">
        <v>25111896</v>
      </c>
      <c r="Z362" s="1">
        <v>25111897</v>
      </c>
      <c r="AI362" s="2">
        <v>0</v>
      </c>
      <c r="AJ362" s="2">
        <v>0</v>
      </c>
      <c r="AK362" s="2">
        <v>0</v>
      </c>
      <c r="AL362" s="2">
        <v>0</v>
      </c>
      <c r="AM362" s="5">
        <v>0</v>
      </c>
      <c r="AN362" s="12">
        <v>2208493.2000000002</v>
      </c>
      <c r="AO362" s="2">
        <v>144190.19999999998</v>
      </c>
      <c r="AP362" s="2">
        <v>98593.46</v>
      </c>
      <c r="AQ362" s="2">
        <v>6437.0700000000006</v>
      </c>
      <c r="AR362" s="5">
        <v>18858.55</v>
      </c>
      <c r="AS362" s="2">
        <v>138755.76999999999</v>
      </c>
      <c r="AT362" s="12">
        <v>123889.08</v>
      </c>
      <c r="AU362" s="2">
        <v>0</v>
      </c>
      <c r="AV362" s="5">
        <v>11763.420000000002</v>
      </c>
      <c r="BL362" s="1" t="s">
        <v>130</v>
      </c>
    </row>
    <row r="363" spans="1:64" x14ac:dyDescent="0.3">
      <c r="A363" t="s">
        <v>1385</v>
      </c>
      <c r="B363" s="1" t="s">
        <v>1385</v>
      </c>
      <c r="C363" s="9" t="s">
        <v>1386</v>
      </c>
      <c r="D363" s="1" t="s">
        <v>95</v>
      </c>
      <c r="E363" s="1" t="s">
        <v>88</v>
      </c>
      <c r="F363" s="10" t="s">
        <v>534</v>
      </c>
      <c r="G363" s="1">
        <v>0</v>
      </c>
      <c r="H363" s="1">
        <v>0.05</v>
      </c>
      <c r="I363" s="8">
        <v>45292</v>
      </c>
      <c r="J363" s="6">
        <v>711711</v>
      </c>
      <c r="K363" s="6">
        <v>324935</v>
      </c>
      <c r="L363" s="6">
        <v>31772.82</v>
      </c>
      <c r="M363" s="6">
        <v>14506.03</v>
      </c>
      <c r="N363" s="7">
        <v>9255.77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62198.77</v>
      </c>
      <c r="U363" s="6">
        <v>55534.62</v>
      </c>
      <c r="V363" s="6">
        <v>0</v>
      </c>
      <c r="W363" s="6">
        <v>5183.2299999999996</v>
      </c>
      <c r="X363" s="46">
        <v>45784</v>
      </c>
      <c r="Y363" s="1">
        <v>25111898</v>
      </c>
      <c r="Z363" s="1">
        <v>25111899</v>
      </c>
      <c r="AI363" s="2">
        <v>711711</v>
      </c>
      <c r="AJ363" s="2">
        <v>324935</v>
      </c>
      <c r="AK363" s="2">
        <v>31772.82</v>
      </c>
      <c r="AL363" s="2">
        <v>14506.03</v>
      </c>
      <c r="AM363" s="5">
        <v>9255.77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62198.77</v>
      </c>
      <c r="AT363" s="12">
        <v>55534.62</v>
      </c>
      <c r="AU363" s="2">
        <v>0</v>
      </c>
      <c r="AV363" s="5">
        <v>5183.2299999999996</v>
      </c>
      <c r="BL363" s="1" t="s">
        <v>90</v>
      </c>
    </row>
    <row r="364" spans="1:64" x14ac:dyDescent="0.3">
      <c r="A364" t="s">
        <v>1389</v>
      </c>
      <c r="B364" s="1" t="s">
        <v>1389</v>
      </c>
      <c r="C364" s="9" t="s">
        <v>1390</v>
      </c>
      <c r="D364" s="1" t="s">
        <v>95</v>
      </c>
      <c r="E364" s="1" t="s">
        <v>128</v>
      </c>
      <c r="F364" s="10" t="s">
        <v>325</v>
      </c>
      <c r="G364" s="1">
        <v>0</v>
      </c>
      <c r="H364" s="1">
        <v>0.05</v>
      </c>
      <c r="I364" s="8">
        <v>45382</v>
      </c>
      <c r="J364" s="6">
        <v>853759.25</v>
      </c>
      <c r="K364" s="6">
        <v>62945</v>
      </c>
      <c r="L364" s="6">
        <v>38114.25</v>
      </c>
      <c r="M364" s="6">
        <v>2810.04</v>
      </c>
      <c r="N364" s="7">
        <v>8184.86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55002.25</v>
      </c>
      <c r="U364" s="6">
        <v>49109.15</v>
      </c>
      <c r="V364" s="6">
        <v>0</v>
      </c>
      <c r="W364" s="6">
        <v>4583.5200000000004</v>
      </c>
      <c r="X364" s="46">
        <v>45784</v>
      </c>
      <c r="Y364" s="1">
        <v>25111900</v>
      </c>
      <c r="Z364" s="1">
        <v>25111901</v>
      </c>
      <c r="AI364" s="2">
        <v>853759.25</v>
      </c>
      <c r="AJ364" s="2">
        <v>62945</v>
      </c>
      <c r="AK364" s="2">
        <v>38114.25</v>
      </c>
      <c r="AL364" s="2">
        <v>2810.04</v>
      </c>
      <c r="AM364" s="5">
        <v>8184.86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55002.25</v>
      </c>
      <c r="AT364" s="12">
        <v>49109.15</v>
      </c>
      <c r="AU364" s="2">
        <v>0</v>
      </c>
      <c r="AV364" s="5">
        <v>4583.5200000000004</v>
      </c>
      <c r="BL364" s="1" t="s">
        <v>326</v>
      </c>
    </row>
    <row r="365" spans="1:64" x14ac:dyDescent="0.3">
      <c r="A365" t="s">
        <v>1391</v>
      </c>
      <c r="B365" s="1" t="s">
        <v>1391</v>
      </c>
      <c r="C365" s="9" t="s">
        <v>1392</v>
      </c>
      <c r="D365" s="1" t="s">
        <v>95</v>
      </c>
      <c r="E365" s="1" t="s">
        <v>88</v>
      </c>
      <c r="F365" s="10" t="s">
        <v>218</v>
      </c>
      <c r="G365" s="1">
        <v>0</v>
      </c>
      <c r="H365" s="1">
        <v>0.05</v>
      </c>
      <c r="I365" s="8">
        <v>45464</v>
      </c>
      <c r="J365" s="6">
        <v>603544</v>
      </c>
      <c r="K365" s="6">
        <v>81231</v>
      </c>
      <c r="L365" s="6">
        <v>26943.93</v>
      </c>
      <c r="M365" s="6">
        <v>3626.38</v>
      </c>
      <c r="N365" s="7">
        <v>6114.06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41086.49</v>
      </c>
      <c r="U365" s="6">
        <v>36684.370000000003</v>
      </c>
      <c r="V365" s="6">
        <v>0</v>
      </c>
      <c r="W365" s="6">
        <v>3423.88</v>
      </c>
      <c r="X365" s="46">
        <v>45784</v>
      </c>
      <c r="Y365" s="1">
        <v>25111902</v>
      </c>
      <c r="Z365" s="1">
        <v>25111903</v>
      </c>
      <c r="AI365" s="2">
        <v>603544</v>
      </c>
      <c r="AJ365" s="2">
        <v>81231</v>
      </c>
      <c r="AK365" s="2">
        <v>26943.93</v>
      </c>
      <c r="AL365" s="2">
        <v>3626.38</v>
      </c>
      <c r="AM365" s="5">
        <v>6114.06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41086.49</v>
      </c>
      <c r="AT365" s="12">
        <v>36684.370000000003</v>
      </c>
      <c r="AU365" s="2">
        <v>0</v>
      </c>
      <c r="AV365" s="5">
        <v>3423.88</v>
      </c>
      <c r="BL365" s="1" t="s">
        <v>90</v>
      </c>
    </row>
    <row r="366" spans="1:64" x14ac:dyDescent="0.3">
      <c r="A366" t="s">
        <v>1393</v>
      </c>
      <c r="B366" s="1" t="s">
        <v>1393</v>
      </c>
      <c r="C366" s="9" t="s">
        <v>1394</v>
      </c>
      <c r="D366" s="1" t="s">
        <v>95</v>
      </c>
      <c r="E366" s="1" t="s">
        <v>135</v>
      </c>
      <c r="F366" s="10" t="s">
        <v>136</v>
      </c>
      <c r="G366" s="1">
        <v>0</v>
      </c>
      <c r="H366" s="1">
        <v>0.05</v>
      </c>
      <c r="I366" s="8">
        <v>45397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577353.29999999993</v>
      </c>
      <c r="P366" s="6">
        <v>30114.6</v>
      </c>
      <c r="Q366" s="6">
        <v>25774.7</v>
      </c>
      <c r="R366" s="6">
        <v>1344.4</v>
      </c>
      <c r="S366" s="7">
        <v>0</v>
      </c>
      <c r="T366" s="11">
        <v>30373.39</v>
      </c>
      <c r="U366" s="6">
        <v>27119.100000000002</v>
      </c>
      <c r="V366" s="6">
        <v>0</v>
      </c>
      <c r="W366" s="6">
        <v>3037.34</v>
      </c>
      <c r="X366" s="46">
        <v>45784</v>
      </c>
      <c r="Y366" s="1">
        <v>25111904</v>
      </c>
      <c r="Z366" s="1">
        <v>25111905</v>
      </c>
      <c r="AI366" s="2">
        <v>0</v>
      </c>
      <c r="AJ366" s="2">
        <v>0</v>
      </c>
      <c r="AK366" s="2">
        <v>0</v>
      </c>
      <c r="AL366" s="2">
        <v>0</v>
      </c>
      <c r="AM366" s="5">
        <v>0</v>
      </c>
      <c r="AN366" s="12">
        <v>577353.29999999993</v>
      </c>
      <c r="AO366" s="2">
        <v>30114.6</v>
      </c>
      <c r="AP366" s="2">
        <v>25774.7</v>
      </c>
      <c r="AQ366" s="2">
        <v>1344.4</v>
      </c>
      <c r="AR366" s="5">
        <v>0</v>
      </c>
      <c r="AS366" s="2">
        <v>30373.39</v>
      </c>
      <c r="AT366" s="12">
        <v>27119.100000000002</v>
      </c>
      <c r="AU366" s="2">
        <v>0</v>
      </c>
      <c r="AV366" s="5">
        <v>3037.34</v>
      </c>
      <c r="BL366" s="1" t="s">
        <v>137</v>
      </c>
    </row>
    <row r="367" spans="1:64" x14ac:dyDescent="0.3">
      <c r="A367" t="s">
        <v>1395</v>
      </c>
      <c r="B367" s="1" t="s">
        <v>1395</v>
      </c>
      <c r="C367" s="9" t="s">
        <v>1396</v>
      </c>
      <c r="D367" s="1" t="s">
        <v>95</v>
      </c>
      <c r="E367" s="1" t="s">
        <v>128</v>
      </c>
      <c r="F367" s="10" t="s">
        <v>309</v>
      </c>
      <c r="G367" s="1">
        <v>0</v>
      </c>
      <c r="H367" s="1">
        <v>0.05</v>
      </c>
      <c r="I367" s="8">
        <v>45367</v>
      </c>
      <c r="J367" s="6">
        <v>1252830</v>
      </c>
      <c r="K367" s="6">
        <v>41919</v>
      </c>
      <c r="L367" s="6">
        <v>55929.909999999996</v>
      </c>
      <c r="M367" s="6">
        <v>1871.3799999999999</v>
      </c>
      <c r="N367" s="7">
        <v>11560.27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77684.95</v>
      </c>
      <c r="U367" s="6">
        <v>69361.560000000012</v>
      </c>
      <c r="V367" s="6">
        <v>0</v>
      </c>
      <c r="W367" s="6">
        <v>6473.7400000000007</v>
      </c>
      <c r="X367" s="46">
        <v>45784</v>
      </c>
      <c r="Y367" s="1">
        <v>25111906</v>
      </c>
      <c r="Z367" s="1">
        <v>25111907</v>
      </c>
      <c r="AI367" s="2">
        <v>1252830</v>
      </c>
      <c r="AJ367" s="2">
        <v>41919</v>
      </c>
      <c r="AK367" s="2">
        <v>55929.909999999996</v>
      </c>
      <c r="AL367" s="2">
        <v>1871.3799999999999</v>
      </c>
      <c r="AM367" s="5">
        <v>11560.27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77684.95</v>
      </c>
      <c r="AT367" s="12">
        <v>69361.560000000012</v>
      </c>
      <c r="AU367" s="2">
        <v>0</v>
      </c>
      <c r="AV367" s="5">
        <v>6473.7400000000007</v>
      </c>
      <c r="BL367" s="1" t="s">
        <v>130</v>
      </c>
    </row>
    <row r="368" spans="1:64" x14ac:dyDescent="0.3">
      <c r="A368" t="s">
        <v>1405</v>
      </c>
      <c r="B368" s="1" t="s">
        <v>1405</v>
      </c>
      <c r="C368" s="9" t="s">
        <v>1406</v>
      </c>
      <c r="D368" s="1" t="s">
        <v>95</v>
      </c>
      <c r="E368" s="1" t="s">
        <v>135</v>
      </c>
      <c r="F368" s="10" t="s">
        <v>435</v>
      </c>
      <c r="G368" s="1">
        <v>0</v>
      </c>
      <c r="H368" s="1">
        <v>0.05</v>
      </c>
      <c r="I368" s="8">
        <v>45439</v>
      </c>
      <c r="J368" s="6">
        <v>1265181</v>
      </c>
      <c r="K368" s="6">
        <v>164199</v>
      </c>
      <c r="L368" s="6">
        <v>56481.3</v>
      </c>
      <c r="M368" s="6">
        <v>7330.32</v>
      </c>
      <c r="N368" s="7">
        <v>12762.32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85762.81</v>
      </c>
      <c r="U368" s="6">
        <v>76573.94</v>
      </c>
      <c r="V368" s="6">
        <v>0</v>
      </c>
      <c r="W368" s="6">
        <v>7146.9</v>
      </c>
      <c r="X368" s="46">
        <v>45784</v>
      </c>
      <c r="Y368" s="1">
        <v>25111908</v>
      </c>
      <c r="Z368" s="1">
        <v>25111909</v>
      </c>
      <c r="AI368" s="2">
        <v>1265181</v>
      </c>
      <c r="AJ368" s="2">
        <v>164199</v>
      </c>
      <c r="AK368" s="2">
        <v>56481.3</v>
      </c>
      <c r="AL368" s="2">
        <v>7330.32</v>
      </c>
      <c r="AM368" s="5">
        <v>12762.32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85762.81</v>
      </c>
      <c r="AT368" s="12">
        <v>76573.94</v>
      </c>
      <c r="AU368" s="2">
        <v>0</v>
      </c>
      <c r="AV368" s="5">
        <v>7146.9</v>
      </c>
      <c r="BL368" s="1" t="s">
        <v>302</v>
      </c>
    </row>
    <row r="369" spans="1:64" x14ac:dyDescent="0.3">
      <c r="A369" t="s">
        <v>1409</v>
      </c>
      <c r="B369" s="1" t="s">
        <v>1409</v>
      </c>
      <c r="C369" s="9" t="s">
        <v>1410</v>
      </c>
      <c r="D369" s="1" t="s">
        <v>95</v>
      </c>
      <c r="E369" s="1" t="s">
        <v>128</v>
      </c>
      <c r="F369" s="10" t="s">
        <v>129</v>
      </c>
      <c r="G369" s="1">
        <v>0</v>
      </c>
      <c r="H369" s="1">
        <v>0.05</v>
      </c>
      <c r="I369" s="8">
        <v>0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0</v>
      </c>
      <c r="AJ369" s="2">
        <v>0</v>
      </c>
      <c r="AK369" s="2">
        <v>0</v>
      </c>
      <c r="AL369" s="2">
        <v>0</v>
      </c>
      <c r="AM369" s="5">
        <v>0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0</v>
      </c>
      <c r="AT369" s="12">
        <v>0</v>
      </c>
      <c r="AU369" s="2">
        <v>0</v>
      </c>
      <c r="AV369" s="5">
        <v>0</v>
      </c>
      <c r="BL369" s="1" t="s">
        <v>130</v>
      </c>
    </row>
    <row r="370" spans="1:64" x14ac:dyDescent="0.3">
      <c r="A370" t="s">
        <v>1411</v>
      </c>
      <c r="B370" s="1" t="s">
        <v>1411</v>
      </c>
      <c r="C370" s="9" t="s">
        <v>1412</v>
      </c>
      <c r="D370" s="1" t="s">
        <v>95</v>
      </c>
      <c r="E370" s="1" t="s">
        <v>135</v>
      </c>
      <c r="F370" s="10" t="s">
        <v>348</v>
      </c>
      <c r="G370" s="1">
        <v>0</v>
      </c>
      <c r="H370" s="1">
        <v>0.05</v>
      </c>
      <c r="I370" s="8">
        <v>45430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1087797.8999999999</v>
      </c>
      <c r="P370" s="6">
        <v>40503.300000000003</v>
      </c>
      <c r="Q370" s="6">
        <v>48562.41</v>
      </c>
      <c r="R370" s="6">
        <v>1808.19</v>
      </c>
      <c r="S370" s="7">
        <v>0</v>
      </c>
      <c r="T370" s="11">
        <v>56415.07</v>
      </c>
      <c r="U370" s="6">
        <v>50370.6</v>
      </c>
      <c r="V370" s="6">
        <v>0</v>
      </c>
      <c r="W370" s="6">
        <v>5641.51</v>
      </c>
      <c r="X370" s="46">
        <v>45784</v>
      </c>
      <c r="Y370" s="1">
        <v>25111910</v>
      </c>
      <c r="Z370" s="1">
        <v>25111911</v>
      </c>
      <c r="AI370" s="2">
        <v>0</v>
      </c>
      <c r="AJ370" s="2">
        <v>0</v>
      </c>
      <c r="AK370" s="2">
        <v>0</v>
      </c>
      <c r="AL370" s="2">
        <v>0</v>
      </c>
      <c r="AM370" s="5">
        <v>0</v>
      </c>
      <c r="AN370" s="12">
        <v>1087797.8999999999</v>
      </c>
      <c r="AO370" s="2">
        <v>40503.300000000003</v>
      </c>
      <c r="AP370" s="2">
        <v>48562.41</v>
      </c>
      <c r="AQ370" s="2">
        <v>1808.19</v>
      </c>
      <c r="AR370" s="5">
        <v>0</v>
      </c>
      <c r="AS370" s="2">
        <v>56415.07</v>
      </c>
      <c r="AT370" s="12">
        <v>50370.6</v>
      </c>
      <c r="AU370" s="2">
        <v>0</v>
      </c>
      <c r="AV370" s="5">
        <v>5641.51</v>
      </c>
      <c r="BL370" s="1" t="s">
        <v>137</v>
      </c>
    </row>
    <row r="371" spans="1:64" x14ac:dyDescent="0.3">
      <c r="A371" t="s">
        <v>1415</v>
      </c>
      <c r="B371" s="1" t="s">
        <v>1415</v>
      </c>
      <c r="C371" s="9" t="s">
        <v>1416</v>
      </c>
      <c r="D371" s="1" t="s">
        <v>95</v>
      </c>
      <c r="E371" s="1" t="s">
        <v>128</v>
      </c>
      <c r="F371" s="10" t="s">
        <v>129</v>
      </c>
      <c r="G371" s="1">
        <v>0</v>
      </c>
      <c r="H371" s="1">
        <v>0.05</v>
      </c>
      <c r="I371" s="8">
        <v>45559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712953.9</v>
      </c>
      <c r="P371" s="6">
        <v>33530.1</v>
      </c>
      <c r="Q371" s="6">
        <v>31828.3</v>
      </c>
      <c r="R371" s="6">
        <v>1496.87</v>
      </c>
      <c r="S371" s="7">
        <v>0</v>
      </c>
      <c r="T371" s="11">
        <v>37324.19</v>
      </c>
      <c r="U371" s="6">
        <v>33325.17</v>
      </c>
      <c r="V371" s="6">
        <v>0</v>
      </c>
      <c r="W371" s="6">
        <v>3732.42</v>
      </c>
      <c r="X371" s="46">
        <v>45784</v>
      </c>
      <c r="Y371" s="1">
        <v>25111912</v>
      </c>
      <c r="Z371" s="1">
        <v>25111913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712953.9</v>
      </c>
      <c r="AO371" s="2">
        <v>33530.1</v>
      </c>
      <c r="AP371" s="2">
        <v>31828.3</v>
      </c>
      <c r="AQ371" s="2">
        <v>1496.87</v>
      </c>
      <c r="AR371" s="5">
        <v>0</v>
      </c>
      <c r="AS371" s="2">
        <v>37324.19</v>
      </c>
      <c r="AT371" s="12">
        <v>33325.17</v>
      </c>
      <c r="AU371" s="2">
        <v>0</v>
      </c>
      <c r="AV371" s="5">
        <v>3732.42</v>
      </c>
      <c r="BL371" s="1" t="s">
        <v>130</v>
      </c>
    </row>
    <row r="372" spans="1:64" x14ac:dyDescent="0.3">
      <c r="A372" t="s">
        <v>1417</v>
      </c>
      <c r="B372" s="1" t="s">
        <v>1417</v>
      </c>
      <c r="C372" s="9" t="s">
        <v>1418</v>
      </c>
      <c r="D372" s="1" t="s">
        <v>95</v>
      </c>
      <c r="E372" s="1" t="s">
        <v>135</v>
      </c>
      <c r="F372" s="10" t="s">
        <v>136</v>
      </c>
      <c r="G372" s="1">
        <v>0</v>
      </c>
      <c r="H372" s="1">
        <v>0.05</v>
      </c>
      <c r="I372" s="8">
        <v>45539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374454.3</v>
      </c>
      <c r="P372" s="6">
        <v>17610.899999999998</v>
      </c>
      <c r="Q372" s="6">
        <v>16716.71</v>
      </c>
      <c r="R372" s="6">
        <v>786.2</v>
      </c>
      <c r="S372" s="7">
        <v>0</v>
      </c>
      <c r="T372" s="11">
        <v>19603.259999999998</v>
      </c>
      <c r="U372" s="6">
        <v>17502.91</v>
      </c>
      <c r="V372" s="6">
        <v>0</v>
      </c>
      <c r="W372" s="6">
        <v>1960.33</v>
      </c>
      <c r="X372" s="46">
        <v>45784</v>
      </c>
      <c r="Y372" s="1">
        <v>25111914</v>
      </c>
      <c r="Z372" s="1">
        <v>25111915</v>
      </c>
      <c r="AI372" s="2">
        <v>0</v>
      </c>
      <c r="AJ372" s="2">
        <v>0</v>
      </c>
      <c r="AK372" s="2">
        <v>0</v>
      </c>
      <c r="AL372" s="2">
        <v>0</v>
      </c>
      <c r="AM372" s="5">
        <v>0</v>
      </c>
      <c r="AN372" s="12">
        <v>374454.3</v>
      </c>
      <c r="AO372" s="2">
        <v>17610.899999999998</v>
      </c>
      <c r="AP372" s="2">
        <v>16716.71</v>
      </c>
      <c r="AQ372" s="2">
        <v>786.2</v>
      </c>
      <c r="AR372" s="5">
        <v>0</v>
      </c>
      <c r="AS372" s="2">
        <v>19603.259999999998</v>
      </c>
      <c r="AT372" s="12">
        <v>17502.91</v>
      </c>
      <c r="AU372" s="2">
        <v>0</v>
      </c>
      <c r="AV372" s="5">
        <v>1960.33</v>
      </c>
      <c r="BL372" s="1" t="s">
        <v>137</v>
      </c>
    </row>
    <row r="373" spans="1:64" x14ac:dyDescent="0.3">
      <c r="A373" t="s">
        <v>1419</v>
      </c>
      <c r="B373" s="1" t="s">
        <v>1419</v>
      </c>
      <c r="C373" s="9" t="s">
        <v>1420</v>
      </c>
      <c r="D373" s="1" t="s">
        <v>95</v>
      </c>
      <c r="E373" s="1" t="s">
        <v>88</v>
      </c>
      <c r="F373" s="10" t="s">
        <v>89</v>
      </c>
      <c r="G373" s="1">
        <v>0</v>
      </c>
      <c r="H373" s="1">
        <v>0</v>
      </c>
      <c r="I373" s="8">
        <v>45621</v>
      </c>
      <c r="J373" s="6">
        <v>585076</v>
      </c>
      <c r="K373" s="6">
        <v>159298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3721.87</v>
      </c>
      <c r="AI373" s="2">
        <v>585076</v>
      </c>
      <c r="AJ373" s="2">
        <v>159298</v>
      </c>
      <c r="AK373" s="2">
        <v>0</v>
      </c>
      <c r="AL373" s="2">
        <v>0</v>
      </c>
      <c r="AM373" s="5">
        <v>0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0</v>
      </c>
      <c r="AT373" s="12">
        <v>0</v>
      </c>
      <c r="AU373" s="2">
        <v>0</v>
      </c>
      <c r="AV373" s="5">
        <v>3721.87</v>
      </c>
      <c r="BL373" s="1" t="s">
        <v>90</v>
      </c>
    </row>
    <row r="374" spans="1:64" x14ac:dyDescent="0.3">
      <c r="A374" t="s">
        <v>1421</v>
      </c>
      <c r="B374" s="1" t="s">
        <v>1421</v>
      </c>
      <c r="C374" s="9" t="s">
        <v>1422</v>
      </c>
      <c r="D374" s="1" t="s">
        <v>95</v>
      </c>
      <c r="E374" s="1" t="s">
        <v>128</v>
      </c>
      <c r="F374" s="10" t="s">
        <v>129</v>
      </c>
      <c r="G374" s="1">
        <v>0</v>
      </c>
      <c r="H374" s="1">
        <v>0.05</v>
      </c>
      <c r="I374" s="8">
        <v>45488</v>
      </c>
      <c r="J374" s="6">
        <v>157308</v>
      </c>
      <c r="K374" s="6">
        <v>6830</v>
      </c>
      <c r="L374" s="6">
        <v>7022.68</v>
      </c>
      <c r="M374" s="6">
        <v>304.91000000000003</v>
      </c>
      <c r="N374" s="7">
        <v>1465.52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9848.2800000000007</v>
      </c>
      <c r="U374" s="6">
        <v>8793.11</v>
      </c>
      <c r="V374" s="6">
        <v>0</v>
      </c>
      <c r="W374" s="6">
        <v>820.69</v>
      </c>
      <c r="X374" s="46">
        <v>45784</v>
      </c>
      <c r="Y374" s="1">
        <v>25111916</v>
      </c>
      <c r="Z374" s="1">
        <v>25111917</v>
      </c>
      <c r="AI374" s="2">
        <v>157308</v>
      </c>
      <c r="AJ374" s="2">
        <v>6830</v>
      </c>
      <c r="AK374" s="2">
        <v>7022.68</v>
      </c>
      <c r="AL374" s="2">
        <v>304.91000000000003</v>
      </c>
      <c r="AM374" s="5">
        <v>1465.52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9848.2800000000007</v>
      </c>
      <c r="AT374" s="12">
        <v>8793.11</v>
      </c>
      <c r="AU374" s="2">
        <v>0</v>
      </c>
      <c r="AV374" s="5">
        <v>820.69</v>
      </c>
      <c r="BL374" s="1" t="s">
        <v>130</v>
      </c>
    </row>
    <row r="375" spans="1:64" x14ac:dyDescent="0.3">
      <c r="A375" t="s">
        <v>1425</v>
      </c>
      <c r="B375" s="1" t="s">
        <v>1425</v>
      </c>
      <c r="C375" s="9" t="s">
        <v>1426</v>
      </c>
      <c r="D375" s="1" t="s">
        <v>95</v>
      </c>
      <c r="E375" s="1" t="s">
        <v>88</v>
      </c>
      <c r="F375" s="10" t="s">
        <v>441</v>
      </c>
      <c r="G375" s="1">
        <v>0</v>
      </c>
      <c r="H375" s="1">
        <v>0.05</v>
      </c>
      <c r="I375" s="8">
        <v>45751</v>
      </c>
      <c r="J375" s="6">
        <v>257402</v>
      </c>
      <c r="K375" s="6">
        <v>43963</v>
      </c>
      <c r="L375" s="6">
        <v>10342.040000000001</v>
      </c>
      <c r="M375" s="6">
        <v>1766.37</v>
      </c>
      <c r="N375" s="7">
        <v>2690.76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16575.07</v>
      </c>
      <c r="U375" s="6">
        <v>14799.17</v>
      </c>
      <c r="V375" s="6">
        <v>0</v>
      </c>
      <c r="W375" s="6">
        <v>1506.82</v>
      </c>
      <c r="X375" s="46">
        <v>45784</v>
      </c>
      <c r="Y375" s="1">
        <v>25111918</v>
      </c>
      <c r="Z375" s="1">
        <v>25111919</v>
      </c>
      <c r="AI375" s="2">
        <v>257402</v>
      </c>
      <c r="AJ375" s="2">
        <v>43963</v>
      </c>
      <c r="AK375" s="2">
        <v>10342.040000000001</v>
      </c>
      <c r="AL375" s="2">
        <v>1766.37</v>
      </c>
      <c r="AM375" s="5">
        <v>2690.76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16575.07</v>
      </c>
      <c r="AT375" s="12">
        <v>14799.17</v>
      </c>
      <c r="AU375" s="2">
        <v>0</v>
      </c>
      <c r="AV375" s="5">
        <v>1506.82</v>
      </c>
      <c r="BL375" s="1" t="s">
        <v>90</v>
      </c>
    </row>
    <row r="376" spans="1:64" x14ac:dyDescent="0.3">
      <c r="A376" t="s">
        <v>1427</v>
      </c>
      <c r="B376" s="1" t="s">
        <v>1427</v>
      </c>
      <c r="C376" s="9" t="s">
        <v>1428</v>
      </c>
      <c r="D376" s="1" t="s">
        <v>95</v>
      </c>
      <c r="E376" s="1" t="s">
        <v>135</v>
      </c>
      <c r="F376" s="10" t="s">
        <v>193</v>
      </c>
      <c r="G376" s="1">
        <v>0</v>
      </c>
      <c r="H376" s="1">
        <v>0.05</v>
      </c>
      <c r="I376" s="8">
        <v>45616</v>
      </c>
      <c r="J376" s="6">
        <v>651641</v>
      </c>
      <c r="K376" s="6">
        <v>32170</v>
      </c>
      <c r="L376" s="6">
        <v>29091.119999999999</v>
      </c>
      <c r="M376" s="6">
        <v>1436.16</v>
      </c>
      <c r="N376" s="7">
        <v>6105.46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41028.67</v>
      </c>
      <c r="U376" s="6">
        <v>36632.74</v>
      </c>
      <c r="V376" s="6">
        <v>0</v>
      </c>
      <c r="W376" s="6">
        <v>3419.06</v>
      </c>
      <c r="X376" s="46">
        <v>45784</v>
      </c>
      <c r="Y376" s="1">
        <v>25111920</v>
      </c>
      <c r="Z376" s="1">
        <v>25111921</v>
      </c>
      <c r="AI376" s="2">
        <v>651641</v>
      </c>
      <c r="AJ376" s="2">
        <v>32170</v>
      </c>
      <c r="AK376" s="2">
        <v>29091.119999999999</v>
      </c>
      <c r="AL376" s="2">
        <v>1436.16</v>
      </c>
      <c r="AM376" s="5">
        <v>6105.46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41028.67</v>
      </c>
      <c r="AT376" s="12">
        <v>36632.74</v>
      </c>
      <c r="AU376" s="2">
        <v>0</v>
      </c>
      <c r="AV376" s="5">
        <v>3419.06</v>
      </c>
      <c r="BL376" s="1" t="s">
        <v>137</v>
      </c>
    </row>
    <row r="377" spans="1:64" x14ac:dyDescent="0.3">
      <c r="A377" t="s">
        <v>1429</v>
      </c>
      <c r="B377" s="1" t="s">
        <v>1429</v>
      </c>
      <c r="C377" s="9" t="s">
        <v>1430</v>
      </c>
      <c r="D377" s="1" t="s">
        <v>95</v>
      </c>
      <c r="E377" s="1" t="s">
        <v>88</v>
      </c>
      <c r="F377" s="10" t="s">
        <v>218</v>
      </c>
      <c r="G377" s="1">
        <v>0</v>
      </c>
      <c r="H377" s="1">
        <v>0.05</v>
      </c>
      <c r="I377" s="8">
        <v>45553</v>
      </c>
      <c r="J377" s="6">
        <v>315790</v>
      </c>
      <c r="K377" s="6">
        <v>148763</v>
      </c>
      <c r="L377" s="6">
        <v>14097.77</v>
      </c>
      <c r="M377" s="6">
        <v>6641.21</v>
      </c>
      <c r="N377" s="7">
        <v>4147.79</v>
      </c>
      <c r="O377" s="6">
        <v>232813.62</v>
      </c>
      <c r="P377" s="6">
        <v>23172.93</v>
      </c>
      <c r="Q377" s="6">
        <v>10393.459999999999</v>
      </c>
      <c r="R377" s="6">
        <v>1034.51</v>
      </c>
      <c r="S377" s="7">
        <v>0</v>
      </c>
      <c r="T377" s="11">
        <v>40672.51</v>
      </c>
      <c r="U377" s="6">
        <v>36314.74</v>
      </c>
      <c r="V377" s="6">
        <v>0</v>
      </c>
      <c r="W377" s="6">
        <v>3602.7</v>
      </c>
      <c r="X377" s="46">
        <v>45784</v>
      </c>
      <c r="Y377" s="1">
        <v>25111922</v>
      </c>
      <c r="Z377" s="1">
        <v>25111923</v>
      </c>
      <c r="AI377" s="2">
        <v>315790</v>
      </c>
      <c r="AJ377" s="2">
        <v>148763</v>
      </c>
      <c r="AK377" s="2">
        <v>14097.77</v>
      </c>
      <c r="AL377" s="2">
        <v>6641.21</v>
      </c>
      <c r="AM377" s="5">
        <v>4147.79</v>
      </c>
      <c r="AN377" s="12">
        <v>232813.62</v>
      </c>
      <c r="AO377" s="2">
        <v>23172.93</v>
      </c>
      <c r="AP377" s="2">
        <v>10393.459999999999</v>
      </c>
      <c r="AQ377" s="2">
        <v>1034.51</v>
      </c>
      <c r="AR377" s="5">
        <v>0</v>
      </c>
      <c r="AS377" s="2">
        <v>40672.51</v>
      </c>
      <c r="AT377" s="12">
        <v>36314.74</v>
      </c>
      <c r="AU377" s="2">
        <v>0</v>
      </c>
      <c r="AV377" s="5">
        <v>3602.7</v>
      </c>
      <c r="BL377" s="1" t="s">
        <v>90</v>
      </c>
    </row>
    <row r="378" spans="1:64" x14ac:dyDescent="0.3">
      <c r="A378" t="s">
        <v>1431</v>
      </c>
      <c r="B378" s="1" t="s">
        <v>1431</v>
      </c>
      <c r="C378" s="9" t="s">
        <v>1432</v>
      </c>
      <c r="D378" s="1" t="s">
        <v>95</v>
      </c>
      <c r="E378" s="1" t="s">
        <v>135</v>
      </c>
      <c r="F378" s="10" t="s">
        <v>485</v>
      </c>
      <c r="G378" s="1">
        <v>0</v>
      </c>
      <c r="H378" s="1">
        <v>0.05</v>
      </c>
      <c r="I378" s="8">
        <v>45639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521541.29999999993</v>
      </c>
      <c r="P378" s="6">
        <v>23415.600000000002</v>
      </c>
      <c r="Q378" s="6">
        <v>23283.09</v>
      </c>
      <c r="R378" s="6">
        <v>1045.3399999999999</v>
      </c>
      <c r="S378" s="7">
        <v>0</v>
      </c>
      <c r="T378" s="11">
        <v>27247.84</v>
      </c>
      <c r="U378" s="6">
        <v>24328.43</v>
      </c>
      <c r="V378" s="6">
        <v>0</v>
      </c>
      <c r="W378" s="6">
        <v>2724.78</v>
      </c>
      <c r="X378" s="46">
        <v>45784</v>
      </c>
      <c r="Y378" s="1">
        <v>25111924</v>
      </c>
      <c r="Z378" s="1">
        <v>25111925</v>
      </c>
      <c r="AI378" s="2">
        <v>0</v>
      </c>
      <c r="AJ378" s="2">
        <v>0</v>
      </c>
      <c r="AK378" s="2">
        <v>0</v>
      </c>
      <c r="AL378" s="2">
        <v>0</v>
      </c>
      <c r="AM378" s="5">
        <v>0</v>
      </c>
      <c r="AN378" s="12">
        <v>521541.29999999993</v>
      </c>
      <c r="AO378" s="2">
        <v>23415.600000000002</v>
      </c>
      <c r="AP378" s="2">
        <v>23283.09</v>
      </c>
      <c r="AQ378" s="2">
        <v>1045.3399999999999</v>
      </c>
      <c r="AR378" s="5">
        <v>0</v>
      </c>
      <c r="AS378" s="2">
        <v>27247.84</v>
      </c>
      <c r="AT378" s="12">
        <v>24328.43</v>
      </c>
      <c r="AU378" s="2">
        <v>0</v>
      </c>
      <c r="AV378" s="5">
        <v>2724.78</v>
      </c>
      <c r="BL378" s="1" t="s">
        <v>302</v>
      </c>
    </row>
    <row r="379" spans="1:64" x14ac:dyDescent="0.3">
      <c r="A379" t="s">
        <v>1433</v>
      </c>
      <c r="B379" s="1" t="s">
        <v>1433</v>
      </c>
      <c r="C379" s="9" t="s">
        <v>1434</v>
      </c>
      <c r="D379" s="1" t="s">
        <v>95</v>
      </c>
      <c r="E379" s="1" t="s">
        <v>128</v>
      </c>
      <c r="F379" s="10" t="s">
        <v>309</v>
      </c>
      <c r="G379" s="1">
        <v>0</v>
      </c>
      <c r="H379" s="1">
        <v>0.05</v>
      </c>
      <c r="I379" s="8">
        <v>45665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513378.30000000005</v>
      </c>
      <c r="P379" s="6">
        <v>26823.300000000003</v>
      </c>
      <c r="Q379" s="6">
        <v>22918.68</v>
      </c>
      <c r="R379" s="6">
        <v>1197.47</v>
      </c>
      <c r="S379" s="7">
        <v>0</v>
      </c>
      <c r="T379" s="11">
        <v>27010.09</v>
      </c>
      <c r="U379" s="6">
        <v>24116.15</v>
      </c>
      <c r="V379" s="6">
        <v>0</v>
      </c>
      <c r="W379" s="6">
        <v>2701.01</v>
      </c>
      <c r="X379" s="46">
        <v>45784</v>
      </c>
      <c r="Y379" s="1">
        <v>25111926</v>
      </c>
      <c r="Z379" s="1">
        <v>25111927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513378.30000000005</v>
      </c>
      <c r="AO379" s="2">
        <v>26823.300000000003</v>
      </c>
      <c r="AP379" s="2">
        <v>22918.68</v>
      </c>
      <c r="AQ379" s="2">
        <v>1197.47</v>
      </c>
      <c r="AR379" s="5">
        <v>0</v>
      </c>
      <c r="AS379" s="2">
        <v>27010.09</v>
      </c>
      <c r="AT379" s="12">
        <v>24116.15</v>
      </c>
      <c r="AU379" s="2">
        <v>0</v>
      </c>
      <c r="AV379" s="5">
        <v>2701.01</v>
      </c>
      <c r="BL379" s="1" t="s">
        <v>130</v>
      </c>
    </row>
    <row r="380" spans="1:64" x14ac:dyDescent="0.3">
      <c r="A380" t="s">
        <v>1435</v>
      </c>
      <c r="B380" s="1" t="s">
        <v>1435</v>
      </c>
      <c r="C380" s="9" t="s">
        <v>1436</v>
      </c>
      <c r="D380" s="1" t="s">
        <v>95</v>
      </c>
      <c r="E380" s="1" t="s">
        <v>88</v>
      </c>
      <c r="F380" s="10" t="s">
        <v>472</v>
      </c>
      <c r="G380" s="1">
        <v>0</v>
      </c>
      <c r="H380" s="1">
        <v>0</v>
      </c>
      <c r="I380" s="8">
        <v>45586</v>
      </c>
      <c r="J380" s="6">
        <v>1088010.5</v>
      </c>
      <c r="K380" s="6">
        <v>291919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6899.65</v>
      </c>
      <c r="AI380" s="2">
        <v>1088010.5</v>
      </c>
      <c r="AJ380" s="2">
        <v>291919</v>
      </c>
      <c r="AK380" s="2">
        <v>0</v>
      </c>
      <c r="AL380" s="2">
        <v>0</v>
      </c>
      <c r="AM380" s="5">
        <v>0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0</v>
      </c>
      <c r="AT380" s="12">
        <v>0</v>
      </c>
      <c r="AU380" s="2">
        <v>0</v>
      </c>
      <c r="AV380" s="5">
        <v>6899.65</v>
      </c>
      <c r="BL380" s="1" t="s">
        <v>90</v>
      </c>
    </row>
    <row r="381" spans="1:64" x14ac:dyDescent="0.3">
      <c r="A381" t="s">
        <v>1437</v>
      </c>
      <c r="B381" s="1" t="s">
        <v>1437</v>
      </c>
      <c r="C381" s="9" t="s">
        <v>1438</v>
      </c>
      <c r="D381" s="1" t="s">
        <v>95</v>
      </c>
      <c r="E381" s="1" t="s">
        <v>135</v>
      </c>
      <c r="F381" s="10" t="s">
        <v>435</v>
      </c>
      <c r="G381" s="1">
        <v>0</v>
      </c>
      <c r="H381" s="1">
        <v>0.05</v>
      </c>
      <c r="I381" s="8">
        <v>45589</v>
      </c>
      <c r="J381" s="6">
        <v>701766</v>
      </c>
      <c r="K381" s="6">
        <v>75770</v>
      </c>
      <c r="L381" s="6">
        <v>31328.84</v>
      </c>
      <c r="M381" s="6">
        <v>3382.59</v>
      </c>
      <c r="N381" s="7">
        <v>6942.29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46652.17</v>
      </c>
      <c r="U381" s="6">
        <v>41653.72</v>
      </c>
      <c r="V381" s="6">
        <v>0</v>
      </c>
      <c r="W381" s="6">
        <v>3887.68</v>
      </c>
      <c r="X381" s="46">
        <v>45784</v>
      </c>
      <c r="Y381" s="1">
        <v>25111928</v>
      </c>
      <c r="Z381" s="1">
        <v>25111929</v>
      </c>
      <c r="AI381" s="2">
        <v>701766</v>
      </c>
      <c r="AJ381" s="2">
        <v>75770</v>
      </c>
      <c r="AK381" s="2">
        <v>31328.84</v>
      </c>
      <c r="AL381" s="2">
        <v>3382.59</v>
      </c>
      <c r="AM381" s="5">
        <v>6942.29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46652.17</v>
      </c>
      <c r="AT381" s="12">
        <v>41653.72</v>
      </c>
      <c r="AU381" s="2">
        <v>0</v>
      </c>
      <c r="AV381" s="5">
        <v>3887.68</v>
      </c>
      <c r="BL381" s="1" t="s">
        <v>302</v>
      </c>
    </row>
    <row r="382" spans="1:64" x14ac:dyDescent="0.3">
      <c r="A382" t="s">
        <v>1439</v>
      </c>
      <c r="B382" s="1" t="s">
        <v>1439</v>
      </c>
      <c r="C382" s="9" t="s">
        <v>1440</v>
      </c>
      <c r="D382" s="1" t="s">
        <v>95</v>
      </c>
      <c r="E382" s="1" t="s">
        <v>88</v>
      </c>
      <c r="F382" s="10" t="s">
        <v>1348</v>
      </c>
      <c r="G382" s="1">
        <v>0</v>
      </c>
      <c r="H382" s="1">
        <v>0.05</v>
      </c>
      <c r="I382" s="8">
        <v>45596</v>
      </c>
      <c r="J382" s="6">
        <v>183844</v>
      </c>
      <c r="K382" s="6">
        <v>23460</v>
      </c>
      <c r="L382" s="6">
        <v>8207.32</v>
      </c>
      <c r="M382" s="6">
        <v>1047.32</v>
      </c>
      <c r="N382" s="7">
        <v>1850.93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12438.24</v>
      </c>
      <c r="U382" s="6">
        <v>11105.57</v>
      </c>
      <c r="V382" s="6">
        <v>0</v>
      </c>
      <c r="W382" s="6">
        <v>1036.52</v>
      </c>
      <c r="X382" s="46">
        <v>45784</v>
      </c>
      <c r="Y382" s="1">
        <v>25111930</v>
      </c>
      <c r="Z382" s="1">
        <v>25111931</v>
      </c>
      <c r="AI382" s="2">
        <v>183844</v>
      </c>
      <c r="AJ382" s="2">
        <v>23460</v>
      </c>
      <c r="AK382" s="2">
        <v>8207.32</v>
      </c>
      <c r="AL382" s="2">
        <v>1047.32</v>
      </c>
      <c r="AM382" s="5">
        <v>1850.93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12438.24</v>
      </c>
      <c r="AT382" s="12">
        <v>11105.57</v>
      </c>
      <c r="AU382" s="2">
        <v>0</v>
      </c>
      <c r="AV382" s="5">
        <v>1036.52</v>
      </c>
      <c r="BL382" s="1" t="s">
        <v>90</v>
      </c>
    </row>
    <row r="383" spans="1:64" x14ac:dyDescent="0.3">
      <c r="A383" t="s">
        <v>1441</v>
      </c>
      <c r="B383" s="1" t="s">
        <v>1441</v>
      </c>
      <c r="C383" s="9" t="s">
        <v>1442</v>
      </c>
      <c r="D383" s="1" t="s">
        <v>95</v>
      </c>
      <c r="E383" s="1" t="s">
        <v>88</v>
      </c>
      <c r="F383" s="10" t="s">
        <v>1443</v>
      </c>
      <c r="G383" s="1">
        <v>0</v>
      </c>
      <c r="H383" s="1">
        <v>0.05</v>
      </c>
      <c r="I383" s="8">
        <v>45596</v>
      </c>
      <c r="J383" s="6">
        <v>149434.89000000001</v>
      </c>
      <c r="K383" s="6">
        <v>23795</v>
      </c>
      <c r="L383" s="6">
        <v>6671.2</v>
      </c>
      <c r="M383" s="6">
        <v>1062.28</v>
      </c>
      <c r="N383" s="7">
        <v>1546.7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10393.799999999999</v>
      </c>
      <c r="U383" s="6">
        <v>9280.18</v>
      </c>
      <c r="V383" s="6">
        <v>0</v>
      </c>
      <c r="W383" s="6">
        <v>866.15</v>
      </c>
      <c r="X383" s="46">
        <v>45784</v>
      </c>
      <c r="Y383" s="1">
        <v>25111932</v>
      </c>
      <c r="Z383" s="1">
        <v>25111933</v>
      </c>
      <c r="AI383" s="2">
        <v>149434.89000000001</v>
      </c>
      <c r="AJ383" s="2">
        <v>23795</v>
      </c>
      <c r="AK383" s="2">
        <v>6671.2</v>
      </c>
      <c r="AL383" s="2">
        <v>1062.28</v>
      </c>
      <c r="AM383" s="5">
        <v>1546.7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10393.799999999999</v>
      </c>
      <c r="AT383" s="12">
        <v>9280.18</v>
      </c>
      <c r="AU383" s="2">
        <v>0</v>
      </c>
      <c r="AV383" s="5">
        <v>866.15</v>
      </c>
      <c r="BL383" s="1" t="s">
        <v>90</v>
      </c>
    </row>
    <row r="384" spans="1:64" x14ac:dyDescent="0.3">
      <c r="A384" t="s">
        <v>1446</v>
      </c>
      <c r="B384" s="1" t="s">
        <v>1446</v>
      </c>
      <c r="C384" s="9" t="s">
        <v>1447</v>
      </c>
      <c r="D384" s="1" t="s">
        <v>95</v>
      </c>
      <c r="E384" s="1" t="s">
        <v>128</v>
      </c>
      <c r="F384" s="10" t="s">
        <v>401</v>
      </c>
      <c r="G384" s="1">
        <v>0</v>
      </c>
      <c r="H384" s="1">
        <v>0.05</v>
      </c>
      <c r="I384" s="8">
        <v>45026</v>
      </c>
      <c r="J384" s="6">
        <v>643586</v>
      </c>
      <c r="K384" s="6">
        <v>10776</v>
      </c>
      <c r="L384" s="6">
        <v>28731.52</v>
      </c>
      <c r="M384" s="6">
        <v>481.07</v>
      </c>
      <c r="N384" s="7">
        <v>5842.52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39261.72</v>
      </c>
      <c r="U384" s="6">
        <v>35055.11</v>
      </c>
      <c r="V384" s="6">
        <v>0</v>
      </c>
      <c r="W384" s="6">
        <v>3271.81</v>
      </c>
      <c r="X384" s="46">
        <v>45784</v>
      </c>
      <c r="Y384" s="1">
        <v>25111934</v>
      </c>
      <c r="Z384" s="1">
        <v>25111935</v>
      </c>
      <c r="AI384" s="2">
        <v>643586</v>
      </c>
      <c r="AJ384" s="2">
        <v>10776</v>
      </c>
      <c r="AK384" s="2">
        <v>28731.52</v>
      </c>
      <c r="AL384" s="2">
        <v>481.07</v>
      </c>
      <c r="AM384" s="5">
        <v>5842.52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39261.72</v>
      </c>
      <c r="AT384" s="12">
        <v>35055.11</v>
      </c>
      <c r="AU384" s="2">
        <v>0</v>
      </c>
      <c r="AV384" s="5">
        <v>3271.81</v>
      </c>
      <c r="BL384" s="1" t="s">
        <v>130</v>
      </c>
    </row>
    <row r="385" spans="1:64" x14ac:dyDescent="0.3">
      <c r="A385" t="s">
        <v>1448</v>
      </c>
      <c r="B385" s="1" t="s">
        <v>1448</v>
      </c>
      <c r="C385" s="9" t="s">
        <v>1449</v>
      </c>
      <c r="D385" s="1" t="s">
        <v>95</v>
      </c>
      <c r="E385" s="1" t="s">
        <v>88</v>
      </c>
      <c r="F385" s="10" t="s">
        <v>432</v>
      </c>
      <c r="G385" s="1">
        <v>0</v>
      </c>
      <c r="H385" s="1">
        <v>0.05</v>
      </c>
      <c r="I385" s="8">
        <v>45730</v>
      </c>
      <c r="J385" s="6">
        <v>723409</v>
      </c>
      <c r="K385" s="6">
        <v>100570</v>
      </c>
      <c r="L385" s="6">
        <v>32295.040000000001</v>
      </c>
      <c r="M385" s="6">
        <v>4489.7299999999996</v>
      </c>
      <c r="N385" s="7">
        <v>7356.96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49438.74</v>
      </c>
      <c r="U385" s="6">
        <v>44141.73</v>
      </c>
      <c r="V385" s="6">
        <v>0</v>
      </c>
      <c r="W385" s="6">
        <v>4119.8999999999996</v>
      </c>
      <c r="X385" s="46">
        <v>45784</v>
      </c>
      <c r="Y385" s="1">
        <v>25111936</v>
      </c>
      <c r="Z385" s="1">
        <v>25111937</v>
      </c>
      <c r="AI385" s="2">
        <v>723409</v>
      </c>
      <c r="AJ385" s="2">
        <v>100570</v>
      </c>
      <c r="AK385" s="2">
        <v>32295.040000000001</v>
      </c>
      <c r="AL385" s="2">
        <v>4489.7299999999996</v>
      </c>
      <c r="AM385" s="5">
        <v>7356.96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49438.74</v>
      </c>
      <c r="AT385" s="12">
        <v>44141.73</v>
      </c>
      <c r="AU385" s="2">
        <v>0</v>
      </c>
      <c r="AV385" s="5">
        <v>4119.8999999999996</v>
      </c>
      <c r="BL385" s="1" t="s">
        <v>90</v>
      </c>
    </row>
    <row r="386" spans="1:64" x14ac:dyDescent="0.3">
      <c r="A386" t="s">
        <v>1451</v>
      </c>
      <c r="B386" s="1" t="s">
        <v>1451</v>
      </c>
      <c r="C386" s="9" t="s">
        <v>1452</v>
      </c>
      <c r="D386" s="1" t="s">
        <v>95</v>
      </c>
      <c r="E386" s="1" t="s">
        <v>88</v>
      </c>
      <c r="F386" s="10" t="s">
        <v>545</v>
      </c>
      <c r="G386" s="1">
        <v>0</v>
      </c>
      <c r="H386" s="1">
        <v>0.05</v>
      </c>
      <c r="I386" s="8">
        <v>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0</v>
      </c>
      <c r="AJ386" s="2">
        <v>0</v>
      </c>
      <c r="AK386" s="2">
        <v>0</v>
      </c>
      <c r="AL386" s="2">
        <v>0</v>
      </c>
      <c r="AM386" s="5">
        <v>0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0</v>
      </c>
      <c r="AT386" s="12">
        <v>0</v>
      </c>
      <c r="AU386" s="2">
        <v>0</v>
      </c>
      <c r="AV386" s="5">
        <v>0</v>
      </c>
      <c r="BL386" s="1" t="s">
        <v>546</v>
      </c>
    </row>
    <row r="387" spans="1:64" x14ac:dyDescent="0.3">
      <c r="A387" t="s">
        <v>1453</v>
      </c>
      <c r="B387" s="1" t="s">
        <v>1453</v>
      </c>
      <c r="C387" s="9" t="s">
        <v>1454</v>
      </c>
      <c r="D387" s="1" t="s">
        <v>95</v>
      </c>
      <c r="E387" s="1" t="s">
        <v>135</v>
      </c>
      <c r="F387" s="10" t="s">
        <v>435</v>
      </c>
      <c r="G387" s="1">
        <v>0</v>
      </c>
      <c r="H387" s="1">
        <v>0.05</v>
      </c>
      <c r="I387" s="8">
        <v>44925</v>
      </c>
      <c r="J387" s="6">
        <v>230040</v>
      </c>
      <c r="K387" s="6">
        <v>59971</v>
      </c>
      <c r="L387" s="6">
        <v>10269.64</v>
      </c>
      <c r="M387" s="6">
        <v>2677.28</v>
      </c>
      <c r="N387" s="7">
        <v>2589.38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17400.66</v>
      </c>
      <c r="U387" s="6">
        <v>15536.3</v>
      </c>
      <c r="V387" s="6">
        <v>0</v>
      </c>
      <c r="W387" s="6">
        <v>1450.06</v>
      </c>
      <c r="X387" s="46">
        <v>45784</v>
      </c>
      <c r="Y387" s="1">
        <v>25111938</v>
      </c>
      <c r="Z387" s="1">
        <v>25111939</v>
      </c>
      <c r="AI387" s="2">
        <v>230040</v>
      </c>
      <c r="AJ387" s="2">
        <v>59971</v>
      </c>
      <c r="AK387" s="2">
        <v>10269.64</v>
      </c>
      <c r="AL387" s="2">
        <v>2677.28</v>
      </c>
      <c r="AM387" s="5">
        <v>2589.38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17400.66</v>
      </c>
      <c r="AT387" s="12">
        <v>15536.3</v>
      </c>
      <c r="AU387" s="2">
        <v>0</v>
      </c>
      <c r="AV387" s="5">
        <v>1450.06</v>
      </c>
      <c r="BL387" s="1" t="s">
        <v>137</v>
      </c>
    </row>
    <row r="388" spans="1:64" x14ac:dyDescent="0.3">
      <c r="A388" t="s">
        <v>1455</v>
      </c>
      <c r="B388" s="1" t="s">
        <v>1455</v>
      </c>
      <c r="C388" s="9" t="s">
        <v>1456</v>
      </c>
      <c r="D388" s="1" t="s">
        <v>95</v>
      </c>
      <c r="E388" s="1" t="s">
        <v>88</v>
      </c>
      <c r="F388" s="10" t="s">
        <v>472</v>
      </c>
      <c r="G388" s="1">
        <v>0</v>
      </c>
      <c r="H388" s="1">
        <v>0</v>
      </c>
      <c r="I388" s="8">
        <v>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0</v>
      </c>
      <c r="AJ388" s="2">
        <v>0</v>
      </c>
      <c r="AK388" s="2">
        <v>0</v>
      </c>
      <c r="AL388" s="2">
        <v>0</v>
      </c>
      <c r="AM388" s="5">
        <v>0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0</v>
      </c>
      <c r="AT388" s="12">
        <v>0</v>
      </c>
      <c r="AU388" s="2">
        <v>0</v>
      </c>
      <c r="AV388" s="5">
        <v>0</v>
      </c>
      <c r="BL388" s="1" t="s">
        <v>90</v>
      </c>
    </row>
    <row r="389" spans="1:64" x14ac:dyDescent="0.3">
      <c r="A389" t="s">
        <v>1457</v>
      </c>
      <c r="B389" s="1" t="s">
        <v>1457</v>
      </c>
      <c r="C389" s="9" t="s">
        <v>1458</v>
      </c>
      <c r="D389" s="1" t="s">
        <v>95</v>
      </c>
      <c r="E389" s="1" t="s">
        <v>128</v>
      </c>
      <c r="F389" s="10" t="s">
        <v>129</v>
      </c>
      <c r="G389" s="1">
        <v>0</v>
      </c>
      <c r="H389" s="1">
        <v>0.05</v>
      </c>
      <c r="I389" s="8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0</v>
      </c>
      <c r="AT389" s="12">
        <v>0</v>
      </c>
      <c r="AU389" s="2">
        <v>0</v>
      </c>
      <c r="AV389" s="5">
        <v>0</v>
      </c>
      <c r="BL389" s="1" t="s">
        <v>130</v>
      </c>
    </row>
    <row r="390" spans="1:64" x14ac:dyDescent="0.3">
      <c r="A390" t="s">
        <v>1459</v>
      </c>
      <c r="B390" s="1" t="s">
        <v>1459</v>
      </c>
      <c r="C390" s="9" t="s">
        <v>1460</v>
      </c>
      <c r="D390" s="1" t="s">
        <v>95</v>
      </c>
      <c r="E390" s="1" t="s">
        <v>135</v>
      </c>
      <c r="F390" s="10" t="s">
        <v>193</v>
      </c>
      <c r="G390" s="1">
        <v>0</v>
      </c>
      <c r="H390" s="1">
        <v>0.05</v>
      </c>
      <c r="I390" s="8">
        <v>0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0</v>
      </c>
      <c r="AJ390" s="2">
        <v>0</v>
      </c>
      <c r="AK390" s="2">
        <v>0</v>
      </c>
      <c r="AL390" s="2">
        <v>0</v>
      </c>
      <c r="AM390" s="5">
        <v>0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0</v>
      </c>
      <c r="AT390" s="12">
        <v>0</v>
      </c>
      <c r="AU390" s="2">
        <v>0</v>
      </c>
      <c r="AV390" s="5">
        <v>0</v>
      </c>
      <c r="BL390" s="1" t="s">
        <v>137</v>
      </c>
    </row>
    <row r="391" spans="1:64" x14ac:dyDescent="0.3">
      <c r="A391" t="s">
        <v>1461</v>
      </c>
      <c r="B391" s="1" t="s">
        <v>1461</v>
      </c>
      <c r="C391" s="9" t="s">
        <v>1462</v>
      </c>
      <c r="D391" s="1" t="s">
        <v>95</v>
      </c>
      <c r="E391" s="1" t="s">
        <v>88</v>
      </c>
      <c r="F391" s="10" t="s">
        <v>472</v>
      </c>
      <c r="G391" s="1">
        <v>0</v>
      </c>
      <c r="H391" s="1">
        <v>0.02</v>
      </c>
      <c r="I391" s="8">
        <v>0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0</v>
      </c>
      <c r="AJ391" s="2">
        <v>0</v>
      </c>
      <c r="AK391" s="2">
        <v>0</v>
      </c>
      <c r="AL391" s="2">
        <v>0</v>
      </c>
      <c r="AM391" s="5">
        <v>0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0</v>
      </c>
      <c r="AT391" s="12">
        <v>0</v>
      </c>
      <c r="AU391" s="2">
        <v>0</v>
      </c>
      <c r="AV391" s="5">
        <v>0</v>
      </c>
      <c r="BL391" s="1" t="s">
        <v>90</v>
      </c>
    </row>
    <row r="392" spans="1:64" x14ac:dyDescent="0.3">
      <c r="A392" t="s">
        <v>1463</v>
      </c>
      <c r="B392" s="1" t="s">
        <v>1463</v>
      </c>
      <c r="C392" s="9" t="s">
        <v>1464</v>
      </c>
      <c r="D392" s="1" t="s">
        <v>95</v>
      </c>
      <c r="E392" s="1" t="s">
        <v>88</v>
      </c>
      <c r="F392" s="10" t="s">
        <v>472</v>
      </c>
      <c r="G392" s="1">
        <v>0</v>
      </c>
      <c r="H392" s="1">
        <v>0.02</v>
      </c>
      <c r="I392" s="8">
        <v>0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0</v>
      </c>
      <c r="AJ392" s="2">
        <v>0</v>
      </c>
      <c r="AK392" s="2">
        <v>0</v>
      </c>
      <c r="AL392" s="2">
        <v>0</v>
      </c>
      <c r="AM392" s="5">
        <v>0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0</v>
      </c>
      <c r="AT392" s="12">
        <v>0</v>
      </c>
      <c r="AU392" s="2">
        <v>0</v>
      </c>
      <c r="AV392" s="5">
        <v>0</v>
      </c>
      <c r="BL392" s="1" t="s">
        <v>90</v>
      </c>
    </row>
    <row r="393" spans="1:64" x14ac:dyDescent="0.3">
      <c r="A393" t="s">
        <v>1465</v>
      </c>
      <c r="B393" s="1" t="s">
        <v>1465</v>
      </c>
      <c r="C393" s="9" t="s">
        <v>1466</v>
      </c>
      <c r="D393" s="1" t="s">
        <v>95</v>
      </c>
      <c r="E393" s="1" t="s">
        <v>88</v>
      </c>
      <c r="F393" s="10" t="s">
        <v>1170</v>
      </c>
      <c r="G393" s="1">
        <v>0</v>
      </c>
      <c r="H393" s="1">
        <v>0.05</v>
      </c>
      <c r="I393" s="8">
        <v>45755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853418.6399999999</v>
      </c>
      <c r="P393" s="6">
        <v>228614.64</v>
      </c>
      <c r="Q393" s="6">
        <v>29209.260000000002</v>
      </c>
      <c r="R393" s="6">
        <v>7824.5999999999995</v>
      </c>
      <c r="S393" s="7">
        <v>0</v>
      </c>
      <c r="T393" s="11">
        <v>41477.919999999998</v>
      </c>
      <c r="U393" s="6">
        <v>37033.86</v>
      </c>
      <c r="V393" s="6">
        <v>0</v>
      </c>
      <c r="W393" s="6">
        <v>5410.17</v>
      </c>
      <c r="X393" s="46">
        <v>45784</v>
      </c>
      <c r="Y393" s="1">
        <v>25111940</v>
      </c>
      <c r="Z393" s="1">
        <v>25111941</v>
      </c>
      <c r="AI393" s="2">
        <v>0</v>
      </c>
      <c r="AJ393" s="2">
        <v>0</v>
      </c>
      <c r="AK393" s="2">
        <v>0</v>
      </c>
      <c r="AL393" s="2">
        <v>0</v>
      </c>
      <c r="AM393" s="5">
        <v>0</v>
      </c>
      <c r="AN393" s="12">
        <v>853418.6399999999</v>
      </c>
      <c r="AO393" s="2">
        <v>228614.64</v>
      </c>
      <c r="AP393" s="2">
        <v>29209.260000000002</v>
      </c>
      <c r="AQ393" s="2">
        <v>7824.5999999999995</v>
      </c>
      <c r="AR393" s="5">
        <v>0</v>
      </c>
      <c r="AS393" s="2">
        <v>41477.919999999998</v>
      </c>
      <c r="AT393" s="12">
        <v>37033.86</v>
      </c>
      <c r="AU393" s="2">
        <v>0</v>
      </c>
      <c r="AV393" s="5">
        <v>5410.17</v>
      </c>
      <c r="BL393" s="1" t="s">
        <v>90</v>
      </c>
    </row>
  </sheetData>
  <mergeCells count="75">
    <mergeCell ref="AV3:AV5"/>
    <mergeCell ref="AX4:AX5"/>
    <mergeCell ref="AY4:AY5"/>
    <mergeCell ref="AZ4:AZ5"/>
    <mergeCell ref="BA4:BA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K3:BK5"/>
    <mergeCell ref="BC4:BC5"/>
    <mergeCell ref="BD4:BD5"/>
    <mergeCell ref="BE4:BE5"/>
    <mergeCell ref="BF4:BF5"/>
    <mergeCell ref="BG4:BG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N56"/>
  <sheetViews>
    <sheetView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13375490.219999997</v>
      </c>
      <c r="E5" s="2">
        <v>11942401.999999994</v>
      </c>
      <c r="I5" s="25"/>
      <c r="J5" s="12"/>
    </row>
    <row r="6" spans="2:13" x14ac:dyDescent="0.3">
      <c r="C6" s="14" t="s">
        <v>36</v>
      </c>
      <c r="D6" s="2">
        <v>820637.21000000066</v>
      </c>
      <c r="E6" s="2">
        <v>820637.21000000066</v>
      </c>
      <c r="I6" s="25"/>
      <c r="J6" s="12"/>
    </row>
    <row r="7" spans="2:13" ht="15" thickBot="1" x14ac:dyDescent="0.35">
      <c r="C7" t="s">
        <v>45</v>
      </c>
      <c r="D7" s="13">
        <f>SUM(D5:D6)</f>
        <v>14196127.429999998</v>
      </c>
      <c r="E7" s="13">
        <f>SUM(E5:E6)</f>
        <v>12763039.209999995</v>
      </c>
      <c r="I7" s="25"/>
      <c r="J7" s="12"/>
    </row>
    <row r="8" spans="2:13" ht="15" thickTop="1" x14ac:dyDescent="0.3">
      <c r="C8" s="14" t="s">
        <v>37</v>
      </c>
      <c r="D8" s="2">
        <v>-71180.170000000013</v>
      </c>
      <c r="E8" s="2">
        <v>-71180.170000000013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14124947.259999998</v>
      </c>
      <c r="E9" s="36">
        <f>SUM(E7:E8)</f>
        <v>12691859.039999995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D12" s="2">
        <v>3986091.1199999978</v>
      </c>
      <c r="E12" s="2">
        <v>3559009.9000000032</v>
      </c>
      <c r="F12" s="20">
        <v>25111403</v>
      </c>
      <c r="G12" s="20">
        <v>25111603</v>
      </c>
      <c r="I12" s="12"/>
      <c r="L12" s="12"/>
      <c r="M12" s="12"/>
    </row>
    <row r="13" spans="2:13" x14ac:dyDescent="0.3">
      <c r="C13" t="s">
        <v>63</v>
      </c>
      <c r="D13" s="44">
        <v>-71180.170000000013</v>
      </c>
      <c r="E13" s="44">
        <v>-71180.170000000013</v>
      </c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3914910.9499999979</v>
      </c>
      <c r="E14" s="13">
        <f>SUM(E12:E13)</f>
        <v>3487829.7300000032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10242092.549999999</v>
      </c>
      <c r="E15" s="2">
        <v>9231641.4899999984</v>
      </c>
      <c r="F15" s="20">
        <v>25111604</v>
      </c>
      <c r="G15" s="20">
        <v>25111941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14157003.499999996</v>
      </c>
      <c r="E16" s="18">
        <f>SUM(E14:E15)</f>
        <v>12719471.220000003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0</v>
      </c>
      <c r="E22" s="2">
        <v>0</v>
      </c>
      <c r="F22" s="20"/>
      <c r="G22" s="20"/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0</v>
      </c>
      <c r="E23" s="18">
        <f>SUM(E21:E22)</f>
        <v>0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14157003.499999996</v>
      </c>
      <c r="E25" s="36">
        <f>E16-E23</f>
        <v>12719471.220000003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3986091.1199999978</v>
      </c>
      <c r="E28" s="39">
        <v>3559009.9000000032</v>
      </c>
      <c r="F28" s="38">
        <v>71180.170000000013</v>
      </c>
      <c r="G28" s="41">
        <v>3914910.9499999979</v>
      </c>
      <c r="H28" s="20">
        <v>279913</v>
      </c>
      <c r="I28" s="20">
        <v>280113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610400.49</v>
      </c>
      <c r="E42" s="2">
        <v>545000.44000000006</v>
      </c>
      <c r="F42" s="2">
        <v>10900</v>
      </c>
      <c r="G42" s="2">
        <v>599500.49</v>
      </c>
      <c r="H42" s="20">
        <v>1</v>
      </c>
      <c r="I42" s="20">
        <v>21</v>
      </c>
      <c r="K42" s="12"/>
      <c r="L42" s="12"/>
      <c r="M42" s="12"/>
    </row>
    <row r="43" spans="2:14" x14ac:dyDescent="0.3">
      <c r="C43" t="s">
        <v>41</v>
      </c>
      <c r="D43" s="2">
        <v>972798.49000000011</v>
      </c>
      <c r="E43" s="2">
        <v>868570.07</v>
      </c>
      <c r="F43" s="2">
        <v>17371.38</v>
      </c>
      <c r="G43" s="2">
        <v>955427.1100000001</v>
      </c>
      <c r="H43" s="20">
        <v>1</v>
      </c>
      <c r="I43" s="20">
        <v>44</v>
      </c>
      <c r="K43" s="12"/>
      <c r="L43" s="12"/>
      <c r="M43" s="12"/>
    </row>
    <row r="44" spans="2:14" x14ac:dyDescent="0.3">
      <c r="C44" t="s">
        <v>42</v>
      </c>
      <c r="D44" s="2">
        <v>490355.99999999994</v>
      </c>
      <c r="E44" s="2">
        <v>437817.87000000005</v>
      </c>
      <c r="F44" s="2">
        <v>8756.3900000000012</v>
      </c>
      <c r="G44" s="2">
        <v>481599.60999999993</v>
      </c>
      <c r="H44" s="20">
        <v>1</v>
      </c>
      <c r="I44" s="20">
        <v>17</v>
      </c>
      <c r="K44" s="12"/>
      <c r="L44" s="12"/>
      <c r="M44" s="12"/>
    </row>
    <row r="45" spans="2:14" x14ac:dyDescent="0.3">
      <c r="C45" t="s">
        <v>43</v>
      </c>
      <c r="D45" s="2">
        <v>463363.04999999993</v>
      </c>
      <c r="E45" s="2">
        <v>413717.01999999973</v>
      </c>
      <c r="F45" s="2">
        <v>8274.33</v>
      </c>
      <c r="G45" s="2">
        <v>455088.71999999991</v>
      </c>
      <c r="H45" s="20">
        <v>1</v>
      </c>
      <c r="I45" s="20">
        <v>31</v>
      </c>
      <c r="K45" s="12"/>
      <c r="L45" s="12"/>
      <c r="M45" s="12"/>
    </row>
    <row r="46" spans="2:14" x14ac:dyDescent="0.3">
      <c r="C46" t="s">
        <v>44</v>
      </c>
      <c r="D46" s="2">
        <v>1449173.0899999992</v>
      </c>
      <c r="E46" s="2">
        <v>1293904.5000000012</v>
      </c>
      <c r="F46" s="2">
        <v>25878.069999999992</v>
      </c>
      <c r="G46" s="2">
        <v>1423295.0199999991</v>
      </c>
      <c r="H46" s="20">
        <v>1</v>
      </c>
      <c r="I46" s="20">
        <v>88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3986091.1199999992</v>
      </c>
      <c r="E47" s="39">
        <f t="shared" ref="E47:G47" si="1">SUM(E42:E46)</f>
        <v>3559009.9000000013</v>
      </c>
      <c r="F47" s="38">
        <f t="shared" si="1"/>
        <v>71180.17</v>
      </c>
      <c r="G47" s="41">
        <f t="shared" si="1"/>
        <v>3914910.9499999988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666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555416</v>
      </c>
      <c r="AJ6" s="2">
        <v>221941</v>
      </c>
      <c r="AK6" s="2">
        <v>9918.14</v>
      </c>
      <c r="AL6" s="2">
        <v>3963.23</v>
      </c>
      <c r="AM6" s="5">
        <v>6940.69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23320.71</v>
      </c>
      <c r="AT6" s="12">
        <v>20822.059999999998</v>
      </c>
      <c r="AU6" s="2">
        <v>416.44</v>
      </c>
      <c r="AV6" s="5">
        <v>0</v>
      </c>
      <c r="AX6" s="2">
        <v>555416</v>
      </c>
      <c r="AY6" s="2">
        <v>221941</v>
      </c>
      <c r="AZ6" s="2">
        <v>9918.14</v>
      </c>
      <c r="BA6" s="2">
        <v>3963.23</v>
      </c>
      <c r="BB6" s="5">
        <v>6940.69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23320.71</v>
      </c>
      <c r="BI6" s="12">
        <v>20822.059999999998</v>
      </c>
      <c r="BJ6" s="2">
        <v>416.44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130150</v>
      </c>
      <c r="AJ7" s="2">
        <v>49924</v>
      </c>
      <c r="AK7" s="2">
        <v>2324.11</v>
      </c>
      <c r="AL7" s="2">
        <v>891.5</v>
      </c>
      <c r="AM7" s="5">
        <v>1607.8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5402.22</v>
      </c>
      <c r="AT7" s="12">
        <v>4823.41</v>
      </c>
      <c r="AU7" s="2">
        <v>96.47</v>
      </c>
      <c r="AV7" s="5">
        <v>0</v>
      </c>
      <c r="AX7" s="2">
        <v>130150</v>
      </c>
      <c r="AY7" s="2">
        <v>49924</v>
      </c>
      <c r="AZ7" s="2">
        <v>2324.11</v>
      </c>
      <c r="BA7" s="2">
        <v>891.5</v>
      </c>
      <c r="BB7" s="5">
        <v>1607.8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5402.22</v>
      </c>
      <c r="BI7" s="12">
        <v>4823.41</v>
      </c>
      <c r="BJ7" s="2">
        <v>96.47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317200.75</v>
      </c>
      <c r="AJ8" s="2">
        <v>86592</v>
      </c>
      <c r="AK8" s="2">
        <v>5664.3</v>
      </c>
      <c r="AL8" s="2">
        <v>1546.29</v>
      </c>
      <c r="AM8" s="5">
        <v>3605.29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12113.79</v>
      </c>
      <c r="AT8" s="12">
        <v>10815.880000000001</v>
      </c>
      <c r="AU8" s="2">
        <v>216.32</v>
      </c>
      <c r="AV8" s="5">
        <v>0</v>
      </c>
      <c r="AX8" s="2">
        <v>317200.75</v>
      </c>
      <c r="AY8" s="2">
        <v>86592</v>
      </c>
      <c r="AZ8" s="2">
        <v>5664.3</v>
      </c>
      <c r="BA8" s="2">
        <v>1546.29</v>
      </c>
      <c r="BB8" s="5">
        <v>3605.29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12113.79</v>
      </c>
      <c r="BI8" s="12">
        <v>10815.880000000001</v>
      </c>
      <c r="BJ8" s="2">
        <v>216.32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865606</v>
      </c>
      <c r="AJ9" s="2">
        <v>167742</v>
      </c>
      <c r="AK9" s="2">
        <v>15457.25</v>
      </c>
      <c r="AL9" s="2">
        <v>2995.39</v>
      </c>
      <c r="AM9" s="5">
        <v>9226.32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31000.44</v>
      </c>
      <c r="AT9" s="12">
        <v>27678.959999999999</v>
      </c>
      <c r="AU9" s="2">
        <v>553.58000000000004</v>
      </c>
      <c r="AV9" s="5">
        <v>0</v>
      </c>
      <c r="AX9" s="2">
        <v>865606</v>
      </c>
      <c r="AY9" s="2">
        <v>167742</v>
      </c>
      <c r="AZ9" s="2">
        <v>15457.25</v>
      </c>
      <c r="BA9" s="2">
        <v>2995.39</v>
      </c>
      <c r="BB9" s="5">
        <v>9226.32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31000.44</v>
      </c>
      <c r="BI9" s="12">
        <v>27678.959999999999</v>
      </c>
      <c r="BJ9" s="2">
        <v>553.58000000000004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16717</v>
      </c>
      <c r="K10" s="6">
        <v>5720</v>
      </c>
      <c r="L10" s="6">
        <v>298.52000000000044</v>
      </c>
      <c r="M10" s="6">
        <v>102.14000000000033</v>
      </c>
      <c r="N10" s="7">
        <v>200.33999999999833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673.11999999999898</v>
      </c>
      <c r="U10" s="6">
        <v>600.99999999999636</v>
      </c>
      <c r="V10" s="6">
        <v>12.019999999999982</v>
      </c>
      <c r="W10" s="6">
        <v>0</v>
      </c>
      <c r="AI10" s="2">
        <v>725449</v>
      </c>
      <c r="AJ10" s="2">
        <v>242170</v>
      </c>
      <c r="AK10" s="2">
        <v>12954.45</v>
      </c>
      <c r="AL10" s="2">
        <v>4324.46</v>
      </c>
      <c r="AM10" s="5">
        <v>8639.4599999999991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29028.57</v>
      </c>
      <c r="AT10" s="12">
        <v>25918.37</v>
      </c>
      <c r="AU10" s="2">
        <v>518.37</v>
      </c>
      <c r="AV10" s="5">
        <v>0</v>
      </c>
      <c r="AX10" s="2">
        <v>708732</v>
      </c>
      <c r="AY10" s="2">
        <v>236450</v>
      </c>
      <c r="AZ10" s="2">
        <v>12655.93</v>
      </c>
      <c r="BA10" s="2">
        <v>4222.32</v>
      </c>
      <c r="BB10" s="5">
        <v>8439.1200000000008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28355.45</v>
      </c>
      <c r="BI10" s="12">
        <v>25317.370000000003</v>
      </c>
      <c r="BJ10" s="2">
        <v>506.35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581820</v>
      </c>
      <c r="AJ11" s="2">
        <v>182153</v>
      </c>
      <c r="AK11" s="2">
        <v>10389.64</v>
      </c>
      <c r="AL11" s="2">
        <v>3252.73</v>
      </c>
      <c r="AM11" s="5">
        <v>6821.19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22919.19</v>
      </c>
      <c r="AT11" s="12">
        <v>20463.559999999998</v>
      </c>
      <c r="AU11" s="2">
        <v>409.27</v>
      </c>
      <c r="AV11" s="5">
        <v>0</v>
      </c>
      <c r="AX11" s="2">
        <v>581820</v>
      </c>
      <c r="AY11" s="2">
        <v>182153</v>
      </c>
      <c r="AZ11" s="2">
        <v>10389.64</v>
      </c>
      <c r="BA11" s="2">
        <v>3252.73</v>
      </c>
      <c r="BB11" s="5">
        <v>6821.19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22919.19</v>
      </c>
      <c r="BI11" s="12">
        <v>20463.559999999998</v>
      </c>
      <c r="BJ11" s="2">
        <v>409.27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18857</v>
      </c>
      <c r="AJ12" s="2">
        <v>14304</v>
      </c>
      <c r="AK12" s="2">
        <v>336.73</v>
      </c>
      <c r="AL12" s="2">
        <v>255.43</v>
      </c>
      <c r="AM12" s="5">
        <v>296.08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994.83</v>
      </c>
      <c r="AT12" s="12">
        <v>888.24</v>
      </c>
      <c r="AU12" s="2">
        <v>17.760000000000002</v>
      </c>
      <c r="AV12" s="5">
        <v>0</v>
      </c>
      <c r="AX12" s="2">
        <v>18857</v>
      </c>
      <c r="AY12" s="2">
        <v>14304</v>
      </c>
      <c r="AZ12" s="2">
        <v>336.73</v>
      </c>
      <c r="BA12" s="2">
        <v>255.43</v>
      </c>
      <c r="BB12" s="5">
        <v>296.08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994.83</v>
      </c>
      <c r="BI12" s="12">
        <v>888.24</v>
      </c>
      <c r="BJ12" s="2">
        <v>17.760000000000002</v>
      </c>
      <c r="BL12" s="1" t="s">
        <v>90</v>
      </c>
    </row>
    <row r="13" spans="1:64" x14ac:dyDescent="0.3">
      <c r="A13" t="s">
        <v>158</v>
      </c>
      <c r="B13" s="1" t="s">
        <v>158</v>
      </c>
      <c r="C13" s="9" t="s">
        <v>159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335520.5</v>
      </c>
      <c r="AJ13" s="2">
        <v>99974</v>
      </c>
      <c r="AK13" s="2">
        <v>5991.44</v>
      </c>
      <c r="AL13" s="2">
        <v>1785.25</v>
      </c>
      <c r="AM13" s="5">
        <v>3888.34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13064.83</v>
      </c>
      <c r="AT13" s="12">
        <v>11665.029999999999</v>
      </c>
      <c r="AU13" s="2">
        <v>233.3</v>
      </c>
      <c r="AV13" s="5">
        <v>0</v>
      </c>
      <c r="AX13" s="2">
        <v>335520.5</v>
      </c>
      <c r="AY13" s="2">
        <v>99974</v>
      </c>
      <c r="AZ13" s="2">
        <v>5991.44</v>
      </c>
      <c r="BA13" s="2">
        <v>1785.25</v>
      </c>
      <c r="BB13" s="5">
        <v>3888.34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13064.83</v>
      </c>
      <c r="BI13" s="12">
        <v>11665.029999999999</v>
      </c>
      <c r="BJ13" s="2">
        <v>233.3</v>
      </c>
      <c r="BL13" s="1" t="s">
        <v>90</v>
      </c>
    </row>
    <row r="14" spans="1:64" x14ac:dyDescent="0.3">
      <c r="A14" t="s">
        <v>158</v>
      </c>
      <c r="B14" s="1" t="s">
        <v>160</v>
      </c>
      <c r="C14" s="9" t="s">
        <v>161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227607</v>
      </c>
      <c r="AJ14" s="2">
        <v>83923</v>
      </c>
      <c r="AK14" s="2">
        <v>4064.41</v>
      </c>
      <c r="AL14" s="2">
        <v>1498.62</v>
      </c>
      <c r="AM14" s="5">
        <v>2781.52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9345.9</v>
      </c>
      <c r="AT14" s="12">
        <v>8344.5499999999993</v>
      </c>
      <c r="AU14" s="2">
        <v>166.89</v>
      </c>
      <c r="AV14" s="5">
        <v>0</v>
      </c>
      <c r="AX14" s="2">
        <v>227607</v>
      </c>
      <c r="AY14" s="2">
        <v>83923</v>
      </c>
      <c r="AZ14" s="2">
        <v>4064.41</v>
      </c>
      <c r="BA14" s="2">
        <v>1498.62</v>
      </c>
      <c r="BB14" s="5">
        <v>2781.52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9345.9</v>
      </c>
      <c r="BI14" s="12">
        <v>8344.5499999999993</v>
      </c>
      <c r="BJ14" s="2">
        <v>166.89</v>
      </c>
      <c r="BL14" s="1" t="s">
        <v>90</v>
      </c>
    </row>
    <row r="15" spans="1:64" x14ac:dyDescent="0.3">
      <c r="A15" t="s">
        <v>158</v>
      </c>
      <c r="B15" s="1" t="s">
        <v>162</v>
      </c>
      <c r="C15" s="9" t="s">
        <v>163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79040</v>
      </c>
      <c r="AJ15" s="2">
        <v>44097</v>
      </c>
      <c r="AK15" s="2">
        <v>1411.43</v>
      </c>
      <c r="AL15" s="2">
        <v>787.45</v>
      </c>
      <c r="AM15" s="5">
        <v>1099.44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3694.12</v>
      </c>
      <c r="AT15" s="12">
        <v>3298.32</v>
      </c>
      <c r="AU15" s="2">
        <v>65.97</v>
      </c>
      <c r="AV15" s="5">
        <v>0</v>
      </c>
      <c r="AX15" s="2">
        <v>79040</v>
      </c>
      <c r="AY15" s="2">
        <v>44097</v>
      </c>
      <c r="AZ15" s="2">
        <v>1411.43</v>
      </c>
      <c r="BA15" s="2">
        <v>787.45</v>
      </c>
      <c r="BB15" s="5">
        <v>1099.44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3694.12</v>
      </c>
      <c r="BI15" s="12">
        <v>3298.32</v>
      </c>
      <c r="BJ15" s="2">
        <v>65.97</v>
      </c>
      <c r="BL15" s="1" t="s">
        <v>90</v>
      </c>
    </row>
    <row r="16" spans="1:64" x14ac:dyDescent="0.3">
      <c r="A16" t="s">
        <v>219</v>
      </c>
      <c r="B16" s="1" t="s">
        <v>219</v>
      </c>
      <c r="C16" s="9" t="s">
        <v>220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0</v>
      </c>
      <c r="AJ16" s="2">
        <v>0</v>
      </c>
      <c r="AK16" s="2">
        <v>0</v>
      </c>
      <c r="AL16" s="2">
        <v>0</v>
      </c>
      <c r="AM16" s="5">
        <v>0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0</v>
      </c>
      <c r="AT16" s="12">
        <v>0</v>
      </c>
      <c r="AU16" s="2">
        <v>0</v>
      </c>
      <c r="AV16" s="5">
        <v>0</v>
      </c>
      <c r="AX16" s="2">
        <v>0</v>
      </c>
      <c r="AY16" s="2">
        <v>0</v>
      </c>
      <c r="AZ16" s="2">
        <v>0</v>
      </c>
      <c r="BA16" s="2">
        <v>0</v>
      </c>
      <c r="BB16" s="5">
        <v>0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0</v>
      </c>
      <c r="BI16" s="12">
        <v>0</v>
      </c>
      <c r="BJ16" s="2">
        <v>0</v>
      </c>
      <c r="BL16" s="1" t="s">
        <v>90</v>
      </c>
    </row>
    <row r="17" spans="1:64" x14ac:dyDescent="0.3">
      <c r="A17" t="s">
        <v>219</v>
      </c>
      <c r="B17" s="1" t="s">
        <v>221</v>
      </c>
      <c r="C17" s="9" t="s">
        <v>222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47085</v>
      </c>
      <c r="AJ17" s="2">
        <v>14951</v>
      </c>
      <c r="AK17" s="2">
        <v>840.8</v>
      </c>
      <c r="AL17" s="2">
        <v>266.98</v>
      </c>
      <c r="AM17" s="5">
        <v>553.89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1861.07</v>
      </c>
      <c r="AT17" s="12">
        <v>1661.67</v>
      </c>
      <c r="AU17" s="2">
        <v>33.229999999999997</v>
      </c>
      <c r="AV17" s="5">
        <v>0</v>
      </c>
      <c r="AX17" s="2">
        <v>47085</v>
      </c>
      <c r="AY17" s="2">
        <v>14951</v>
      </c>
      <c r="AZ17" s="2">
        <v>840.8</v>
      </c>
      <c r="BA17" s="2">
        <v>266.98</v>
      </c>
      <c r="BB17" s="5">
        <v>553.89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1861.07</v>
      </c>
      <c r="BI17" s="12">
        <v>1661.67</v>
      </c>
      <c r="BJ17" s="2">
        <v>33.229999999999997</v>
      </c>
      <c r="BL17" s="1" t="s">
        <v>90</v>
      </c>
    </row>
    <row r="18" spans="1:64" x14ac:dyDescent="0.3">
      <c r="A18" t="s">
        <v>223</v>
      </c>
      <c r="B18" s="1" t="s">
        <v>223</v>
      </c>
      <c r="C18" s="9" t="s">
        <v>224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769938.14000000013</v>
      </c>
      <c r="AJ18" s="2">
        <v>109256.11</v>
      </c>
      <c r="AK18" s="2">
        <v>13748.89</v>
      </c>
      <c r="AL18" s="2">
        <v>1951</v>
      </c>
      <c r="AM18" s="5">
        <v>7849.95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26375.82</v>
      </c>
      <c r="AT18" s="12">
        <v>23549.84</v>
      </c>
      <c r="AU18" s="2">
        <v>471</v>
      </c>
      <c r="AV18" s="5">
        <v>0</v>
      </c>
      <c r="AX18" s="2">
        <v>769938.14000000013</v>
      </c>
      <c r="AY18" s="2">
        <v>109256.11</v>
      </c>
      <c r="AZ18" s="2">
        <v>13748.89</v>
      </c>
      <c r="BA18" s="2">
        <v>1951</v>
      </c>
      <c r="BB18" s="5">
        <v>7849.95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26375.82</v>
      </c>
      <c r="BI18" s="12">
        <v>23549.84</v>
      </c>
      <c r="BJ18" s="2">
        <v>471</v>
      </c>
      <c r="BL18" s="1" t="s">
        <v>90</v>
      </c>
    </row>
    <row r="19" spans="1:64" x14ac:dyDescent="0.3">
      <c r="A19" t="s">
        <v>223</v>
      </c>
      <c r="B19" s="1" t="s">
        <v>225</v>
      </c>
      <c r="C19" s="9" t="s">
        <v>226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467945.4</v>
      </c>
      <c r="AJ19" s="2">
        <v>134865</v>
      </c>
      <c r="AK19" s="2">
        <v>8356.17</v>
      </c>
      <c r="AL19" s="2">
        <v>2408.3000000000002</v>
      </c>
      <c r="AM19" s="5">
        <v>5382.23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18084.3</v>
      </c>
      <c r="AT19" s="12">
        <v>16146.7</v>
      </c>
      <c r="AU19" s="2">
        <v>322.93</v>
      </c>
      <c r="AV19" s="5">
        <v>0</v>
      </c>
      <c r="AX19" s="2">
        <v>467945.4</v>
      </c>
      <c r="AY19" s="2">
        <v>134865</v>
      </c>
      <c r="AZ19" s="2">
        <v>8356.17</v>
      </c>
      <c r="BA19" s="2">
        <v>2408.3000000000002</v>
      </c>
      <c r="BB19" s="5">
        <v>5382.23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18084.3</v>
      </c>
      <c r="BI19" s="12">
        <v>16146.7</v>
      </c>
      <c r="BJ19" s="2">
        <v>322.93</v>
      </c>
      <c r="BL19" s="1" t="s">
        <v>90</v>
      </c>
    </row>
    <row r="20" spans="1:64" x14ac:dyDescent="0.3">
      <c r="A20" t="s">
        <v>223</v>
      </c>
      <c r="B20" s="1" t="s">
        <v>227</v>
      </c>
      <c r="C20" s="9" t="s">
        <v>228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AV20" s="5">
        <v>0</v>
      </c>
      <c r="AX20" s="2">
        <v>0</v>
      </c>
      <c r="AY20" s="2">
        <v>0</v>
      </c>
      <c r="AZ20" s="2">
        <v>0</v>
      </c>
      <c r="BA20" s="2">
        <v>0</v>
      </c>
      <c r="BB20" s="5">
        <v>0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0</v>
      </c>
      <c r="BI20" s="12">
        <v>0</v>
      </c>
      <c r="BJ20" s="2">
        <v>0</v>
      </c>
      <c r="BL20" s="1" t="s">
        <v>90</v>
      </c>
    </row>
    <row r="21" spans="1:64" x14ac:dyDescent="0.3">
      <c r="A21" t="s">
        <v>239</v>
      </c>
      <c r="B21" s="1" t="s">
        <v>239</v>
      </c>
      <c r="C21" s="9" t="s">
        <v>240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409979.8</v>
      </c>
      <c r="AJ21" s="2">
        <v>209281</v>
      </c>
      <c r="AK21" s="2">
        <v>7321.07</v>
      </c>
      <c r="AL21" s="2">
        <v>3737.16</v>
      </c>
      <c r="AM21" s="5">
        <v>5529.12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18577.830000000002</v>
      </c>
      <c r="AT21" s="12">
        <v>16587.349999999999</v>
      </c>
      <c r="AU21" s="2">
        <v>331.75</v>
      </c>
      <c r="AV21" s="5">
        <v>0</v>
      </c>
      <c r="AX21" s="2">
        <v>409979.8</v>
      </c>
      <c r="AY21" s="2">
        <v>209281</v>
      </c>
      <c r="AZ21" s="2">
        <v>7321.07</v>
      </c>
      <c r="BA21" s="2">
        <v>3737.16</v>
      </c>
      <c r="BB21" s="5">
        <v>5529.12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18577.830000000002</v>
      </c>
      <c r="BI21" s="12">
        <v>16587.349999999999</v>
      </c>
      <c r="BJ21" s="2">
        <v>331.75</v>
      </c>
      <c r="BL21" s="1" t="s">
        <v>90</v>
      </c>
    </row>
    <row r="22" spans="1:64" x14ac:dyDescent="0.3">
      <c r="A22" t="s">
        <v>239</v>
      </c>
      <c r="B22" s="1" t="s">
        <v>241</v>
      </c>
      <c r="C22" s="9" t="s">
        <v>242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57434</v>
      </c>
      <c r="AJ22" s="2">
        <v>37311</v>
      </c>
      <c r="AK22" s="2">
        <v>1025.6099999999999</v>
      </c>
      <c r="AL22" s="2">
        <v>666.27</v>
      </c>
      <c r="AM22" s="5">
        <v>845.94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2842.36</v>
      </c>
      <c r="AT22" s="12">
        <v>2537.8199999999997</v>
      </c>
      <c r="AU22" s="2">
        <v>50.76</v>
      </c>
      <c r="AV22" s="5">
        <v>0</v>
      </c>
      <c r="AX22" s="2">
        <v>57434</v>
      </c>
      <c r="AY22" s="2">
        <v>37311</v>
      </c>
      <c r="AZ22" s="2">
        <v>1025.6099999999999</v>
      </c>
      <c r="BA22" s="2">
        <v>666.27</v>
      </c>
      <c r="BB22" s="5">
        <v>845.94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2842.36</v>
      </c>
      <c r="BI22" s="12">
        <v>2537.8199999999997</v>
      </c>
      <c r="BJ22" s="2">
        <v>50.76</v>
      </c>
      <c r="BL22" s="1" t="s">
        <v>90</v>
      </c>
    </row>
    <row r="23" spans="1:64" x14ac:dyDescent="0.3">
      <c r="A23" t="s">
        <v>239</v>
      </c>
      <c r="B23" s="1" t="s">
        <v>243</v>
      </c>
      <c r="C23" s="9" t="s">
        <v>244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191748</v>
      </c>
      <c r="AJ23" s="2">
        <v>80619</v>
      </c>
      <c r="AK23" s="2">
        <v>3424.07</v>
      </c>
      <c r="AL23" s="2">
        <v>1439.62</v>
      </c>
      <c r="AM23" s="5">
        <v>2431.85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8171</v>
      </c>
      <c r="AT23" s="12">
        <v>7295.5400000000009</v>
      </c>
      <c r="AU23" s="2">
        <v>145.91</v>
      </c>
      <c r="AV23" s="5">
        <v>0</v>
      </c>
      <c r="AX23" s="2">
        <v>191748</v>
      </c>
      <c r="AY23" s="2">
        <v>80619</v>
      </c>
      <c r="AZ23" s="2">
        <v>3424.07</v>
      </c>
      <c r="BA23" s="2">
        <v>1439.62</v>
      </c>
      <c r="BB23" s="5">
        <v>2431.85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8171</v>
      </c>
      <c r="BI23" s="12">
        <v>7295.5400000000009</v>
      </c>
      <c r="BJ23" s="2">
        <v>145.91</v>
      </c>
      <c r="BL23" s="1" t="s">
        <v>90</v>
      </c>
    </row>
    <row r="24" spans="1:64" x14ac:dyDescent="0.3">
      <c r="A24" t="s">
        <v>239</v>
      </c>
      <c r="B24" s="1" t="s">
        <v>245</v>
      </c>
      <c r="C24" s="9" t="s">
        <v>246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97179</v>
      </c>
      <c r="AJ24" s="2">
        <v>60359</v>
      </c>
      <c r="AK24" s="2">
        <v>1735.34</v>
      </c>
      <c r="AL24" s="2">
        <v>1077.8399999999999</v>
      </c>
      <c r="AM24" s="5">
        <v>1406.59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4726.1400000000003</v>
      </c>
      <c r="AT24" s="12">
        <v>4219.7699999999995</v>
      </c>
      <c r="AU24" s="2">
        <v>84.4</v>
      </c>
      <c r="AV24" s="5">
        <v>0</v>
      </c>
      <c r="AX24" s="2">
        <v>97179</v>
      </c>
      <c r="AY24" s="2">
        <v>60359</v>
      </c>
      <c r="AZ24" s="2">
        <v>1735.34</v>
      </c>
      <c r="BA24" s="2">
        <v>1077.8399999999999</v>
      </c>
      <c r="BB24" s="5">
        <v>1406.59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4726.1400000000003</v>
      </c>
      <c r="BI24" s="12">
        <v>4219.7699999999995</v>
      </c>
      <c r="BJ24" s="2">
        <v>84.4</v>
      </c>
      <c r="BL24" s="1" t="s">
        <v>90</v>
      </c>
    </row>
    <row r="25" spans="1:64" x14ac:dyDescent="0.3">
      <c r="A25" t="s">
        <v>261</v>
      </c>
      <c r="B25" s="1" t="s">
        <v>261</v>
      </c>
      <c r="C25" s="9" t="s">
        <v>262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355634</v>
      </c>
      <c r="AJ25" s="2">
        <v>133563</v>
      </c>
      <c r="AK25" s="2">
        <v>6350.61</v>
      </c>
      <c r="AL25" s="2">
        <v>2385.0500000000002</v>
      </c>
      <c r="AM25" s="5">
        <v>4367.83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14675.91</v>
      </c>
      <c r="AT25" s="12">
        <v>13103.49</v>
      </c>
      <c r="AU25" s="2">
        <v>262.07</v>
      </c>
      <c r="AV25" s="5">
        <v>0</v>
      </c>
      <c r="AX25" s="2">
        <v>355634</v>
      </c>
      <c r="AY25" s="2">
        <v>133563</v>
      </c>
      <c r="AZ25" s="2">
        <v>6350.61</v>
      </c>
      <c r="BA25" s="2">
        <v>2385.0500000000002</v>
      </c>
      <c r="BB25" s="5">
        <v>4367.83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14675.91</v>
      </c>
      <c r="BI25" s="12">
        <v>13103.49</v>
      </c>
      <c r="BJ25" s="2">
        <v>262.07</v>
      </c>
      <c r="BL25" s="1" t="s">
        <v>90</v>
      </c>
    </row>
    <row r="26" spans="1:64" x14ac:dyDescent="0.3">
      <c r="A26" t="s">
        <v>261</v>
      </c>
      <c r="B26" s="1" t="s">
        <v>263</v>
      </c>
      <c r="C26" s="9" t="s">
        <v>264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126476</v>
      </c>
      <c r="AJ26" s="2">
        <v>12685</v>
      </c>
      <c r="AK26" s="2">
        <v>2258.5</v>
      </c>
      <c r="AL26" s="2">
        <v>226.52</v>
      </c>
      <c r="AM26" s="5">
        <v>1242.51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4174.83</v>
      </c>
      <c r="AT26" s="12">
        <v>3727.5299999999997</v>
      </c>
      <c r="AU26" s="2">
        <v>74.55</v>
      </c>
      <c r="AV26" s="5">
        <v>0</v>
      </c>
      <c r="AX26" s="2">
        <v>126476</v>
      </c>
      <c r="AY26" s="2">
        <v>12685</v>
      </c>
      <c r="AZ26" s="2">
        <v>2258.5</v>
      </c>
      <c r="BA26" s="2">
        <v>226.52</v>
      </c>
      <c r="BB26" s="5">
        <v>1242.51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4174.83</v>
      </c>
      <c r="BI26" s="12">
        <v>3727.5299999999997</v>
      </c>
      <c r="BJ26" s="2">
        <v>74.55</v>
      </c>
      <c r="BL26" s="1" t="s">
        <v>90</v>
      </c>
    </row>
    <row r="27" spans="1:64" x14ac:dyDescent="0.3">
      <c r="A27" t="s">
        <v>274</v>
      </c>
      <c r="B27" s="1" t="s">
        <v>274</v>
      </c>
      <c r="C27" s="9" t="s">
        <v>275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551808.29</v>
      </c>
      <c r="AJ27" s="2">
        <v>251626.75</v>
      </c>
      <c r="AK27" s="2">
        <v>9853.7199999999993</v>
      </c>
      <c r="AL27" s="2">
        <v>4493.34</v>
      </c>
      <c r="AM27" s="5">
        <v>7173.53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24103.06</v>
      </c>
      <c r="AT27" s="12">
        <v>21520.59</v>
      </c>
      <c r="AU27" s="2">
        <v>430.41</v>
      </c>
      <c r="AV27" s="5">
        <v>0</v>
      </c>
      <c r="AX27" s="2">
        <v>551808.29</v>
      </c>
      <c r="AY27" s="2">
        <v>251626.75</v>
      </c>
      <c r="AZ27" s="2">
        <v>9853.7199999999993</v>
      </c>
      <c r="BA27" s="2">
        <v>4493.34</v>
      </c>
      <c r="BB27" s="5">
        <v>7173.53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24103.06</v>
      </c>
      <c r="BI27" s="12">
        <v>21520.59</v>
      </c>
      <c r="BJ27" s="2">
        <v>430.41</v>
      </c>
      <c r="BL27" s="1" t="s">
        <v>90</v>
      </c>
    </row>
    <row r="28" spans="1:64" x14ac:dyDescent="0.3">
      <c r="A28" t="s">
        <v>274</v>
      </c>
      <c r="B28" s="1" t="s">
        <v>276</v>
      </c>
      <c r="C28" s="9" t="s">
        <v>277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52987</v>
      </c>
      <c r="AJ28" s="2">
        <v>12313</v>
      </c>
      <c r="AK28" s="2">
        <v>2365.4899999999998</v>
      </c>
      <c r="AL28" s="2">
        <v>549.69000000000005</v>
      </c>
      <c r="AM28" s="5">
        <v>583.04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3918.01</v>
      </c>
      <c r="AT28" s="12">
        <v>3498.22</v>
      </c>
      <c r="AU28" s="2">
        <v>69.959999999999994</v>
      </c>
      <c r="AV28" s="5">
        <v>0</v>
      </c>
      <c r="AX28" s="2">
        <v>52987</v>
      </c>
      <c r="AY28" s="2">
        <v>12313</v>
      </c>
      <c r="AZ28" s="2">
        <v>2365.4899999999998</v>
      </c>
      <c r="BA28" s="2">
        <v>549.69000000000005</v>
      </c>
      <c r="BB28" s="5">
        <v>583.04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3918.01</v>
      </c>
      <c r="BI28" s="12">
        <v>3498.22</v>
      </c>
      <c r="BJ28" s="2">
        <v>69.959999999999994</v>
      </c>
      <c r="BL28" s="1" t="s">
        <v>90</v>
      </c>
    </row>
    <row r="29" spans="1:64" x14ac:dyDescent="0.3">
      <c r="A29" t="s">
        <v>292</v>
      </c>
      <c r="B29" s="1" t="s">
        <v>292</v>
      </c>
      <c r="C29" s="9" t="s">
        <v>293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419651.88</v>
      </c>
      <c r="AJ29" s="2">
        <v>103796.87</v>
      </c>
      <c r="AK29" s="2">
        <v>7493.79</v>
      </c>
      <c r="AL29" s="2">
        <v>1853.52</v>
      </c>
      <c r="AM29" s="5">
        <v>4673.6499999999996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15703.48</v>
      </c>
      <c r="AT29" s="12">
        <v>14020.96</v>
      </c>
      <c r="AU29" s="2">
        <v>280.42</v>
      </c>
      <c r="AV29" s="5">
        <v>0</v>
      </c>
      <c r="AX29" s="2">
        <v>419651.88</v>
      </c>
      <c r="AY29" s="2">
        <v>103796.87</v>
      </c>
      <c r="AZ29" s="2">
        <v>7493.79</v>
      </c>
      <c r="BA29" s="2">
        <v>1853.52</v>
      </c>
      <c r="BB29" s="5">
        <v>4673.6499999999996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15703.48</v>
      </c>
      <c r="BI29" s="12">
        <v>14020.96</v>
      </c>
      <c r="BJ29" s="2">
        <v>280.42</v>
      </c>
      <c r="BL29" s="1" t="s">
        <v>90</v>
      </c>
    </row>
    <row r="30" spans="1:64" x14ac:dyDescent="0.3">
      <c r="A30" t="s">
        <v>292</v>
      </c>
      <c r="B30" s="1" t="s">
        <v>294</v>
      </c>
      <c r="C30" s="9" t="s">
        <v>295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569256</v>
      </c>
      <c r="AJ30" s="2">
        <v>215597</v>
      </c>
      <c r="AK30" s="2">
        <v>10165.290000000001</v>
      </c>
      <c r="AL30" s="2">
        <v>3849.95</v>
      </c>
      <c r="AM30" s="5">
        <v>7007.62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23545.599999999999</v>
      </c>
      <c r="AT30" s="12">
        <v>21022.86</v>
      </c>
      <c r="AU30" s="2">
        <v>420.46</v>
      </c>
      <c r="AV30" s="5">
        <v>0</v>
      </c>
      <c r="AX30" s="2">
        <v>569256</v>
      </c>
      <c r="AY30" s="2">
        <v>215597</v>
      </c>
      <c r="AZ30" s="2">
        <v>10165.290000000001</v>
      </c>
      <c r="BA30" s="2">
        <v>3849.95</v>
      </c>
      <c r="BB30" s="5">
        <v>7007.62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23545.599999999999</v>
      </c>
      <c r="BI30" s="12">
        <v>21022.86</v>
      </c>
      <c r="BJ30" s="2">
        <v>420.46</v>
      </c>
      <c r="BL30" s="1" t="s">
        <v>90</v>
      </c>
    </row>
    <row r="31" spans="1:64" x14ac:dyDescent="0.3">
      <c r="A31" t="s">
        <v>292</v>
      </c>
      <c r="B31" s="1" t="s">
        <v>296</v>
      </c>
      <c r="C31" s="9" t="s">
        <v>297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115093</v>
      </c>
      <c r="AJ31" s="2">
        <v>46152</v>
      </c>
      <c r="AK31" s="2">
        <v>2055.23</v>
      </c>
      <c r="AL31" s="2">
        <v>824.14</v>
      </c>
      <c r="AM31" s="5">
        <v>1439.69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4837.3500000000004</v>
      </c>
      <c r="AT31" s="12">
        <v>4319.0599999999995</v>
      </c>
      <c r="AU31" s="2">
        <v>86.38</v>
      </c>
      <c r="AV31" s="5">
        <v>0</v>
      </c>
      <c r="AX31" s="2">
        <v>115093</v>
      </c>
      <c r="AY31" s="2">
        <v>46152</v>
      </c>
      <c r="AZ31" s="2">
        <v>2055.23</v>
      </c>
      <c r="BA31" s="2">
        <v>824.14</v>
      </c>
      <c r="BB31" s="5">
        <v>1439.69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4837.3500000000004</v>
      </c>
      <c r="BI31" s="12">
        <v>4319.0599999999995</v>
      </c>
      <c r="BJ31" s="2">
        <v>86.38</v>
      </c>
      <c r="BL31" s="1" t="s">
        <v>90</v>
      </c>
    </row>
    <row r="32" spans="1:64" x14ac:dyDescent="0.3">
      <c r="A32" t="s">
        <v>395</v>
      </c>
      <c r="B32" s="1" t="s">
        <v>395</v>
      </c>
      <c r="C32" s="9" t="s">
        <v>396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845637.39999999991</v>
      </c>
      <c r="AJ32" s="2">
        <v>281719</v>
      </c>
      <c r="AK32" s="2">
        <v>15100.67</v>
      </c>
      <c r="AL32" s="2">
        <v>5030.7</v>
      </c>
      <c r="AM32" s="5">
        <v>10065.68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33820.699999999997</v>
      </c>
      <c r="AT32" s="12">
        <v>30197.05</v>
      </c>
      <c r="AU32" s="2">
        <v>603.94000000000005</v>
      </c>
      <c r="AV32" s="5">
        <v>0</v>
      </c>
      <c r="AX32" s="2">
        <v>845637.39999999991</v>
      </c>
      <c r="AY32" s="2">
        <v>281719</v>
      </c>
      <c r="AZ32" s="2">
        <v>15100.67</v>
      </c>
      <c r="BA32" s="2">
        <v>5030.7</v>
      </c>
      <c r="BB32" s="5">
        <v>10065.68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33820.699999999997</v>
      </c>
      <c r="BI32" s="12">
        <v>30197.05</v>
      </c>
      <c r="BJ32" s="2">
        <v>603.94000000000005</v>
      </c>
      <c r="BL32" s="1" t="s">
        <v>90</v>
      </c>
    </row>
    <row r="33" spans="1:64" x14ac:dyDescent="0.3">
      <c r="A33" t="s">
        <v>395</v>
      </c>
      <c r="B33" s="1" t="s">
        <v>397</v>
      </c>
      <c r="C33" s="9" t="s">
        <v>398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201224</v>
      </c>
      <c r="AJ33" s="2">
        <v>23766</v>
      </c>
      <c r="AK33" s="2">
        <v>3593.29</v>
      </c>
      <c r="AL33" s="2">
        <v>424.39</v>
      </c>
      <c r="AM33" s="5">
        <v>2008.84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6749.7</v>
      </c>
      <c r="AT33" s="12">
        <v>6026.5199999999995</v>
      </c>
      <c r="AU33" s="2">
        <v>120.53</v>
      </c>
      <c r="AV33" s="5">
        <v>0</v>
      </c>
      <c r="AX33" s="2">
        <v>201224</v>
      </c>
      <c r="AY33" s="2">
        <v>23766</v>
      </c>
      <c r="AZ33" s="2">
        <v>3593.29</v>
      </c>
      <c r="BA33" s="2">
        <v>424.39</v>
      </c>
      <c r="BB33" s="5">
        <v>2008.84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6749.7</v>
      </c>
      <c r="BI33" s="12">
        <v>6026.5199999999995</v>
      </c>
      <c r="BJ33" s="2">
        <v>120.53</v>
      </c>
      <c r="BL33" s="1" t="s">
        <v>90</v>
      </c>
    </row>
    <row r="34" spans="1:64" x14ac:dyDescent="0.3">
      <c r="A34" t="s">
        <v>494</v>
      </c>
      <c r="B34" s="1" t="s">
        <v>494</v>
      </c>
      <c r="C34" s="9" t="s">
        <v>495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1093821.45</v>
      </c>
      <c r="AJ34" s="2">
        <v>394074.55</v>
      </c>
      <c r="AK34" s="2">
        <v>19532.53</v>
      </c>
      <c r="AL34" s="2">
        <v>7037.04</v>
      </c>
      <c r="AM34" s="5">
        <v>13284.79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44636.88</v>
      </c>
      <c r="AT34" s="12">
        <v>39854.36</v>
      </c>
      <c r="AU34" s="2">
        <v>797.09</v>
      </c>
      <c r="AV34" s="5">
        <v>0</v>
      </c>
      <c r="AX34" s="2">
        <v>1093821.45</v>
      </c>
      <c r="AY34" s="2">
        <v>394074.55</v>
      </c>
      <c r="AZ34" s="2">
        <v>19532.53</v>
      </c>
      <c r="BA34" s="2">
        <v>7037.04</v>
      </c>
      <c r="BB34" s="5">
        <v>13284.79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44636.88</v>
      </c>
      <c r="BI34" s="12">
        <v>39854.36</v>
      </c>
      <c r="BJ34" s="2">
        <v>797.09</v>
      </c>
      <c r="BL34" s="1" t="s">
        <v>90</v>
      </c>
    </row>
    <row r="35" spans="1:64" x14ac:dyDescent="0.3">
      <c r="A35" t="s">
        <v>494</v>
      </c>
      <c r="B35" s="1" t="s">
        <v>496</v>
      </c>
      <c r="C35" s="9" t="s">
        <v>497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80054</v>
      </c>
      <c r="AJ35" s="2">
        <v>66914</v>
      </c>
      <c r="AK35" s="2">
        <v>1429.54</v>
      </c>
      <c r="AL35" s="2">
        <v>1194.8900000000001</v>
      </c>
      <c r="AM35" s="5">
        <v>1312.21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4409.04</v>
      </c>
      <c r="AT35" s="12">
        <v>3936.6400000000003</v>
      </c>
      <c r="AU35" s="2">
        <v>78.73</v>
      </c>
      <c r="AV35" s="5">
        <v>0</v>
      </c>
      <c r="AX35" s="2">
        <v>80054</v>
      </c>
      <c r="AY35" s="2">
        <v>66914</v>
      </c>
      <c r="AZ35" s="2">
        <v>1429.54</v>
      </c>
      <c r="BA35" s="2">
        <v>1194.8900000000001</v>
      </c>
      <c r="BB35" s="5">
        <v>1312.21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4409.04</v>
      </c>
      <c r="BI35" s="12">
        <v>3936.6400000000003</v>
      </c>
      <c r="BJ35" s="2">
        <v>78.73</v>
      </c>
      <c r="BL35" s="1" t="s">
        <v>90</v>
      </c>
    </row>
    <row r="36" spans="1:64" x14ac:dyDescent="0.3">
      <c r="A36" t="s">
        <v>642</v>
      </c>
      <c r="B36" s="1" t="s">
        <v>642</v>
      </c>
      <c r="C36" s="9" t="s">
        <v>643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364154.75</v>
      </c>
      <c r="AJ36" s="2">
        <v>70148</v>
      </c>
      <c r="AK36" s="2">
        <v>6502.77</v>
      </c>
      <c r="AL36" s="2">
        <v>1252.6400000000001</v>
      </c>
      <c r="AM36" s="5">
        <v>3877.71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13029.09</v>
      </c>
      <c r="AT36" s="12">
        <v>11633.12</v>
      </c>
      <c r="AU36" s="2">
        <v>232.66</v>
      </c>
      <c r="AV36" s="5">
        <v>0</v>
      </c>
      <c r="AX36" s="2">
        <v>364154.75</v>
      </c>
      <c r="AY36" s="2">
        <v>70148</v>
      </c>
      <c r="AZ36" s="2">
        <v>6502.77</v>
      </c>
      <c r="BA36" s="2">
        <v>1252.6400000000001</v>
      </c>
      <c r="BB36" s="5">
        <v>3877.71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13029.09</v>
      </c>
      <c r="BI36" s="12">
        <v>11633.12</v>
      </c>
      <c r="BJ36" s="2">
        <v>232.66</v>
      </c>
      <c r="BL36" s="1" t="s">
        <v>90</v>
      </c>
    </row>
    <row r="37" spans="1:64" x14ac:dyDescent="0.3">
      <c r="A37" t="s">
        <v>744</v>
      </c>
      <c r="B37" s="1" t="s">
        <v>744</v>
      </c>
      <c r="C37" s="9" t="s">
        <v>745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804436.29</v>
      </c>
      <c r="AJ37" s="2">
        <v>171947</v>
      </c>
      <c r="AK37" s="2">
        <v>14364.94</v>
      </c>
      <c r="AL37" s="2">
        <v>3070.48</v>
      </c>
      <c r="AM37" s="5">
        <v>8717.7099999999991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29291.51</v>
      </c>
      <c r="AT37" s="12">
        <v>26153.13</v>
      </c>
      <c r="AU37" s="2">
        <v>523.05999999999995</v>
      </c>
      <c r="AV37" s="5">
        <v>0</v>
      </c>
      <c r="AX37" s="2">
        <v>804436.29</v>
      </c>
      <c r="AY37" s="2">
        <v>171947</v>
      </c>
      <c r="AZ37" s="2">
        <v>14364.94</v>
      </c>
      <c r="BA37" s="2">
        <v>3070.48</v>
      </c>
      <c r="BB37" s="5">
        <v>8717.7099999999991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29291.51</v>
      </c>
      <c r="BI37" s="12">
        <v>26153.13</v>
      </c>
      <c r="BJ37" s="2">
        <v>523.05999999999995</v>
      </c>
      <c r="BL37" s="1" t="s">
        <v>90</v>
      </c>
    </row>
    <row r="38" spans="1:64" x14ac:dyDescent="0.3">
      <c r="A38" t="s">
        <v>744</v>
      </c>
      <c r="B38" s="1" t="s">
        <v>746</v>
      </c>
      <c r="C38" s="9" t="s">
        <v>747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60883</v>
      </c>
      <c r="AJ38" s="2">
        <v>17411</v>
      </c>
      <c r="AK38" s="2">
        <v>1087.2</v>
      </c>
      <c r="AL38" s="2">
        <v>310.91000000000003</v>
      </c>
      <c r="AM38" s="5">
        <v>699.05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2348.8200000000002</v>
      </c>
      <c r="AT38" s="12">
        <v>2097.16</v>
      </c>
      <c r="AU38" s="2">
        <v>41.94</v>
      </c>
      <c r="AV38" s="5">
        <v>0</v>
      </c>
      <c r="AX38" s="2">
        <v>60883</v>
      </c>
      <c r="AY38" s="2">
        <v>17411</v>
      </c>
      <c r="AZ38" s="2">
        <v>1087.2</v>
      </c>
      <c r="BA38" s="2">
        <v>310.91000000000003</v>
      </c>
      <c r="BB38" s="5">
        <v>699.05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2348.8200000000002</v>
      </c>
      <c r="BI38" s="12">
        <v>2097.16</v>
      </c>
      <c r="BJ38" s="2">
        <v>41.94</v>
      </c>
      <c r="BL38" s="1" t="s">
        <v>90</v>
      </c>
    </row>
    <row r="39" spans="1:64" x14ac:dyDescent="0.3">
      <c r="A39" t="s">
        <v>748</v>
      </c>
      <c r="B39" s="1" t="s">
        <v>748</v>
      </c>
      <c r="C39" s="9" t="s">
        <v>749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736781</v>
      </c>
      <c r="AJ39" s="2">
        <v>227673</v>
      </c>
      <c r="AK39" s="2">
        <v>13156.8</v>
      </c>
      <c r="AL39" s="2">
        <v>4065.59</v>
      </c>
      <c r="AM39" s="5">
        <v>8611.2000000000007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28933.62</v>
      </c>
      <c r="AT39" s="12">
        <v>25833.59</v>
      </c>
      <c r="AU39" s="2">
        <v>516.66999999999996</v>
      </c>
      <c r="AV39" s="5">
        <v>0</v>
      </c>
      <c r="AX39" s="2">
        <v>736781</v>
      </c>
      <c r="AY39" s="2">
        <v>227673</v>
      </c>
      <c r="AZ39" s="2">
        <v>13156.8</v>
      </c>
      <c r="BA39" s="2">
        <v>4065.59</v>
      </c>
      <c r="BB39" s="5">
        <v>8611.2000000000007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28933.62</v>
      </c>
      <c r="BI39" s="12">
        <v>25833.59</v>
      </c>
      <c r="BJ39" s="2">
        <v>516.66999999999996</v>
      </c>
      <c r="BL39" s="1" t="s">
        <v>90</v>
      </c>
    </row>
    <row r="40" spans="1:64" x14ac:dyDescent="0.3">
      <c r="A40" t="s">
        <v>777</v>
      </c>
      <c r="B40" s="1" t="s">
        <v>777</v>
      </c>
      <c r="C40" s="9" t="s">
        <v>778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234819</v>
      </c>
      <c r="AJ40" s="2">
        <v>65820</v>
      </c>
      <c r="AK40" s="2">
        <v>4193.2</v>
      </c>
      <c r="AL40" s="2">
        <v>1175.3599999999999</v>
      </c>
      <c r="AM40" s="5">
        <v>2684.28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9019.18</v>
      </c>
      <c r="AT40" s="12">
        <v>8052.84</v>
      </c>
      <c r="AU40" s="2">
        <v>161.06</v>
      </c>
      <c r="AV40" s="5">
        <v>0</v>
      </c>
      <c r="AX40" s="2">
        <v>234819</v>
      </c>
      <c r="AY40" s="2">
        <v>65820</v>
      </c>
      <c r="AZ40" s="2">
        <v>4193.2</v>
      </c>
      <c r="BA40" s="2">
        <v>1175.3599999999999</v>
      </c>
      <c r="BB40" s="5">
        <v>2684.28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9019.18</v>
      </c>
      <c r="BI40" s="12">
        <v>8052.84</v>
      </c>
      <c r="BJ40" s="2">
        <v>161.06</v>
      </c>
      <c r="BL40" s="1" t="s">
        <v>90</v>
      </c>
    </row>
    <row r="41" spans="1:64" x14ac:dyDescent="0.3">
      <c r="A41" t="s">
        <v>777</v>
      </c>
      <c r="B41" s="1" t="s">
        <v>779</v>
      </c>
      <c r="C41" s="9" t="s">
        <v>780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299293</v>
      </c>
      <c r="AJ41" s="2">
        <v>105819</v>
      </c>
      <c r="AK41" s="2">
        <v>5344.52</v>
      </c>
      <c r="AL41" s="2">
        <v>1889.62</v>
      </c>
      <c r="AM41" s="5">
        <v>3617.07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12153.36</v>
      </c>
      <c r="AT41" s="12">
        <v>10851.210000000001</v>
      </c>
      <c r="AU41" s="2">
        <v>217.02</v>
      </c>
      <c r="AV41" s="5">
        <v>0</v>
      </c>
      <c r="AX41" s="2">
        <v>299293</v>
      </c>
      <c r="AY41" s="2">
        <v>105819</v>
      </c>
      <c r="AZ41" s="2">
        <v>5344.52</v>
      </c>
      <c r="BA41" s="2">
        <v>1889.62</v>
      </c>
      <c r="BB41" s="5">
        <v>3617.07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12153.36</v>
      </c>
      <c r="BI41" s="12">
        <v>10851.210000000001</v>
      </c>
      <c r="BJ41" s="2">
        <v>217.02</v>
      </c>
      <c r="BL41" s="1" t="s">
        <v>90</v>
      </c>
    </row>
    <row r="42" spans="1:64" x14ac:dyDescent="0.3">
      <c r="A42" t="s">
        <v>800</v>
      </c>
      <c r="B42" s="1" t="s">
        <v>800</v>
      </c>
      <c r="C42" s="9" t="s">
        <v>801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531353</v>
      </c>
      <c r="AJ42" s="2">
        <v>154028</v>
      </c>
      <c r="AK42" s="2">
        <v>9488.4500000000007</v>
      </c>
      <c r="AL42" s="2">
        <v>2750.5</v>
      </c>
      <c r="AM42" s="5">
        <v>6119.47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20561.43</v>
      </c>
      <c r="AT42" s="12">
        <v>18358.420000000002</v>
      </c>
      <c r="AU42" s="2">
        <v>367.17</v>
      </c>
      <c r="AV42" s="5">
        <v>0</v>
      </c>
      <c r="AX42" s="2">
        <v>531353</v>
      </c>
      <c r="AY42" s="2">
        <v>154028</v>
      </c>
      <c r="AZ42" s="2">
        <v>9488.4500000000007</v>
      </c>
      <c r="BA42" s="2">
        <v>2750.5</v>
      </c>
      <c r="BB42" s="5">
        <v>6119.47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20561.43</v>
      </c>
      <c r="BI42" s="12">
        <v>18358.420000000002</v>
      </c>
      <c r="BJ42" s="2">
        <v>367.17</v>
      </c>
      <c r="BL42" s="1" t="s">
        <v>90</v>
      </c>
    </row>
    <row r="43" spans="1:64" x14ac:dyDescent="0.3">
      <c r="A43" t="s">
        <v>800</v>
      </c>
      <c r="B43" s="1" t="s">
        <v>802</v>
      </c>
      <c r="C43" s="9" t="s">
        <v>803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29195</v>
      </c>
      <c r="AJ43" s="2">
        <v>14779</v>
      </c>
      <c r="AK43" s="2">
        <v>521.34</v>
      </c>
      <c r="AL43" s="2">
        <v>263.91000000000003</v>
      </c>
      <c r="AM43" s="5">
        <v>392.62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1319.21</v>
      </c>
      <c r="AT43" s="12">
        <v>1177.8699999999999</v>
      </c>
      <c r="AU43" s="2">
        <v>23.56</v>
      </c>
      <c r="AV43" s="5">
        <v>0</v>
      </c>
      <c r="AX43" s="2">
        <v>29195</v>
      </c>
      <c r="AY43" s="2">
        <v>14779</v>
      </c>
      <c r="AZ43" s="2">
        <v>521.34</v>
      </c>
      <c r="BA43" s="2">
        <v>263.91000000000003</v>
      </c>
      <c r="BB43" s="5">
        <v>392.62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1319.21</v>
      </c>
      <c r="BI43" s="12">
        <v>1177.8699999999999</v>
      </c>
      <c r="BJ43" s="2">
        <v>23.56</v>
      </c>
      <c r="BL43" s="1" t="s">
        <v>90</v>
      </c>
    </row>
    <row r="44" spans="1:64" x14ac:dyDescent="0.3">
      <c r="A44" t="s">
        <v>849</v>
      </c>
      <c r="B44" s="1" t="s">
        <v>849</v>
      </c>
      <c r="C44" s="9" t="s">
        <v>850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437323.5</v>
      </c>
      <c r="AJ44" s="2">
        <v>282356.5</v>
      </c>
      <c r="AK44" s="2">
        <v>7809.35</v>
      </c>
      <c r="AL44" s="2">
        <v>5042.08</v>
      </c>
      <c r="AM44" s="5">
        <v>6425.71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21590.400000000001</v>
      </c>
      <c r="AT44" s="12">
        <v>19277.14</v>
      </c>
      <c r="AU44" s="2">
        <v>385.54</v>
      </c>
      <c r="AV44" s="5">
        <v>0</v>
      </c>
      <c r="AX44" s="2">
        <v>437323.5</v>
      </c>
      <c r="AY44" s="2">
        <v>282356.5</v>
      </c>
      <c r="AZ44" s="2">
        <v>7809.35</v>
      </c>
      <c r="BA44" s="2">
        <v>5042.08</v>
      </c>
      <c r="BB44" s="5">
        <v>6425.71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21590.400000000001</v>
      </c>
      <c r="BI44" s="12">
        <v>19277.14</v>
      </c>
      <c r="BJ44" s="2">
        <v>385.54</v>
      </c>
      <c r="BL44" s="1" t="s">
        <v>90</v>
      </c>
    </row>
    <row r="45" spans="1:64" x14ac:dyDescent="0.3">
      <c r="A45" t="s">
        <v>860</v>
      </c>
      <c r="B45" s="1" t="s">
        <v>860</v>
      </c>
      <c r="C45" s="9" t="s">
        <v>861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1044874.09</v>
      </c>
      <c r="AJ45" s="2">
        <v>155729</v>
      </c>
      <c r="AK45" s="2">
        <v>18658.46</v>
      </c>
      <c r="AL45" s="2">
        <v>2780.87</v>
      </c>
      <c r="AM45" s="5">
        <v>10719.67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36018.080000000002</v>
      </c>
      <c r="AT45" s="12">
        <v>32159</v>
      </c>
      <c r="AU45" s="2">
        <v>643.17999999999995</v>
      </c>
      <c r="AV45" s="5">
        <v>0</v>
      </c>
      <c r="AX45" s="2">
        <v>1044874.09</v>
      </c>
      <c r="AY45" s="2">
        <v>155729</v>
      </c>
      <c r="AZ45" s="2">
        <v>18658.46</v>
      </c>
      <c r="BA45" s="2">
        <v>2780.87</v>
      </c>
      <c r="BB45" s="5">
        <v>10719.67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36018.080000000002</v>
      </c>
      <c r="BI45" s="12">
        <v>32159</v>
      </c>
      <c r="BJ45" s="2">
        <v>643.17999999999995</v>
      </c>
      <c r="BL45" s="1" t="s">
        <v>90</v>
      </c>
    </row>
    <row r="46" spans="1:64" x14ac:dyDescent="0.3">
      <c r="A46" t="s">
        <v>1084</v>
      </c>
      <c r="B46" s="1" t="s">
        <v>1084</v>
      </c>
      <c r="C46" s="9" t="s">
        <v>1085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332522</v>
      </c>
      <c r="AJ46" s="2">
        <v>67376</v>
      </c>
      <c r="AK46" s="2">
        <v>5937.89</v>
      </c>
      <c r="AL46" s="2">
        <v>1203.1400000000001</v>
      </c>
      <c r="AM46" s="5">
        <v>3570.52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11996.94</v>
      </c>
      <c r="AT46" s="12">
        <v>10711.550000000001</v>
      </c>
      <c r="AU46" s="2">
        <v>214.23</v>
      </c>
      <c r="AV46" s="5">
        <v>0</v>
      </c>
      <c r="AX46" s="2">
        <v>332522</v>
      </c>
      <c r="AY46" s="2">
        <v>67376</v>
      </c>
      <c r="AZ46" s="2">
        <v>5937.89</v>
      </c>
      <c r="BA46" s="2">
        <v>1203.1400000000001</v>
      </c>
      <c r="BB46" s="5">
        <v>3570.52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11996.94</v>
      </c>
      <c r="BI46" s="12">
        <v>10711.550000000001</v>
      </c>
      <c r="BJ46" s="2">
        <v>214.23</v>
      </c>
      <c r="BL46" s="1" t="s">
        <v>90</v>
      </c>
    </row>
    <row r="47" spans="1:64" x14ac:dyDescent="0.3">
      <c r="A47" t="s">
        <v>1084</v>
      </c>
      <c r="B47" s="1" t="s">
        <v>1086</v>
      </c>
      <c r="C47" s="9" t="s">
        <v>1087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68966</v>
      </c>
      <c r="AJ47" s="2">
        <v>28567</v>
      </c>
      <c r="AK47" s="2">
        <v>1231.54</v>
      </c>
      <c r="AL47" s="2">
        <v>510.12</v>
      </c>
      <c r="AM47" s="5">
        <v>870.83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2925.99</v>
      </c>
      <c r="AT47" s="12">
        <v>2612.4899999999998</v>
      </c>
      <c r="AU47" s="2">
        <v>52.25</v>
      </c>
      <c r="AV47" s="5">
        <v>0</v>
      </c>
      <c r="AX47" s="2">
        <v>68966</v>
      </c>
      <c r="AY47" s="2">
        <v>28567</v>
      </c>
      <c r="AZ47" s="2">
        <v>1231.54</v>
      </c>
      <c r="BA47" s="2">
        <v>510.12</v>
      </c>
      <c r="BB47" s="5">
        <v>870.83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2925.99</v>
      </c>
      <c r="BI47" s="12">
        <v>2612.4899999999998</v>
      </c>
      <c r="BJ47" s="2">
        <v>52.25</v>
      </c>
      <c r="BL47" s="1" t="s">
        <v>90</v>
      </c>
    </row>
    <row r="48" spans="1:64" x14ac:dyDescent="0.3">
      <c r="A48" t="s">
        <v>1227</v>
      </c>
      <c r="B48" s="1" t="s">
        <v>1227</v>
      </c>
      <c r="C48" s="9" t="s">
        <v>1228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291713.40000000002</v>
      </c>
      <c r="AJ48" s="2">
        <v>34564</v>
      </c>
      <c r="AK48" s="2">
        <v>5209.17</v>
      </c>
      <c r="AL48" s="2">
        <v>617.21</v>
      </c>
      <c r="AM48" s="5">
        <v>2913.19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9788.32</v>
      </c>
      <c r="AT48" s="12">
        <v>8739.57</v>
      </c>
      <c r="AU48" s="2">
        <v>174.79</v>
      </c>
      <c r="AV48" s="5">
        <v>0</v>
      </c>
      <c r="AX48" s="2">
        <v>291713.40000000002</v>
      </c>
      <c r="AY48" s="2">
        <v>34564</v>
      </c>
      <c r="AZ48" s="2">
        <v>5209.17</v>
      </c>
      <c r="BA48" s="2">
        <v>617.21</v>
      </c>
      <c r="BB48" s="5">
        <v>2913.19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9788.32</v>
      </c>
      <c r="BI48" s="12">
        <v>8739.57</v>
      </c>
      <c r="BJ48" s="2">
        <v>174.79</v>
      </c>
      <c r="BL48" s="1" t="s">
        <v>90</v>
      </c>
    </row>
    <row r="49" spans="1:64" x14ac:dyDescent="0.3">
      <c r="A49" t="s">
        <v>329</v>
      </c>
      <c r="B49" s="1" t="s">
        <v>329</v>
      </c>
      <c r="C49" s="9" t="s">
        <v>330</v>
      </c>
      <c r="D49" s="1" t="s">
        <v>41</v>
      </c>
      <c r="E49" s="1" t="s">
        <v>128</v>
      </c>
      <c r="F49" s="10" t="s">
        <v>331</v>
      </c>
      <c r="G49" s="1">
        <v>3.5000000000000003E-2</v>
      </c>
      <c r="H49" s="1">
        <v>0.02</v>
      </c>
      <c r="I49" s="8">
        <v>45136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768180.2</v>
      </c>
      <c r="AJ49" s="2">
        <v>138363</v>
      </c>
      <c r="AK49" s="2">
        <v>13717.5</v>
      </c>
      <c r="AL49" s="2">
        <v>2470.77</v>
      </c>
      <c r="AM49" s="5">
        <v>8094.13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27196.29</v>
      </c>
      <c r="AT49" s="12">
        <v>24282.400000000001</v>
      </c>
      <c r="AU49" s="2">
        <v>485.65</v>
      </c>
      <c r="AV49" s="5">
        <v>0</v>
      </c>
      <c r="AX49" s="2">
        <v>768180.2</v>
      </c>
      <c r="AY49" s="2">
        <v>138363</v>
      </c>
      <c r="AZ49" s="2">
        <v>13717.5</v>
      </c>
      <c r="BA49" s="2">
        <v>2470.77</v>
      </c>
      <c r="BB49" s="5">
        <v>8094.13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27196.29</v>
      </c>
      <c r="BI49" s="12">
        <v>24282.400000000001</v>
      </c>
      <c r="BJ49" s="2">
        <v>485.65</v>
      </c>
      <c r="BL49" s="1" t="s">
        <v>130</v>
      </c>
    </row>
    <row r="50" spans="1:64" x14ac:dyDescent="0.3">
      <c r="A50" t="s">
        <v>329</v>
      </c>
      <c r="B50" s="1" t="s">
        <v>332</v>
      </c>
      <c r="C50" s="9" t="s">
        <v>333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45135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373293.7</v>
      </c>
      <c r="AJ50" s="2">
        <v>14030</v>
      </c>
      <c r="AK50" s="2">
        <v>6665.96</v>
      </c>
      <c r="AL50" s="2">
        <v>250.54</v>
      </c>
      <c r="AM50" s="5">
        <v>3458.25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11619.72</v>
      </c>
      <c r="AT50" s="12">
        <v>10374.75</v>
      </c>
      <c r="AU50" s="2">
        <v>207.5</v>
      </c>
      <c r="AV50" s="5">
        <v>0</v>
      </c>
      <c r="AX50" s="2">
        <v>373293.7</v>
      </c>
      <c r="AY50" s="2">
        <v>14030</v>
      </c>
      <c r="AZ50" s="2">
        <v>6665.96</v>
      </c>
      <c r="BA50" s="2">
        <v>250.54</v>
      </c>
      <c r="BB50" s="5">
        <v>3458.25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11619.72</v>
      </c>
      <c r="BI50" s="12">
        <v>10374.75</v>
      </c>
      <c r="BJ50" s="2">
        <v>207.5</v>
      </c>
      <c r="BL50" s="1" t="s">
        <v>130</v>
      </c>
    </row>
    <row r="51" spans="1:64" x14ac:dyDescent="0.3">
      <c r="A51" t="s">
        <v>370</v>
      </c>
      <c r="B51" s="1" t="s">
        <v>370</v>
      </c>
      <c r="C51" s="9" t="s">
        <v>371</v>
      </c>
      <c r="D51" s="1" t="s">
        <v>41</v>
      </c>
      <c r="E51" s="1" t="s">
        <v>128</v>
      </c>
      <c r="F51" s="10" t="s">
        <v>372</v>
      </c>
      <c r="G51" s="1">
        <v>3.5000000000000003E-2</v>
      </c>
      <c r="H51" s="1">
        <v>0.02</v>
      </c>
      <c r="I51" s="8">
        <v>44741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808148.3</v>
      </c>
      <c r="AJ51" s="2">
        <v>60491.11</v>
      </c>
      <c r="AK51" s="2">
        <v>14431.22</v>
      </c>
      <c r="AL51" s="2">
        <v>1080.2</v>
      </c>
      <c r="AM51" s="5">
        <v>7755.71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26059.19</v>
      </c>
      <c r="AT51" s="12">
        <v>23267.13</v>
      </c>
      <c r="AU51" s="2">
        <v>465.34</v>
      </c>
      <c r="AV51" s="5">
        <v>0</v>
      </c>
      <c r="AX51" s="2">
        <v>808148.3</v>
      </c>
      <c r="AY51" s="2">
        <v>60491.11</v>
      </c>
      <c r="AZ51" s="2">
        <v>14431.22</v>
      </c>
      <c r="BA51" s="2">
        <v>1080.2</v>
      </c>
      <c r="BB51" s="5">
        <v>7755.71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26059.19</v>
      </c>
      <c r="BI51" s="12">
        <v>23267.13</v>
      </c>
      <c r="BJ51" s="2">
        <v>465.34</v>
      </c>
      <c r="BL51" s="1" t="s">
        <v>130</v>
      </c>
    </row>
    <row r="52" spans="1:64" x14ac:dyDescent="0.3">
      <c r="A52" t="s">
        <v>370</v>
      </c>
      <c r="B52" s="1" t="s">
        <v>373</v>
      </c>
      <c r="C52" s="9" t="s">
        <v>374</v>
      </c>
      <c r="D52" s="1" t="s">
        <v>41</v>
      </c>
      <c r="E52" s="1" t="s">
        <v>128</v>
      </c>
      <c r="F52" s="10" t="s">
        <v>372</v>
      </c>
      <c r="G52" s="1">
        <v>0</v>
      </c>
      <c r="H52" s="1">
        <v>0.02</v>
      </c>
      <c r="I52" s="8">
        <v>44741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381391.5</v>
      </c>
      <c r="AJ52" s="2">
        <v>34332</v>
      </c>
      <c r="AK52" s="2">
        <v>6810.56</v>
      </c>
      <c r="AL52" s="2">
        <v>613.07000000000005</v>
      </c>
      <c r="AM52" s="5">
        <v>3711.81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12471.69</v>
      </c>
      <c r="AT52" s="12">
        <v>11135.44</v>
      </c>
      <c r="AU52" s="2">
        <v>222.71</v>
      </c>
      <c r="AV52" s="5">
        <v>0</v>
      </c>
      <c r="AX52" s="2">
        <v>381391.5</v>
      </c>
      <c r="AY52" s="2">
        <v>34332</v>
      </c>
      <c r="AZ52" s="2">
        <v>6810.56</v>
      </c>
      <c r="BA52" s="2">
        <v>613.07000000000005</v>
      </c>
      <c r="BB52" s="5">
        <v>3711.81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12471.69</v>
      </c>
      <c r="BI52" s="12">
        <v>11135.44</v>
      </c>
      <c r="BJ52" s="2">
        <v>222.71</v>
      </c>
      <c r="BL52" s="1" t="s">
        <v>130</v>
      </c>
    </row>
    <row r="53" spans="1:64" x14ac:dyDescent="0.3">
      <c r="A53" t="s">
        <v>370</v>
      </c>
      <c r="B53" s="1" t="s">
        <v>375</v>
      </c>
      <c r="C53" s="9" t="s">
        <v>376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44741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399643</v>
      </c>
      <c r="AJ53" s="2">
        <v>18292</v>
      </c>
      <c r="AK53" s="2">
        <v>7136.48</v>
      </c>
      <c r="AL53" s="2">
        <v>326.64</v>
      </c>
      <c r="AM53" s="5">
        <v>3731.56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12538.04</v>
      </c>
      <c r="AT53" s="12">
        <v>11194.68</v>
      </c>
      <c r="AU53" s="2">
        <v>223.89</v>
      </c>
      <c r="AV53" s="5">
        <v>0</v>
      </c>
      <c r="AX53" s="2">
        <v>399643</v>
      </c>
      <c r="AY53" s="2">
        <v>18292</v>
      </c>
      <c r="AZ53" s="2">
        <v>7136.48</v>
      </c>
      <c r="BA53" s="2">
        <v>326.64</v>
      </c>
      <c r="BB53" s="5">
        <v>3731.56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12538.04</v>
      </c>
      <c r="BI53" s="12">
        <v>11194.68</v>
      </c>
      <c r="BJ53" s="2">
        <v>223.89</v>
      </c>
      <c r="BL53" s="1" t="s">
        <v>130</v>
      </c>
    </row>
    <row r="54" spans="1:64" x14ac:dyDescent="0.3">
      <c r="A54" t="s">
        <v>370</v>
      </c>
      <c r="B54" s="1" t="s">
        <v>377</v>
      </c>
      <c r="C54" s="9" t="s">
        <v>378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45041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258905</v>
      </c>
      <c r="AJ54" s="2">
        <v>13643</v>
      </c>
      <c r="AK54" s="2">
        <v>4623.3</v>
      </c>
      <c r="AL54" s="2">
        <v>243.62</v>
      </c>
      <c r="AM54" s="5">
        <v>2433.46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8176.43</v>
      </c>
      <c r="AT54" s="12">
        <v>7300.38</v>
      </c>
      <c r="AU54" s="2">
        <v>146.01</v>
      </c>
      <c r="AV54" s="5">
        <v>0</v>
      </c>
      <c r="AX54" s="2">
        <v>258905</v>
      </c>
      <c r="AY54" s="2">
        <v>13643</v>
      </c>
      <c r="AZ54" s="2">
        <v>4623.3</v>
      </c>
      <c r="BA54" s="2">
        <v>243.62</v>
      </c>
      <c r="BB54" s="5">
        <v>2433.46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8176.43</v>
      </c>
      <c r="BI54" s="12">
        <v>7300.38</v>
      </c>
      <c r="BJ54" s="2">
        <v>146.01</v>
      </c>
      <c r="BL54" s="1" t="s">
        <v>130</v>
      </c>
    </row>
    <row r="55" spans="1:64" x14ac:dyDescent="0.3">
      <c r="A55" t="s">
        <v>386</v>
      </c>
      <c r="B55" s="1" t="s">
        <v>386</v>
      </c>
      <c r="C55" s="9" t="s">
        <v>387</v>
      </c>
      <c r="D55" s="1" t="s">
        <v>41</v>
      </c>
      <c r="E55" s="1" t="s">
        <v>128</v>
      </c>
      <c r="F55" s="10" t="s">
        <v>372</v>
      </c>
      <c r="G55" s="1">
        <v>3.5000000000000003E-2</v>
      </c>
      <c r="H55" s="1">
        <v>0.02</v>
      </c>
      <c r="I55" s="8">
        <v>44835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616873.29999999993</v>
      </c>
      <c r="AJ55" s="2">
        <v>31754.2</v>
      </c>
      <c r="AK55" s="2">
        <v>11015.6</v>
      </c>
      <c r="AL55" s="2">
        <v>567.04</v>
      </c>
      <c r="AM55" s="5">
        <v>5791.31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19458.82</v>
      </c>
      <c r="AT55" s="12">
        <v>17373.95</v>
      </c>
      <c r="AU55" s="2">
        <v>347.48</v>
      </c>
      <c r="AV55" s="5">
        <v>0</v>
      </c>
      <c r="AX55" s="2">
        <v>616873.29999999993</v>
      </c>
      <c r="AY55" s="2">
        <v>31754.2</v>
      </c>
      <c r="AZ55" s="2">
        <v>11015.6</v>
      </c>
      <c r="BA55" s="2">
        <v>567.04</v>
      </c>
      <c r="BB55" s="5">
        <v>5791.31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19458.82</v>
      </c>
      <c r="BI55" s="12">
        <v>17373.95</v>
      </c>
      <c r="BJ55" s="2">
        <v>347.48</v>
      </c>
      <c r="BL55" s="1" t="s">
        <v>130</v>
      </c>
    </row>
    <row r="56" spans="1:64" x14ac:dyDescent="0.3">
      <c r="A56" t="s">
        <v>386</v>
      </c>
      <c r="B56" s="1" t="s">
        <v>388</v>
      </c>
      <c r="C56" s="9" t="s">
        <v>387</v>
      </c>
      <c r="D56" s="1" t="s">
        <v>41</v>
      </c>
      <c r="E56" s="1" t="s">
        <v>128</v>
      </c>
      <c r="F56" s="10" t="s">
        <v>372</v>
      </c>
      <c r="G56" s="1">
        <v>3.5000000000000003E-2</v>
      </c>
      <c r="H56" s="1">
        <v>0.02</v>
      </c>
      <c r="I56" s="8">
        <v>44835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39075</v>
      </c>
      <c r="AJ56" s="2">
        <v>23065</v>
      </c>
      <c r="AK56" s="2">
        <v>697.77</v>
      </c>
      <c r="AL56" s="2">
        <v>411.87</v>
      </c>
      <c r="AM56" s="5">
        <v>554.82000000000005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1864.2</v>
      </c>
      <c r="AT56" s="12">
        <v>1664.46</v>
      </c>
      <c r="AU56" s="2">
        <v>33.29</v>
      </c>
      <c r="AV56" s="5">
        <v>0</v>
      </c>
      <c r="AX56" s="2">
        <v>39075</v>
      </c>
      <c r="AY56" s="2">
        <v>23065</v>
      </c>
      <c r="AZ56" s="2">
        <v>697.77</v>
      </c>
      <c r="BA56" s="2">
        <v>411.87</v>
      </c>
      <c r="BB56" s="5">
        <v>554.82000000000005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1864.2</v>
      </c>
      <c r="BI56" s="12">
        <v>1664.46</v>
      </c>
      <c r="BJ56" s="2">
        <v>33.29</v>
      </c>
      <c r="BL56" s="1" t="s">
        <v>130</v>
      </c>
    </row>
    <row r="57" spans="1:64" x14ac:dyDescent="0.3">
      <c r="A57" t="s">
        <v>386</v>
      </c>
      <c r="B57" s="1" t="s">
        <v>389</v>
      </c>
      <c r="C57" s="9" t="s">
        <v>390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44835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254945</v>
      </c>
      <c r="AJ57" s="2">
        <v>9900</v>
      </c>
      <c r="AK57" s="2">
        <v>4552.59</v>
      </c>
      <c r="AL57" s="2">
        <v>176.79</v>
      </c>
      <c r="AM57" s="5">
        <v>2364.69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7945.36</v>
      </c>
      <c r="AT57" s="12">
        <v>7094.07</v>
      </c>
      <c r="AU57" s="2">
        <v>141.88</v>
      </c>
      <c r="AV57" s="5">
        <v>0</v>
      </c>
      <c r="AX57" s="2">
        <v>254945</v>
      </c>
      <c r="AY57" s="2">
        <v>9900</v>
      </c>
      <c r="AZ57" s="2">
        <v>4552.59</v>
      </c>
      <c r="BA57" s="2">
        <v>176.79</v>
      </c>
      <c r="BB57" s="5">
        <v>2364.69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7945.36</v>
      </c>
      <c r="BI57" s="12">
        <v>7094.07</v>
      </c>
      <c r="BJ57" s="2">
        <v>141.88</v>
      </c>
      <c r="BL57" s="1" t="s">
        <v>130</v>
      </c>
    </row>
    <row r="58" spans="1:64" x14ac:dyDescent="0.3">
      <c r="A58" t="s">
        <v>386</v>
      </c>
      <c r="B58" s="1" t="s">
        <v>391</v>
      </c>
      <c r="C58" s="9" t="s">
        <v>392</v>
      </c>
      <c r="D58" s="1" t="s">
        <v>41</v>
      </c>
      <c r="E58" s="1" t="s">
        <v>128</v>
      </c>
      <c r="F58" s="10" t="s">
        <v>372</v>
      </c>
      <c r="G58" s="1">
        <v>0</v>
      </c>
      <c r="H58" s="1">
        <v>0.02</v>
      </c>
      <c r="I58" s="8">
        <v>44835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374025</v>
      </c>
      <c r="AJ58" s="2">
        <v>13920</v>
      </c>
      <c r="AK58" s="2">
        <v>6679.02</v>
      </c>
      <c r="AL58" s="2">
        <v>248.57</v>
      </c>
      <c r="AM58" s="5">
        <v>3463.79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11638.35</v>
      </c>
      <c r="AT58" s="12">
        <v>10391.380000000001</v>
      </c>
      <c r="AU58" s="2">
        <v>207.83</v>
      </c>
      <c r="AV58" s="5">
        <v>0</v>
      </c>
      <c r="AX58" s="2">
        <v>374025</v>
      </c>
      <c r="AY58" s="2">
        <v>13920</v>
      </c>
      <c r="AZ58" s="2">
        <v>6679.02</v>
      </c>
      <c r="BA58" s="2">
        <v>248.57</v>
      </c>
      <c r="BB58" s="5">
        <v>3463.79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11638.35</v>
      </c>
      <c r="BI58" s="12">
        <v>10391.380000000001</v>
      </c>
      <c r="BJ58" s="2">
        <v>207.83</v>
      </c>
      <c r="BL58" s="1" t="s">
        <v>130</v>
      </c>
    </row>
    <row r="59" spans="1:64" x14ac:dyDescent="0.3">
      <c r="A59" t="s">
        <v>386</v>
      </c>
      <c r="B59" s="1" t="s">
        <v>393</v>
      </c>
      <c r="C59" s="9" t="s">
        <v>394</v>
      </c>
      <c r="D59" s="1" t="s">
        <v>41</v>
      </c>
      <c r="E59" s="1" t="s">
        <v>128</v>
      </c>
      <c r="F59" s="10" t="s">
        <v>372</v>
      </c>
      <c r="G59" s="1">
        <v>0</v>
      </c>
      <c r="H59" s="1">
        <v>0.02</v>
      </c>
      <c r="I59" s="8">
        <v>44835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139513</v>
      </c>
      <c r="AJ59" s="2">
        <v>10550</v>
      </c>
      <c r="AK59" s="2">
        <v>2491.3000000000002</v>
      </c>
      <c r="AL59" s="2">
        <v>188.39</v>
      </c>
      <c r="AM59" s="5">
        <v>1339.85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4501.88</v>
      </c>
      <c r="AT59" s="12">
        <v>4019.54</v>
      </c>
      <c r="AU59" s="2">
        <v>80.39</v>
      </c>
      <c r="AV59" s="5">
        <v>0</v>
      </c>
      <c r="AX59" s="2">
        <v>139513</v>
      </c>
      <c r="AY59" s="2">
        <v>10550</v>
      </c>
      <c r="AZ59" s="2">
        <v>2491.3000000000002</v>
      </c>
      <c r="BA59" s="2">
        <v>188.39</v>
      </c>
      <c r="BB59" s="5">
        <v>1339.85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4501.88</v>
      </c>
      <c r="BI59" s="12">
        <v>4019.54</v>
      </c>
      <c r="BJ59" s="2">
        <v>80.39</v>
      </c>
      <c r="BL59" s="1" t="s">
        <v>130</v>
      </c>
    </row>
    <row r="60" spans="1:64" x14ac:dyDescent="0.3">
      <c r="A60" t="s">
        <v>460</v>
      </c>
      <c r="B60" s="1" t="s">
        <v>460</v>
      </c>
      <c r="C60" s="9" t="s">
        <v>461</v>
      </c>
      <c r="D60" s="1" t="s">
        <v>41</v>
      </c>
      <c r="E60" s="1" t="s">
        <v>135</v>
      </c>
      <c r="F60" s="10" t="s">
        <v>462</v>
      </c>
      <c r="G60" s="1">
        <v>3.5000000000000003E-2</v>
      </c>
      <c r="H60" s="1">
        <v>0.02</v>
      </c>
      <c r="I60" s="8">
        <v>45315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504977.05</v>
      </c>
      <c r="AJ60" s="2">
        <v>46713</v>
      </c>
      <c r="AK60" s="2">
        <v>9017.4500000000007</v>
      </c>
      <c r="AL60" s="2">
        <v>834.16</v>
      </c>
      <c r="AM60" s="5">
        <v>4925.8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16550.7</v>
      </c>
      <c r="AT60" s="12">
        <v>14777.41</v>
      </c>
      <c r="AU60" s="2">
        <v>295.55</v>
      </c>
      <c r="AV60" s="5">
        <v>0</v>
      </c>
      <c r="AX60" s="2">
        <v>504977.05</v>
      </c>
      <c r="AY60" s="2">
        <v>46713</v>
      </c>
      <c r="AZ60" s="2">
        <v>9017.4500000000007</v>
      </c>
      <c r="BA60" s="2">
        <v>834.16</v>
      </c>
      <c r="BB60" s="5">
        <v>4925.8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16550.7</v>
      </c>
      <c r="BI60" s="12">
        <v>14777.41</v>
      </c>
      <c r="BJ60" s="2">
        <v>295.55</v>
      </c>
      <c r="BL60" s="1" t="s">
        <v>302</v>
      </c>
    </row>
    <row r="61" spans="1:64" x14ac:dyDescent="0.3">
      <c r="A61" t="s">
        <v>460</v>
      </c>
      <c r="B61" s="1" t="s">
        <v>463</v>
      </c>
      <c r="C61" s="9" t="s">
        <v>464</v>
      </c>
      <c r="D61" s="1" t="s">
        <v>41</v>
      </c>
      <c r="E61" s="1" t="s">
        <v>135</v>
      </c>
      <c r="F61" s="10" t="s">
        <v>462</v>
      </c>
      <c r="G61" s="1">
        <v>0.04</v>
      </c>
      <c r="H61" s="1">
        <v>0.02</v>
      </c>
      <c r="I61" s="8">
        <v>45315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387978</v>
      </c>
      <c r="AJ61" s="2">
        <v>56297</v>
      </c>
      <c r="AK61" s="2">
        <v>6928.18</v>
      </c>
      <c r="AL61" s="2">
        <v>1005.3</v>
      </c>
      <c r="AM61" s="5">
        <v>3966.74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13328.25</v>
      </c>
      <c r="AT61" s="12">
        <v>11900.220000000001</v>
      </c>
      <c r="AU61" s="2">
        <v>238</v>
      </c>
      <c r="AV61" s="5">
        <v>0</v>
      </c>
      <c r="AX61" s="2">
        <v>387978</v>
      </c>
      <c r="AY61" s="2">
        <v>56297</v>
      </c>
      <c r="AZ61" s="2">
        <v>6928.18</v>
      </c>
      <c r="BA61" s="2">
        <v>1005.3</v>
      </c>
      <c r="BB61" s="5">
        <v>3966.74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13328.25</v>
      </c>
      <c r="BI61" s="12">
        <v>11900.220000000001</v>
      </c>
      <c r="BJ61" s="2">
        <v>238</v>
      </c>
      <c r="BL61" s="1" t="s">
        <v>302</v>
      </c>
    </row>
    <row r="62" spans="1:64" x14ac:dyDescent="0.3">
      <c r="A62" t="s">
        <v>460</v>
      </c>
      <c r="B62" s="1" t="s">
        <v>465</v>
      </c>
      <c r="C62" s="9" t="s">
        <v>466</v>
      </c>
      <c r="D62" s="1" t="s">
        <v>41</v>
      </c>
      <c r="E62" s="1" t="s">
        <v>135</v>
      </c>
      <c r="F62" s="10" t="s">
        <v>467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AV62" s="5">
        <v>0</v>
      </c>
      <c r="AX62" s="2">
        <v>0</v>
      </c>
      <c r="AY62" s="2">
        <v>0</v>
      </c>
      <c r="AZ62" s="2">
        <v>0</v>
      </c>
      <c r="BA62" s="2">
        <v>0</v>
      </c>
      <c r="BB62" s="5">
        <v>0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0</v>
      </c>
      <c r="BI62" s="12">
        <v>0</v>
      </c>
      <c r="BJ62" s="2">
        <v>0</v>
      </c>
      <c r="BL62" s="1" t="s">
        <v>302</v>
      </c>
    </row>
    <row r="63" spans="1:64" x14ac:dyDescent="0.3">
      <c r="A63" t="s">
        <v>460</v>
      </c>
      <c r="B63" s="1" t="s">
        <v>468</v>
      </c>
      <c r="C63" s="9" t="s">
        <v>469</v>
      </c>
      <c r="D63" s="1" t="s">
        <v>41</v>
      </c>
      <c r="E63" s="1" t="s">
        <v>135</v>
      </c>
      <c r="F63" s="10" t="s">
        <v>467</v>
      </c>
      <c r="G63" s="1">
        <v>0</v>
      </c>
      <c r="H63" s="1">
        <v>0.05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AV63" s="5">
        <v>0</v>
      </c>
      <c r="AX63" s="2">
        <v>0</v>
      </c>
      <c r="AY63" s="2">
        <v>0</v>
      </c>
      <c r="AZ63" s="2">
        <v>0</v>
      </c>
      <c r="BA63" s="2">
        <v>0</v>
      </c>
      <c r="BB63" s="5">
        <v>0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0</v>
      </c>
      <c r="BI63" s="12">
        <v>0</v>
      </c>
      <c r="BJ63" s="2">
        <v>0</v>
      </c>
      <c r="BL63" s="1" t="s">
        <v>302</v>
      </c>
    </row>
    <row r="64" spans="1:64" x14ac:dyDescent="0.3">
      <c r="A64" t="s">
        <v>490</v>
      </c>
      <c r="B64" s="1" t="s">
        <v>490</v>
      </c>
      <c r="C64" s="9" t="s">
        <v>491</v>
      </c>
      <c r="D64" s="1" t="s">
        <v>41</v>
      </c>
      <c r="E64" s="1" t="s">
        <v>135</v>
      </c>
      <c r="F64" s="10" t="s">
        <v>462</v>
      </c>
      <c r="G64" s="1">
        <v>0</v>
      </c>
      <c r="H64" s="1">
        <v>0.02</v>
      </c>
      <c r="I64" s="8">
        <v>45387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460871.1</v>
      </c>
      <c r="AJ64" s="2">
        <v>72212</v>
      </c>
      <c r="AK64" s="2">
        <v>8229.84</v>
      </c>
      <c r="AL64" s="2">
        <v>1289.5</v>
      </c>
      <c r="AM64" s="5">
        <v>4759.67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15992.49</v>
      </c>
      <c r="AT64" s="12">
        <v>14279.01</v>
      </c>
      <c r="AU64" s="2">
        <v>285.58</v>
      </c>
      <c r="AV64" s="5">
        <v>0</v>
      </c>
      <c r="AX64" s="2">
        <v>460871.1</v>
      </c>
      <c r="AY64" s="2">
        <v>72212</v>
      </c>
      <c r="AZ64" s="2">
        <v>8229.84</v>
      </c>
      <c r="BA64" s="2">
        <v>1289.5</v>
      </c>
      <c r="BB64" s="5">
        <v>4759.67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15992.49</v>
      </c>
      <c r="BI64" s="12">
        <v>14279.01</v>
      </c>
      <c r="BJ64" s="2">
        <v>285.58</v>
      </c>
      <c r="BL64" s="1" t="s">
        <v>302</v>
      </c>
    </row>
    <row r="65" spans="1:64" x14ac:dyDescent="0.3">
      <c r="A65" t="s">
        <v>490</v>
      </c>
      <c r="B65" s="1" t="s">
        <v>492</v>
      </c>
      <c r="C65" s="9" t="s">
        <v>493</v>
      </c>
      <c r="D65" s="1" t="s">
        <v>41</v>
      </c>
      <c r="E65" s="1" t="s">
        <v>135</v>
      </c>
      <c r="F65" s="10" t="s">
        <v>462</v>
      </c>
      <c r="G65" s="1">
        <v>0</v>
      </c>
      <c r="H65" s="1">
        <v>0.02</v>
      </c>
      <c r="I65" s="8">
        <v>45387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134478</v>
      </c>
      <c r="AJ65" s="2">
        <v>34961</v>
      </c>
      <c r="AK65" s="2">
        <v>2401.39</v>
      </c>
      <c r="AL65" s="2">
        <v>624.29999999999995</v>
      </c>
      <c r="AM65" s="5">
        <v>1512.85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5083.16</v>
      </c>
      <c r="AT65" s="12">
        <v>4538.5399999999991</v>
      </c>
      <c r="AU65" s="2">
        <v>90.77</v>
      </c>
      <c r="AV65" s="5">
        <v>0</v>
      </c>
      <c r="AX65" s="2">
        <v>134478</v>
      </c>
      <c r="AY65" s="2">
        <v>34961</v>
      </c>
      <c r="AZ65" s="2">
        <v>2401.39</v>
      </c>
      <c r="BA65" s="2">
        <v>624.29999999999995</v>
      </c>
      <c r="BB65" s="5">
        <v>1512.85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5083.16</v>
      </c>
      <c r="BI65" s="12">
        <v>4538.5399999999991</v>
      </c>
      <c r="BJ65" s="2">
        <v>90.77</v>
      </c>
      <c r="BL65" s="1" t="s">
        <v>302</v>
      </c>
    </row>
    <row r="66" spans="1:64" x14ac:dyDescent="0.3">
      <c r="A66" t="s">
        <v>524</v>
      </c>
      <c r="B66" s="1" t="s">
        <v>524</v>
      </c>
      <c r="C66" s="9" t="s">
        <v>525</v>
      </c>
      <c r="D66" s="1" t="s">
        <v>41</v>
      </c>
      <c r="E66" s="1" t="s">
        <v>128</v>
      </c>
      <c r="F66" s="10" t="s">
        <v>372</v>
      </c>
      <c r="G66" s="1">
        <v>3.5000000000000003E-2</v>
      </c>
      <c r="H66" s="1">
        <v>0.02</v>
      </c>
      <c r="I66" s="8">
        <v>45242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609265.45000000007</v>
      </c>
      <c r="AJ66" s="2">
        <v>25038.080000000002</v>
      </c>
      <c r="AK66" s="2">
        <v>10879.74</v>
      </c>
      <c r="AL66" s="2">
        <v>447.11</v>
      </c>
      <c r="AM66" s="5">
        <v>5663.43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19029.11</v>
      </c>
      <c r="AT66" s="12">
        <v>16990.28</v>
      </c>
      <c r="AU66" s="2">
        <v>339.81</v>
      </c>
      <c r="AV66" s="5">
        <v>0</v>
      </c>
      <c r="AX66" s="2">
        <v>609265.45000000007</v>
      </c>
      <c r="AY66" s="2">
        <v>25038.080000000002</v>
      </c>
      <c r="AZ66" s="2">
        <v>10879.74</v>
      </c>
      <c r="BA66" s="2">
        <v>447.11</v>
      </c>
      <c r="BB66" s="5">
        <v>5663.43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19029.11</v>
      </c>
      <c r="BI66" s="12">
        <v>16990.28</v>
      </c>
      <c r="BJ66" s="2">
        <v>339.81</v>
      </c>
      <c r="BL66" s="1" t="s">
        <v>130</v>
      </c>
    </row>
    <row r="67" spans="1:64" x14ac:dyDescent="0.3">
      <c r="A67" t="s">
        <v>524</v>
      </c>
      <c r="B67" s="1" t="s">
        <v>526</v>
      </c>
      <c r="C67" s="9" t="s">
        <v>527</v>
      </c>
      <c r="D67" s="1" t="s">
        <v>41</v>
      </c>
      <c r="E67" s="1" t="s">
        <v>128</v>
      </c>
      <c r="F67" s="10" t="s">
        <v>372</v>
      </c>
      <c r="G67" s="1">
        <v>0</v>
      </c>
      <c r="H67" s="1">
        <v>0.02</v>
      </c>
      <c r="I67" s="8">
        <v>45242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671437</v>
      </c>
      <c r="AJ67" s="2">
        <v>1014</v>
      </c>
      <c r="AK67" s="2">
        <v>11989.95</v>
      </c>
      <c r="AL67" s="2">
        <v>18.11</v>
      </c>
      <c r="AM67" s="5">
        <v>6004.03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20173.54</v>
      </c>
      <c r="AT67" s="12">
        <v>18012.09</v>
      </c>
      <c r="AU67" s="2">
        <v>360.24</v>
      </c>
      <c r="AV67" s="5">
        <v>0</v>
      </c>
      <c r="AX67" s="2">
        <v>671437</v>
      </c>
      <c r="AY67" s="2">
        <v>1014</v>
      </c>
      <c r="AZ67" s="2">
        <v>11989.95</v>
      </c>
      <c r="BA67" s="2">
        <v>18.11</v>
      </c>
      <c r="BB67" s="5">
        <v>6004.03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20173.54</v>
      </c>
      <c r="BI67" s="12">
        <v>18012.09</v>
      </c>
      <c r="BJ67" s="2">
        <v>360.24</v>
      </c>
      <c r="BL67" s="1" t="s">
        <v>130</v>
      </c>
    </row>
    <row r="68" spans="1:64" x14ac:dyDescent="0.3">
      <c r="A68" t="s">
        <v>524</v>
      </c>
      <c r="B68" s="1" t="s">
        <v>528</v>
      </c>
      <c r="C68" s="9" t="s">
        <v>529</v>
      </c>
      <c r="D68" s="1" t="s">
        <v>41</v>
      </c>
      <c r="E68" s="1" t="s">
        <v>128</v>
      </c>
      <c r="F68" s="10" t="s">
        <v>372</v>
      </c>
      <c r="G68" s="1">
        <v>0</v>
      </c>
      <c r="H68" s="1">
        <v>0.02</v>
      </c>
      <c r="I68" s="8">
        <v>45242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220123.5</v>
      </c>
      <c r="AJ68" s="2">
        <v>18187</v>
      </c>
      <c r="AK68" s="2">
        <v>3930.78</v>
      </c>
      <c r="AL68" s="2">
        <v>324.77</v>
      </c>
      <c r="AM68" s="5">
        <v>2127.77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7149.32</v>
      </c>
      <c r="AT68" s="12">
        <v>6383.32</v>
      </c>
      <c r="AU68" s="2">
        <v>127.67</v>
      </c>
      <c r="AV68" s="5">
        <v>0</v>
      </c>
      <c r="AX68" s="2">
        <v>220123.5</v>
      </c>
      <c r="AY68" s="2">
        <v>18187</v>
      </c>
      <c r="AZ68" s="2">
        <v>3930.78</v>
      </c>
      <c r="BA68" s="2">
        <v>324.77</v>
      </c>
      <c r="BB68" s="5">
        <v>2127.77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7149.32</v>
      </c>
      <c r="BI68" s="12">
        <v>6383.32</v>
      </c>
      <c r="BJ68" s="2">
        <v>127.67</v>
      </c>
      <c r="BL68" s="1" t="s">
        <v>130</v>
      </c>
    </row>
    <row r="69" spans="1:64" x14ac:dyDescent="0.3">
      <c r="A69" t="s">
        <v>524</v>
      </c>
      <c r="B69" s="1" t="s">
        <v>530</v>
      </c>
      <c r="C69" s="9" t="s">
        <v>531</v>
      </c>
      <c r="D69" s="1" t="s">
        <v>41</v>
      </c>
      <c r="E69" s="1" t="s">
        <v>128</v>
      </c>
      <c r="F69" s="10" t="s">
        <v>372</v>
      </c>
      <c r="G69" s="1">
        <v>0</v>
      </c>
      <c r="H69" s="1">
        <v>0.02</v>
      </c>
      <c r="I69" s="8">
        <v>45357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0</v>
      </c>
      <c r="AJ69" s="2">
        <v>0</v>
      </c>
      <c r="AK69" s="2">
        <v>0</v>
      </c>
      <c r="AL69" s="2">
        <v>0</v>
      </c>
      <c r="AM69" s="5">
        <v>0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0</v>
      </c>
      <c r="AT69" s="12">
        <v>0</v>
      </c>
      <c r="AU69" s="2">
        <v>0</v>
      </c>
      <c r="AV69" s="5">
        <v>0</v>
      </c>
      <c r="AX69" s="2">
        <v>0</v>
      </c>
      <c r="AY69" s="2">
        <v>0</v>
      </c>
      <c r="AZ69" s="2">
        <v>0</v>
      </c>
      <c r="BA69" s="2">
        <v>0</v>
      </c>
      <c r="BB69" s="5">
        <v>0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0</v>
      </c>
      <c r="BI69" s="12">
        <v>0</v>
      </c>
      <c r="BJ69" s="2">
        <v>0</v>
      </c>
      <c r="BL69" s="1" t="s">
        <v>130</v>
      </c>
    </row>
    <row r="70" spans="1:64" x14ac:dyDescent="0.3">
      <c r="A70" t="s">
        <v>627</v>
      </c>
      <c r="B70" s="1" t="s">
        <v>627</v>
      </c>
      <c r="C70" s="9" t="s">
        <v>628</v>
      </c>
      <c r="D70" s="1" t="s">
        <v>41</v>
      </c>
      <c r="E70" s="1" t="s">
        <v>135</v>
      </c>
      <c r="F70" s="10" t="s">
        <v>462</v>
      </c>
      <c r="G70" s="1">
        <v>3.5000000000000003E-2</v>
      </c>
      <c r="H70" s="1">
        <v>0.02</v>
      </c>
      <c r="I70" s="8">
        <v>45017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626733.65</v>
      </c>
      <c r="AJ70" s="2">
        <v>116196.25</v>
      </c>
      <c r="AK70" s="2">
        <v>11191.67</v>
      </c>
      <c r="AL70" s="2">
        <v>2074.94</v>
      </c>
      <c r="AM70" s="5">
        <v>6633.3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22287.9</v>
      </c>
      <c r="AT70" s="12">
        <v>19899.91</v>
      </c>
      <c r="AU70" s="2">
        <v>398</v>
      </c>
      <c r="AV70" s="5">
        <v>0</v>
      </c>
      <c r="AX70" s="2">
        <v>626733.65</v>
      </c>
      <c r="AY70" s="2">
        <v>116196.25</v>
      </c>
      <c r="AZ70" s="2">
        <v>11191.67</v>
      </c>
      <c r="BA70" s="2">
        <v>2074.94</v>
      </c>
      <c r="BB70" s="5">
        <v>6633.3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22287.9</v>
      </c>
      <c r="BI70" s="12">
        <v>19899.91</v>
      </c>
      <c r="BJ70" s="2">
        <v>398</v>
      </c>
      <c r="BL70" s="1" t="s">
        <v>302</v>
      </c>
    </row>
    <row r="71" spans="1:64" x14ac:dyDescent="0.3">
      <c r="A71" t="s">
        <v>656</v>
      </c>
      <c r="B71" s="1" t="s">
        <v>656</v>
      </c>
      <c r="C71" s="9" t="s">
        <v>657</v>
      </c>
      <c r="D71" s="1" t="s">
        <v>41</v>
      </c>
      <c r="E71" s="1" t="s">
        <v>128</v>
      </c>
      <c r="F71" s="10" t="s">
        <v>372</v>
      </c>
      <c r="G71" s="1">
        <v>3.5000000000000003E-2</v>
      </c>
      <c r="H71" s="1">
        <v>0.02</v>
      </c>
      <c r="I71" s="8">
        <v>45276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829904.33999999985</v>
      </c>
      <c r="AJ71" s="2">
        <v>59629.85</v>
      </c>
      <c r="AK71" s="2">
        <v>14819.72</v>
      </c>
      <c r="AL71" s="2">
        <v>1064.82</v>
      </c>
      <c r="AM71" s="5">
        <v>7942.27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26686.03</v>
      </c>
      <c r="AT71" s="12">
        <v>23826.809999999998</v>
      </c>
      <c r="AU71" s="2">
        <v>476.54</v>
      </c>
      <c r="AV71" s="5">
        <v>0</v>
      </c>
      <c r="AX71" s="2">
        <v>829904.33999999985</v>
      </c>
      <c r="AY71" s="2">
        <v>59629.85</v>
      </c>
      <c r="AZ71" s="2">
        <v>14819.72</v>
      </c>
      <c r="BA71" s="2">
        <v>1064.82</v>
      </c>
      <c r="BB71" s="5">
        <v>7942.27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26686.03</v>
      </c>
      <c r="BI71" s="12">
        <v>23826.809999999998</v>
      </c>
      <c r="BJ71" s="2">
        <v>476.54</v>
      </c>
      <c r="BL71" s="1" t="s">
        <v>130</v>
      </c>
    </row>
    <row r="72" spans="1:64" x14ac:dyDescent="0.3">
      <c r="A72" t="s">
        <v>662</v>
      </c>
      <c r="B72" s="1" t="s">
        <v>662</v>
      </c>
      <c r="C72" s="9" t="s">
        <v>663</v>
      </c>
      <c r="D72" s="1" t="s">
        <v>41</v>
      </c>
      <c r="E72" s="1" t="s">
        <v>88</v>
      </c>
      <c r="F72" s="10" t="s">
        <v>664</v>
      </c>
      <c r="G72" s="1">
        <v>3.5000000000000003E-2</v>
      </c>
      <c r="H72" s="1">
        <v>0.02</v>
      </c>
      <c r="I72" s="8">
        <v>45342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625788</v>
      </c>
      <c r="AJ72" s="2">
        <v>55366</v>
      </c>
      <c r="AK72" s="2">
        <v>11174.79</v>
      </c>
      <c r="AL72" s="2">
        <v>988.68</v>
      </c>
      <c r="AM72" s="5">
        <v>6081.73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20434.62</v>
      </c>
      <c r="AT72" s="12">
        <v>18245.2</v>
      </c>
      <c r="AU72" s="2">
        <v>364.9</v>
      </c>
      <c r="AV72" s="5">
        <v>0</v>
      </c>
      <c r="AX72" s="2">
        <v>625788</v>
      </c>
      <c r="AY72" s="2">
        <v>55366</v>
      </c>
      <c r="AZ72" s="2">
        <v>11174.79</v>
      </c>
      <c r="BA72" s="2">
        <v>988.68</v>
      </c>
      <c r="BB72" s="5">
        <v>6081.73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20434.62</v>
      </c>
      <c r="BI72" s="12">
        <v>18245.2</v>
      </c>
      <c r="BJ72" s="2">
        <v>364.9</v>
      </c>
      <c r="BL72" s="1" t="s">
        <v>546</v>
      </c>
    </row>
    <row r="73" spans="1:64" x14ac:dyDescent="0.3">
      <c r="A73" t="s">
        <v>669</v>
      </c>
      <c r="B73" s="1" t="s">
        <v>669</v>
      </c>
      <c r="C73" s="9" t="s">
        <v>670</v>
      </c>
      <c r="D73" s="1" t="s">
        <v>41</v>
      </c>
      <c r="E73" s="1" t="s">
        <v>88</v>
      </c>
      <c r="F73" s="10" t="s">
        <v>671</v>
      </c>
      <c r="G73" s="1">
        <v>0</v>
      </c>
      <c r="H73" s="1">
        <v>0.02</v>
      </c>
      <c r="I73" s="8">
        <v>45620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316121</v>
      </c>
      <c r="AJ73" s="2">
        <v>51218</v>
      </c>
      <c r="AK73" s="2">
        <v>5645.02</v>
      </c>
      <c r="AL73" s="2">
        <v>914.61</v>
      </c>
      <c r="AM73" s="5">
        <v>3279.81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11020.17</v>
      </c>
      <c r="AT73" s="12">
        <v>9839.44</v>
      </c>
      <c r="AU73" s="2">
        <v>196.79</v>
      </c>
      <c r="AV73" s="5">
        <v>0</v>
      </c>
      <c r="AX73" s="2">
        <v>316121</v>
      </c>
      <c r="AY73" s="2">
        <v>51218</v>
      </c>
      <c r="AZ73" s="2">
        <v>5645.02</v>
      </c>
      <c r="BA73" s="2">
        <v>914.61</v>
      </c>
      <c r="BB73" s="5">
        <v>3279.81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11020.17</v>
      </c>
      <c r="BI73" s="12">
        <v>9839.44</v>
      </c>
      <c r="BJ73" s="2">
        <v>196.79</v>
      </c>
      <c r="BL73" s="1" t="s">
        <v>90</v>
      </c>
    </row>
    <row r="74" spans="1:64" x14ac:dyDescent="0.3">
      <c r="A74" t="s">
        <v>676</v>
      </c>
      <c r="B74" s="1" t="s">
        <v>676</v>
      </c>
      <c r="C74" s="9" t="s">
        <v>677</v>
      </c>
      <c r="D74" s="1" t="s">
        <v>41</v>
      </c>
      <c r="E74" s="1" t="s">
        <v>88</v>
      </c>
      <c r="F74" s="10" t="s">
        <v>664</v>
      </c>
      <c r="G74" s="1">
        <v>0</v>
      </c>
      <c r="H74" s="1">
        <v>0.02</v>
      </c>
      <c r="I74" s="8">
        <v>45683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502485</v>
      </c>
      <c r="AJ74" s="2">
        <v>91400</v>
      </c>
      <c r="AK74" s="2">
        <v>8972.9500000000007</v>
      </c>
      <c r="AL74" s="2">
        <v>1632.14</v>
      </c>
      <c r="AM74" s="5">
        <v>5302.54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17816.55</v>
      </c>
      <c r="AT74" s="12">
        <v>15907.630000000001</v>
      </c>
      <c r="AU74" s="2">
        <v>318.14999999999998</v>
      </c>
      <c r="AV74" s="5">
        <v>0</v>
      </c>
      <c r="AX74" s="2">
        <v>502485</v>
      </c>
      <c r="AY74" s="2">
        <v>91400</v>
      </c>
      <c r="AZ74" s="2">
        <v>8972.9500000000007</v>
      </c>
      <c r="BA74" s="2">
        <v>1632.14</v>
      </c>
      <c r="BB74" s="5">
        <v>5302.54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17816.55</v>
      </c>
      <c r="BI74" s="12">
        <v>15907.630000000001</v>
      </c>
      <c r="BJ74" s="2">
        <v>318.14999999999998</v>
      </c>
      <c r="BL74" s="1" t="s">
        <v>546</v>
      </c>
    </row>
    <row r="75" spans="1:64" x14ac:dyDescent="0.3">
      <c r="A75" t="s">
        <v>690</v>
      </c>
      <c r="B75" s="1" t="s">
        <v>690</v>
      </c>
      <c r="C75" s="9" t="s">
        <v>691</v>
      </c>
      <c r="D75" s="1" t="s">
        <v>41</v>
      </c>
      <c r="E75" s="1" t="s">
        <v>88</v>
      </c>
      <c r="F75" s="10" t="s">
        <v>664</v>
      </c>
      <c r="G75" s="1">
        <v>0</v>
      </c>
      <c r="H75" s="1">
        <v>0.02</v>
      </c>
      <c r="I75" s="8">
        <v>44013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402048</v>
      </c>
      <c r="AJ75" s="2">
        <v>88964</v>
      </c>
      <c r="AK75" s="2">
        <v>7179.43</v>
      </c>
      <c r="AL75" s="2">
        <v>1588.64</v>
      </c>
      <c r="AM75" s="5">
        <v>4384.04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14730.36</v>
      </c>
      <c r="AT75" s="12">
        <v>13152.11</v>
      </c>
      <c r="AU75" s="2">
        <v>263.04000000000002</v>
      </c>
      <c r="AV75" s="5">
        <v>0</v>
      </c>
      <c r="AX75" s="2">
        <v>402048</v>
      </c>
      <c r="AY75" s="2">
        <v>88964</v>
      </c>
      <c r="AZ75" s="2">
        <v>7179.43</v>
      </c>
      <c r="BA75" s="2">
        <v>1588.64</v>
      </c>
      <c r="BB75" s="5">
        <v>4384.04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14730.36</v>
      </c>
      <c r="BI75" s="12">
        <v>13152.11</v>
      </c>
      <c r="BJ75" s="2">
        <v>263.04000000000002</v>
      </c>
      <c r="BL75" s="1" t="s">
        <v>546</v>
      </c>
    </row>
    <row r="76" spans="1:64" x14ac:dyDescent="0.3">
      <c r="A76" t="s">
        <v>692</v>
      </c>
      <c r="B76" s="1" t="s">
        <v>692</v>
      </c>
      <c r="C76" s="9" t="s">
        <v>693</v>
      </c>
      <c r="D76" s="1" t="s">
        <v>41</v>
      </c>
      <c r="E76" s="1" t="s">
        <v>128</v>
      </c>
      <c r="F76" s="10" t="s">
        <v>372</v>
      </c>
      <c r="G76" s="1">
        <v>3.5000000000000003E-2</v>
      </c>
      <c r="H76" s="1">
        <v>0.02</v>
      </c>
      <c r="I76" s="8">
        <v>44011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316191</v>
      </c>
      <c r="AJ76" s="2">
        <v>72984</v>
      </c>
      <c r="AK76" s="2">
        <v>5646.27</v>
      </c>
      <c r="AL76" s="2">
        <v>1303.29</v>
      </c>
      <c r="AM76" s="5">
        <v>3474.78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11675.26</v>
      </c>
      <c r="AT76" s="12">
        <v>10424.34</v>
      </c>
      <c r="AU76" s="2">
        <v>208.49</v>
      </c>
      <c r="AV76" s="5">
        <v>0</v>
      </c>
      <c r="AX76" s="2">
        <v>316191</v>
      </c>
      <c r="AY76" s="2">
        <v>72984</v>
      </c>
      <c r="AZ76" s="2">
        <v>5646.27</v>
      </c>
      <c r="BA76" s="2">
        <v>1303.29</v>
      </c>
      <c r="BB76" s="5">
        <v>3474.78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11675.26</v>
      </c>
      <c r="BI76" s="12">
        <v>10424.34</v>
      </c>
      <c r="BJ76" s="2">
        <v>208.49</v>
      </c>
      <c r="BL76" s="1" t="s">
        <v>130</v>
      </c>
    </row>
    <row r="77" spans="1:64" x14ac:dyDescent="0.3">
      <c r="A77" t="s">
        <v>692</v>
      </c>
      <c r="B77" s="1" t="s">
        <v>694</v>
      </c>
      <c r="C77" s="9" t="s">
        <v>695</v>
      </c>
      <c r="D77" s="1" t="s">
        <v>41</v>
      </c>
      <c r="E77" s="1" t="s">
        <v>128</v>
      </c>
      <c r="F77" s="10" t="s">
        <v>372</v>
      </c>
      <c r="G77" s="1">
        <v>3.5000000000000003E-2</v>
      </c>
      <c r="H77" s="1">
        <v>0.02</v>
      </c>
      <c r="I77" s="8">
        <v>44011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158079</v>
      </c>
      <c r="AJ77" s="2">
        <v>46473</v>
      </c>
      <c r="AK77" s="2">
        <v>2822.84</v>
      </c>
      <c r="AL77" s="2">
        <v>829.88</v>
      </c>
      <c r="AM77" s="5">
        <v>1826.36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6136.57</v>
      </c>
      <c r="AT77" s="12">
        <v>5479.08</v>
      </c>
      <c r="AU77" s="2">
        <v>109.58</v>
      </c>
      <c r="AV77" s="5">
        <v>0</v>
      </c>
      <c r="AX77" s="2">
        <v>158079</v>
      </c>
      <c r="AY77" s="2">
        <v>46473</v>
      </c>
      <c r="AZ77" s="2">
        <v>2822.84</v>
      </c>
      <c r="BA77" s="2">
        <v>829.88</v>
      </c>
      <c r="BB77" s="5">
        <v>1826.36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6136.57</v>
      </c>
      <c r="BI77" s="12">
        <v>5479.08</v>
      </c>
      <c r="BJ77" s="2">
        <v>109.58</v>
      </c>
      <c r="BL77" s="1" t="s">
        <v>130</v>
      </c>
    </row>
    <row r="78" spans="1:64" x14ac:dyDescent="0.3">
      <c r="A78" t="s">
        <v>692</v>
      </c>
      <c r="B78" s="1" t="s">
        <v>696</v>
      </c>
      <c r="C78" s="9" t="s">
        <v>697</v>
      </c>
      <c r="D78" s="1" t="s">
        <v>41</v>
      </c>
      <c r="E78" s="1" t="s">
        <v>128</v>
      </c>
      <c r="F78" s="10" t="s">
        <v>372</v>
      </c>
      <c r="G78" s="1">
        <v>0</v>
      </c>
      <c r="H78" s="1">
        <v>0.02</v>
      </c>
      <c r="I78" s="8">
        <v>44687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126980</v>
      </c>
      <c r="AJ78" s="2">
        <v>22780</v>
      </c>
      <c r="AK78" s="2">
        <v>2267.5</v>
      </c>
      <c r="AL78" s="2">
        <v>406.79</v>
      </c>
      <c r="AM78" s="5">
        <v>1337.14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4492.8</v>
      </c>
      <c r="AT78" s="12">
        <v>4011.4300000000003</v>
      </c>
      <c r="AU78" s="2">
        <v>80.23</v>
      </c>
      <c r="AV78" s="5">
        <v>0</v>
      </c>
      <c r="AX78" s="2">
        <v>126980</v>
      </c>
      <c r="AY78" s="2">
        <v>22780</v>
      </c>
      <c r="AZ78" s="2">
        <v>2267.5</v>
      </c>
      <c r="BA78" s="2">
        <v>406.79</v>
      </c>
      <c r="BB78" s="5">
        <v>1337.14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4492.8</v>
      </c>
      <c r="BI78" s="12">
        <v>4011.4300000000003</v>
      </c>
      <c r="BJ78" s="2">
        <v>80.23</v>
      </c>
      <c r="BL78" s="1" t="s">
        <v>130</v>
      </c>
    </row>
    <row r="79" spans="1:64" x14ac:dyDescent="0.3">
      <c r="A79" t="s">
        <v>692</v>
      </c>
      <c r="B79" s="1" t="s">
        <v>698</v>
      </c>
      <c r="C79" s="9" t="s">
        <v>699</v>
      </c>
      <c r="D79" s="1" t="s">
        <v>41</v>
      </c>
      <c r="E79" s="1" t="s">
        <v>128</v>
      </c>
      <c r="F79" s="10" t="s">
        <v>372</v>
      </c>
      <c r="G79" s="1">
        <v>0</v>
      </c>
      <c r="H79" s="1">
        <v>0.02</v>
      </c>
      <c r="I79" s="8">
        <v>44713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201394</v>
      </c>
      <c r="AJ79" s="2">
        <v>5744</v>
      </c>
      <c r="AK79" s="2">
        <v>3596.32</v>
      </c>
      <c r="AL79" s="2">
        <v>102.57</v>
      </c>
      <c r="AM79" s="5">
        <v>1849.45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6214.14</v>
      </c>
      <c r="AT79" s="12">
        <v>5548.34</v>
      </c>
      <c r="AU79" s="2">
        <v>110.97</v>
      </c>
      <c r="AV79" s="5">
        <v>0</v>
      </c>
      <c r="AX79" s="2">
        <v>201394</v>
      </c>
      <c r="AY79" s="2">
        <v>5744</v>
      </c>
      <c r="AZ79" s="2">
        <v>3596.32</v>
      </c>
      <c r="BA79" s="2">
        <v>102.57</v>
      </c>
      <c r="BB79" s="5">
        <v>1849.45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6214.14</v>
      </c>
      <c r="BI79" s="12">
        <v>5548.34</v>
      </c>
      <c r="BJ79" s="2">
        <v>110.97</v>
      </c>
      <c r="BL79" s="1" t="s">
        <v>130</v>
      </c>
    </row>
    <row r="80" spans="1:64" x14ac:dyDescent="0.3">
      <c r="A80" t="s">
        <v>692</v>
      </c>
      <c r="B80" s="1" t="s">
        <v>700</v>
      </c>
      <c r="C80" s="9" t="s">
        <v>701</v>
      </c>
      <c r="D80" s="1" t="s">
        <v>41</v>
      </c>
      <c r="E80" s="1" t="s">
        <v>128</v>
      </c>
      <c r="F80" s="10" t="s">
        <v>372</v>
      </c>
      <c r="G80" s="1">
        <v>0</v>
      </c>
      <c r="H80" s="1">
        <v>0.02</v>
      </c>
      <c r="I80" s="8">
        <v>45294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100134</v>
      </c>
      <c r="AJ80" s="2">
        <v>13256</v>
      </c>
      <c r="AK80" s="2">
        <v>1788.11</v>
      </c>
      <c r="AL80" s="2">
        <v>236.71</v>
      </c>
      <c r="AM80" s="5">
        <v>1012.41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3401.7</v>
      </c>
      <c r="AT80" s="12">
        <v>3037.23</v>
      </c>
      <c r="AU80" s="2">
        <v>60.74</v>
      </c>
      <c r="AV80" s="5">
        <v>0</v>
      </c>
      <c r="AX80" s="2">
        <v>100134</v>
      </c>
      <c r="AY80" s="2">
        <v>13256</v>
      </c>
      <c r="AZ80" s="2">
        <v>1788.11</v>
      </c>
      <c r="BA80" s="2">
        <v>236.71</v>
      </c>
      <c r="BB80" s="5">
        <v>1012.41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3401.7</v>
      </c>
      <c r="BI80" s="12">
        <v>3037.23</v>
      </c>
      <c r="BJ80" s="2">
        <v>60.74</v>
      </c>
      <c r="BL80" s="1" t="s">
        <v>130</v>
      </c>
    </row>
    <row r="81" spans="1:64" x14ac:dyDescent="0.3">
      <c r="A81" t="s">
        <v>781</v>
      </c>
      <c r="B81" s="1" t="s">
        <v>781</v>
      </c>
      <c r="C81" s="9" t="s">
        <v>782</v>
      </c>
      <c r="D81" s="1" t="s">
        <v>41</v>
      </c>
      <c r="E81" s="1" t="s">
        <v>88</v>
      </c>
      <c r="F81" s="10" t="s">
        <v>664</v>
      </c>
      <c r="G81" s="1">
        <v>0</v>
      </c>
      <c r="H81" s="1">
        <v>0.02</v>
      </c>
      <c r="I81" s="8">
        <v>44647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294429</v>
      </c>
      <c r="AJ81" s="2">
        <v>49265</v>
      </c>
      <c r="AK81" s="2">
        <v>5257.66</v>
      </c>
      <c r="AL81" s="2">
        <v>879.73</v>
      </c>
      <c r="AM81" s="5">
        <v>3068.7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10310.82</v>
      </c>
      <c r="AT81" s="12">
        <v>9206.09</v>
      </c>
      <c r="AU81" s="2">
        <v>184.12</v>
      </c>
      <c r="AV81" s="5">
        <v>0</v>
      </c>
      <c r="AX81" s="2">
        <v>294429</v>
      </c>
      <c r="AY81" s="2">
        <v>49265</v>
      </c>
      <c r="AZ81" s="2">
        <v>5257.66</v>
      </c>
      <c r="BA81" s="2">
        <v>879.73</v>
      </c>
      <c r="BB81" s="5">
        <v>3068.7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10310.82</v>
      </c>
      <c r="BI81" s="12">
        <v>9206.09</v>
      </c>
      <c r="BJ81" s="2">
        <v>184.12</v>
      </c>
      <c r="BL81" s="1" t="s">
        <v>546</v>
      </c>
    </row>
    <row r="82" spans="1:64" x14ac:dyDescent="0.3">
      <c r="A82" t="s">
        <v>781</v>
      </c>
      <c r="B82" s="1" t="s">
        <v>783</v>
      </c>
      <c r="C82" s="9" t="s">
        <v>784</v>
      </c>
      <c r="D82" s="1" t="s">
        <v>41</v>
      </c>
      <c r="E82" s="1" t="s">
        <v>88</v>
      </c>
      <c r="F82" s="10" t="s">
        <v>664</v>
      </c>
      <c r="G82" s="1">
        <v>0</v>
      </c>
      <c r="H82" s="1">
        <v>0.02</v>
      </c>
      <c r="I82" s="8">
        <v>44647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168918</v>
      </c>
      <c r="AJ82" s="2">
        <v>44722</v>
      </c>
      <c r="AK82" s="2">
        <v>3016.39</v>
      </c>
      <c r="AL82" s="2">
        <v>798.61</v>
      </c>
      <c r="AM82" s="5">
        <v>1907.5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6409.2</v>
      </c>
      <c r="AT82" s="12">
        <v>5722.5</v>
      </c>
      <c r="AU82" s="2">
        <v>114.45</v>
      </c>
      <c r="AV82" s="5">
        <v>0</v>
      </c>
      <c r="AX82" s="2">
        <v>168918</v>
      </c>
      <c r="AY82" s="2">
        <v>44722</v>
      </c>
      <c r="AZ82" s="2">
        <v>3016.39</v>
      </c>
      <c r="BA82" s="2">
        <v>798.61</v>
      </c>
      <c r="BB82" s="5">
        <v>1907.5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6409.2</v>
      </c>
      <c r="BI82" s="12">
        <v>5722.5</v>
      </c>
      <c r="BJ82" s="2">
        <v>114.45</v>
      </c>
      <c r="BL82" s="1" t="s">
        <v>546</v>
      </c>
    </row>
    <row r="83" spans="1:64" x14ac:dyDescent="0.3">
      <c r="A83" t="s">
        <v>795</v>
      </c>
      <c r="B83" s="1" t="s">
        <v>795</v>
      </c>
      <c r="C83" s="9" t="s">
        <v>796</v>
      </c>
      <c r="D83" s="1" t="s">
        <v>41</v>
      </c>
      <c r="E83" s="1" t="s">
        <v>135</v>
      </c>
      <c r="F83" s="10" t="s">
        <v>797</v>
      </c>
      <c r="G83" s="1">
        <v>0</v>
      </c>
      <c r="H83" s="1">
        <v>0.02</v>
      </c>
      <c r="I83" s="8">
        <v>44804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171746</v>
      </c>
      <c r="AJ83" s="2">
        <v>35320</v>
      </c>
      <c r="AK83" s="2">
        <v>3066.89</v>
      </c>
      <c r="AL83" s="2">
        <v>630.71</v>
      </c>
      <c r="AM83" s="5">
        <v>1848.8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6211.97</v>
      </c>
      <c r="AT83" s="12">
        <v>5546.4</v>
      </c>
      <c r="AU83" s="2">
        <v>110.93</v>
      </c>
      <c r="AV83" s="5">
        <v>0</v>
      </c>
      <c r="AX83" s="2">
        <v>171746</v>
      </c>
      <c r="AY83" s="2">
        <v>35320</v>
      </c>
      <c r="AZ83" s="2">
        <v>3066.89</v>
      </c>
      <c r="BA83" s="2">
        <v>630.71</v>
      </c>
      <c r="BB83" s="5">
        <v>1848.8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6211.97</v>
      </c>
      <c r="BI83" s="12">
        <v>5546.4</v>
      </c>
      <c r="BJ83" s="2">
        <v>110.93</v>
      </c>
      <c r="BL83" s="1" t="s">
        <v>302</v>
      </c>
    </row>
    <row r="84" spans="1:64" x14ac:dyDescent="0.3">
      <c r="A84" t="s">
        <v>795</v>
      </c>
      <c r="B84" s="1" t="s">
        <v>798</v>
      </c>
      <c r="C84" s="9" t="s">
        <v>799</v>
      </c>
      <c r="D84" s="1" t="s">
        <v>41</v>
      </c>
      <c r="E84" s="1" t="s">
        <v>135</v>
      </c>
      <c r="F84" s="10" t="s">
        <v>797</v>
      </c>
      <c r="G84" s="1">
        <v>0</v>
      </c>
      <c r="H84" s="1">
        <v>0.02</v>
      </c>
      <c r="I84" s="8">
        <v>45565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105676</v>
      </c>
      <c r="AJ84" s="2">
        <v>33446</v>
      </c>
      <c r="AK84" s="2">
        <v>1887.07</v>
      </c>
      <c r="AL84" s="2">
        <v>597.25</v>
      </c>
      <c r="AM84" s="5">
        <v>1242.1600000000001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4173.66</v>
      </c>
      <c r="AT84" s="12">
        <v>3726.4799999999996</v>
      </c>
      <c r="AU84" s="2">
        <v>74.53</v>
      </c>
      <c r="AV84" s="5">
        <v>0</v>
      </c>
      <c r="AX84" s="2">
        <v>105676</v>
      </c>
      <c r="AY84" s="2">
        <v>33446</v>
      </c>
      <c r="AZ84" s="2">
        <v>1887.07</v>
      </c>
      <c r="BA84" s="2">
        <v>597.25</v>
      </c>
      <c r="BB84" s="5">
        <v>1242.1600000000001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4173.66</v>
      </c>
      <c r="BI84" s="12">
        <v>3726.4799999999996</v>
      </c>
      <c r="BJ84" s="2">
        <v>74.53</v>
      </c>
      <c r="BL84" s="1" t="s">
        <v>302</v>
      </c>
    </row>
    <row r="85" spans="1:64" x14ac:dyDescent="0.3">
      <c r="A85" t="s">
        <v>816</v>
      </c>
      <c r="B85" s="1" t="s">
        <v>816</v>
      </c>
      <c r="C85" s="9" t="s">
        <v>817</v>
      </c>
      <c r="D85" s="1" t="s">
        <v>41</v>
      </c>
      <c r="E85" s="1" t="s">
        <v>135</v>
      </c>
      <c r="F85" s="10" t="s">
        <v>797</v>
      </c>
      <c r="G85" s="1">
        <v>0</v>
      </c>
      <c r="H85" s="1">
        <v>0.02</v>
      </c>
      <c r="I85" s="8">
        <v>44951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686588</v>
      </c>
      <c r="AJ85" s="2">
        <v>101130</v>
      </c>
      <c r="AK85" s="2">
        <v>12260.5</v>
      </c>
      <c r="AL85" s="2">
        <v>1805.89</v>
      </c>
      <c r="AM85" s="5">
        <v>7033.2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23631.54</v>
      </c>
      <c r="AT85" s="12">
        <v>21099.59</v>
      </c>
      <c r="AU85" s="2">
        <v>421.99</v>
      </c>
      <c r="AV85" s="5">
        <v>0</v>
      </c>
      <c r="AX85" s="2">
        <v>686588</v>
      </c>
      <c r="AY85" s="2">
        <v>101130</v>
      </c>
      <c r="AZ85" s="2">
        <v>12260.5</v>
      </c>
      <c r="BA85" s="2">
        <v>1805.89</v>
      </c>
      <c r="BB85" s="5">
        <v>7033.2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23631.54</v>
      </c>
      <c r="BI85" s="12">
        <v>21099.59</v>
      </c>
      <c r="BJ85" s="2">
        <v>421.99</v>
      </c>
      <c r="BL85" s="1" t="s">
        <v>302</v>
      </c>
    </row>
    <row r="86" spans="1:64" x14ac:dyDescent="0.3">
      <c r="A86" t="s">
        <v>816</v>
      </c>
      <c r="B86" s="1" t="s">
        <v>818</v>
      </c>
      <c r="C86" s="9" t="s">
        <v>819</v>
      </c>
      <c r="D86" s="1" t="s">
        <v>41</v>
      </c>
      <c r="E86" s="1" t="s">
        <v>135</v>
      </c>
      <c r="F86" s="10" t="s">
        <v>797</v>
      </c>
      <c r="G86" s="1">
        <v>0</v>
      </c>
      <c r="H86" s="1">
        <v>0.02</v>
      </c>
      <c r="I86" s="8">
        <v>44951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258665</v>
      </c>
      <c r="AJ86" s="2">
        <v>50847</v>
      </c>
      <c r="AK86" s="2">
        <v>4619.0200000000004</v>
      </c>
      <c r="AL86" s="2">
        <v>907.98</v>
      </c>
      <c r="AM86" s="5">
        <v>2763.5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9285.36</v>
      </c>
      <c r="AT86" s="12">
        <v>8290.5</v>
      </c>
      <c r="AU86" s="2">
        <v>165.81</v>
      </c>
      <c r="AV86" s="5">
        <v>0</v>
      </c>
      <c r="AX86" s="2">
        <v>258665</v>
      </c>
      <c r="AY86" s="2">
        <v>50847</v>
      </c>
      <c r="AZ86" s="2">
        <v>4619.0200000000004</v>
      </c>
      <c r="BA86" s="2">
        <v>907.98</v>
      </c>
      <c r="BB86" s="5">
        <v>2763.5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9285.36</v>
      </c>
      <c r="BI86" s="12">
        <v>8290.5</v>
      </c>
      <c r="BJ86" s="2">
        <v>165.81</v>
      </c>
      <c r="BL86" s="1" t="s">
        <v>302</v>
      </c>
    </row>
    <row r="87" spans="1:64" x14ac:dyDescent="0.3">
      <c r="A87" t="s">
        <v>824</v>
      </c>
      <c r="B87" s="1" t="s">
        <v>824</v>
      </c>
      <c r="C87" s="9" t="s">
        <v>825</v>
      </c>
      <c r="D87" s="1" t="s">
        <v>41</v>
      </c>
      <c r="E87" s="1" t="s">
        <v>135</v>
      </c>
      <c r="F87" s="10" t="s">
        <v>826</v>
      </c>
      <c r="G87" s="1">
        <v>0</v>
      </c>
      <c r="H87" s="1">
        <v>0.02</v>
      </c>
      <c r="I87" s="8">
        <v>45075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494825</v>
      </c>
      <c r="AJ87" s="2">
        <v>62442</v>
      </c>
      <c r="AK87" s="2">
        <v>8836.16</v>
      </c>
      <c r="AL87" s="2">
        <v>1115.04</v>
      </c>
      <c r="AM87" s="5">
        <v>4975.6000000000004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16718.02</v>
      </c>
      <c r="AT87" s="12">
        <v>14926.800000000001</v>
      </c>
      <c r="AU87" s="2">
        <v>298.54000000000002</v>
      </c>
      <c r="AV87" s="5">
        <v>0</v>
      </c>
      <c r="AX87" s="2">
        <v>494825</v>
      </c>
      <c r="AY87" s="2">
        <v>62442</v>
      </c>
      <c r="AZ87" s="2">
        <v>8836.16</v>
      </c>
      <c r="BA87" s="2">
        <v>1115.04</v>
      </c>
      <c r="BB87" s="5">
        <v>4975.6000000000004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16718.02</v>
      </c>
      <c r="BI87" s="12">
        <v>14926.800000000001</v>
      </c>
      <c r="BJ87" s="2">
        <v>298.54000000000002</v>
      </c>
      <c r="BL87" s="1" t="s">
        <v>302</v>
      </c>
    </row>
    <row r="88" spans="1:64" x14ac:dyDescent="0.3">
      <c r="A88" t="s">
        <v>886</v>
      </c>
      <c r="B88" s="1" t="s">
        <v>886</v>
      </c>
      <c r="C88" s="9" t="s">
        <v>887</v>
      </c>
      <c r="D88" s="1" t="s">
        <v>41</v>
      </c>
      <c r="E88" s="1" t="s">
        <v>135</v>
      </c>
      <c r="F88" s="10" t="s">
        <v>797</v>
      </c>
      <c r="G88" s="1">
        <v>0</v>
      </c>
      <c r="H88" s="1">
        <v>0.02</v>
      </c>
      <c r="I88" s="8">
        <v>45278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665171</v>
      </c>
      <c r="AJ88" s="2">
        <v>126960</v>
      </c>
      <c r="AK88" s="2">
        <v>11878.05</v>
      </c>
      <c r="AL88" s="2">
        <v>2267.14</v>
      </c>
      <c r="AM88" s="5">
        <v>7072.6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23763.919999999998</v>
      </c>
      <c r="AT88" s="12">
        <v>21217.79</v>
      </c>
      <c r="AU88" s="2">
        <v>424.36</v>
      </c>
      <c r="AV88" s="5">
        <v>0</v>
      </c>
      <c r="AX88" s="2">
        <v>665171</v>
      </c>
      <c r="AY88" s="2">
        <v>126960</v>
      </c>
      <c r="AZ88" s="2">
        <v>11878.05</v>
      </c>
      <c r="BA88" s="2">
        <v>2267.14</v>
      </c>
      <c r="BB88" s="5">
        <v>7072.6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23763.919999999998</v>
      </c>
      <c r="BI88" s="12">
        <v>21217.79</v>
      </c>
      <c r="BJ88" s="2">
        <v>424.36</v>
      </c>
      <c r="BL88" s="1" t="s">
        <v>302</v>
      </c>
    </row>
    <row r="89" spans="1:64" x14ac:dyDescent="0.3">
      <c r="A89" t="s">
        <v>898</v>
      </c>
      <c r="B89" s="1" t="s">
        <v>898</v>
      </c>
      <c r="C89" s="9" t="s">
        <v>899</v>
      </c>
      <c r="D89" s="1" t="s">
        <v>41</v>
      </c>
      <c r="E89" s="1" t="s">
        <v>88</v>
      </c>
      <c r="F89" s="10" t="s">
        <v>664</v>
      </c>
      <c r="G89" s="1">
        <v>0</v>
      </c>
      <c r="H89" s="1">
        <v>0.02</v>
      </c>
      <c r="I89" s="8">
        <v>45518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170118.48</v>
      </c>
      <c r="AJ89" s="2">
        <v>24953</v>
      </c>
      <c r="AK89" s="2">
        <v>3037.83</v>
      </c>
      <c r="AL89" s="2">
        <v>445.59</v>
      </c>
      <c r="AM89" s="5">
        <v>1741.71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5852.15</v>
      </c>
      <c r="AT89" s="12">
        <v>5225.13</v>
      </c>
      <c r="AU89" s="2">
        <v>104.5</v>
      </c>
      <c r="AV89" s="5">
        <v>0</v>
      </c>
      <c r="AX89" s="2">
        <v>170118.48</v>
      </c>
      <c r="AY89" s="2">
        <v>24953</v>
      </c>
      <c r="AZ89" s="2">
        <v>3037.83</v>
      </c>
      <c r="BA89" s="2">
        <v>445.59</v>
      </c>
      <c r="BB89" s="5">
        <v>1741.71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5852.15</v>
      </c>
      <c r="BI89" s="12">
        <v>5225.13</v>
      </c>
      <c r="BJ89" s="2">
        <v>104.5</v>
      </c>
      <c r="BL89" s="1" t="s">
        <v>546</v>
      </c>
    </row>
    <row r="90" spans="1:64" x14ac:dyDescent="0.3">
      <c r="A90" t="s">
        <v>898</v>
      </c>
      <c r="B90" s="1" t="s">
        <v>900</v>
      </c>
      <c r="C90" s="9" t="s">
        <v>901</v>
      </c>
      <c r="D90" s="1" t="s">
        <v>41</v>
      </c>
      <c r="E90" s="1" t="s">
        <v>88</v>
      </c>
      <c r="F90" s="10" t="s">
        <v>664</v>
      </c>
      <c r="G90" s="1">
        <v>0</v>
      </c>
      <c r="H90" s="1">
        <v>0.02</v>
      </c>
      <c r="I90" s="8">
        <v>44886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385235</v>
      </c>
      <c r="AJ90" s="2">
        <v>259712</v>
      </c>
      <c r="AK90" s="2">
        <v>6879.2</v>
      </c>
      <c r="AL90" s="2">
        <v>4637.71</v>
      </c>
      <c r="AM90" s="5">
        <v>5758.46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19348.41</v>
      </c>
      <c r="AT90" s="12">
        <v>17275.37</v>
      </c>
      <c r="AU90" s="2">
        <v>345.51</v>
      </c>
      <c r="AV90" s="5">
        <v>0</v>
      </c>
      <c r="AX90" s="2">
        <v>385235</v>
      </c>
      <c r="AY90" s="2">
        <v>259712</v>
      </c>
      <c r="AZ90" s="2">
        <v>6879.2</v>
      </c>
      <c r="BA90" s="2">
        <v>4637.71</v>
      </c>
      <c r="BB90" s="5">
        <v>5758.46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19348.41</v>
      </c>
      <c r="BI90" s="12">
        <v>17275.37</v>
      </c>
      <c r="BJ90" s="2">
        <v>345.51</v>
      </c>
      <c r="BL90" s="1" t="s">
        <v>546</v>
      </c>
    </row>
    <row r="91" spans="1:64" x14ac:dyDescent="0.3">
      <c r="A91" t="s">
        <v>898</v>
      </c>
      <c r="B91" s="1" t="s">
        <v>902</v>
      </c>
      <c r="C91" s="9" t="s">
        <v>903</v>
      </c>
      <c r="D91" s="1" t="s">
        <v>41</v>
      </c>
      <c r="E91" s="1" t="s">
        <v>88</v>
      </c>
      <c r="F91" s="10" t="s">
        <v>664</v>
      </c>
      <c r="G91" s="1">
        <v>0</v>
      </c>
      <c r="H91" s="1">
        <v>0.02</v>
      </c>
      <c r="I91" s="8">
        <v>45122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113404</v>
      </c>
      <c r="AJ91" s="2">
        <v>0</v>
      </c>
      <c r="AK91" s="2">
        <v>2025.07</v>
      </c>
      <c r="AL91" s="2">
        <v>0</v>
      </c>
      <c r="AM91" s="5">
        <v>1012.54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3402.12</v>
      </c>
      <c r="AT91" s="12">
        <v>3037.6099999999997</v>
      </c>
      <c r="AU91" s="2">
        <v>60.75</v>
      </c>
      <c r="AV91" s="5">
        <v>0</v>
      </c>
      <c r="AX91" s="2">
        <v>113404</v>
      </c>
      <c r="AY91" s="2">
        <v>0</v>
      </c>
      <c r="AZ91" s="2">
        <v>2025.07</v>
      </c>
      <c r="BA91" s="2">
        <v>0</v>
      </c>
      <c r="BB91" s="5">
        <v>1012.54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3402.12</v>
      </c>
      <c r="BI91" s="12">
        <v>3037.6099999999997</v>
      </c>
      <c r="BJ91" s="2">
        <v>60.75</v>
      </c>
      <c r="BL91" s="1" t="s">
        <v>546</v>
      </c>
    </row>
    <row r="92" spans="1:64" x14ac:dyDescent="0.3">
      <c r="A92" t="s">
        <v>908</v>
      </c>
      <c r="B92" s="1" t="s">
        <v>908</v>
      </c>
      <c r="C92" s="9" t="s">
        <v>909</v>
      </c>
      <c r="D92" s="1" t="s">
        <v>41</v>
      </c>
      <c r="E92" s="1" t="s">
        <v>88</v>
      </c>
      <c r="F92" s="10" t="s">
        <v>664</v>
      </c>
      <c r="G92" s="1">
        <v>0</v>
      </c>
      <c r="H92" s="1">
        <v>0.02</v>
      </c>
      <c r="I92" s="8">
        <v>45595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0</v>
      </c>
      <c r="AJ92" s="2">
        <v>0</v>
      </c>
      <c r="AK92" s="2">
        <v>0</v>
      </c>
      <c r="AL92" s="2">
        <v>0</v>
      </c>
      <c r="AM92" s="5">
        <v>0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0</v>
      </c>
      <c r="AT92" s="12">
        <v>0</v>
      </c>
      <c r="AU92" s="2">
        <v>0</v>
      </c>
      <c r="AV92" s="5">
        <v>0</v>
      </c>
      <c r="AX92" s="2">
        <v>0</v>
      </c>
      <c r="AY92" s="2">
        <v>0</v>
      </c>
      <c r="AZ92" s="2">
        <v>0</v>
      </c>
      <c r="BA92" s="2">
        <v>0</v>
      </c>
      <c r="BB92" s="5">
        <v>0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0</v>
      </c>
      <c r="BI92" s="12">
        <v>0</v>
      </c>
      <c r="BJ92" s="2">
        <v>0</v>
      </c>
      <c r="BL92" s="1" t="s">
        <v>546</v>
      </c>
    </row>
    <row r="93" spans="1:64" x14ac:dyDescent="0.3">
      <c r="A93" t="s">
        <v>938</v>
      </c>
      <c r="B93" s="1" t="s">
        <v>938</v>
      </c>
      <c r="C93" s="9" t="s">
        <v>939</v>
      </c>
      <c r="D93" s="1" t="s">
        <v>41</v>
      </c>
      <c r="E93" s="1" t="s">
        <v>88</v>
      </c>
      <c r="F93" s="10" t="s">
        <v>671</v>
      </c>
      <c r="G93" s="1">
        <v>0</v>
      </c>
      <c r="H93" s="1">
        <v>0.02</v>
      </c>
      <c r="I93" s="8">
        <v>45630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138408</v>
      </c>
      <c r="AJ93" s="2">
        <v>33965</v>
      </c>
      <c r="AK93" s="2">
        <v>2471.5700000000002</v>
      </c>
      <c r="AL93" s="2">
        <v>606.52</v>
      </c>
      <c r="AM93" s="5">
        <v>1539.04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5171.1899999999996</v>
      </c>
      <c r="AT93" s="12">
        <v>4617.13</v>
      </c>
      <c r="AU93" s="2">
        <v>92.34</v>
      </c>
      <c r="AV93" s="5">
        <v>0</v>
      </c>
      <c r="AX93" s="2">
        <v>138408</v>
      </c>
      <c r="AY93" s="2">
        <v>33965</v>
      </c>
      <c r="AZ93" s="2">
        <v>2471.5700000000002</v>
      </c>
      <c r="BA93" s="2">
        <v>606.52</v>
      </c>
      <c r="BB93" s="5">
        <v>1539.04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5171.1899999999996</v>
      </c>
      <c r="BI93" s="12">
        <v>4617.13</v>
      </c>
      <c r="BJ93" s="2">
        <v>92.34</v>
      </c>
      <c r="BL93" s="1" t="s">
        <v>90</v>
      </c>
    </row>
    <row r="94" spans="1:64" x14ac:dyDescent="0.3">
      <c r="A94" t="s">
        <v>938</v>
      </c>
      <c r="B94" s="1" t="s">
        <v>940</v>
      </c>
      <c r="C94" s="9" t="s">
        <v>941</v>
      </c>
      <c r="D94" s="1" t="s">
        <v>41</v>
      </c>
      <c r="E94" s="1" t="s">
        <v>88</v>
      </c>
      <c r="F94" s="10" t="s">
        <v>671</v>
      </c>
      <c r="G94" s="1">
        <v>0</v>
      </c>
      <c r="H94" s="1">
        <v>0.02</v>
      </c>
      <c r="I94" s="8">
        <v>45283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55446</v>
      </c>
      <c r="AJ94" s="2">
        <v>11940</v>
      </c>
      <c r="AK94" s="2">
        <v>990.11</v>
      </c>
      <c r="AL94" s="2">
        <v>213.21</v>
      </c>
      <c r="AM94" s="5">
        <v>601.66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2021.58</v>
      </c>
      <c r="AT94" s="12">
        <v>1804.98</v>
      </c>
      <c r="AU94" s="2">
        <v>36.1</v>
      </c>
      <c r="AV94" s="5">
        <v>0</v>
      </c>
      <c r="AX94" s="2">
        <v>55446</v>
      </c>
      <c r="AY94" s="2">
        <v>11940</v>
      </c>
      <c r="AZ94" s="2">
        <v>990.11</v>
      </c>
      <c r="BA94" s="2">
        <v>213.21</v>
      </c>
      <c r="BB94" s="5">
        <v>601.66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2021.58</v>
      </c>
      <c r="BI94" s="12">
        <v>1804.98</v>
      </c>
      <c r="BJ94" s="2">
        <v>36.1</v>
      </c>
      <c r="BL94" s="1" t="s">
        <v>90</v>
      </c>
    </row>
    <row r="95" spans="1:64" x14ac:dyDescent="0.3">
      <c r="A95" t="s">
        <v>938</v>
      </c>
      <c r="B95" s="1" t="s">
        <v>942</v>
      </c>
      <c r="C95" s="9" t="s">
        <v>943</v>
      </c>
      <c r="D95" s="1" t="s">
        <v>41</v>
      </c>
      <c r="E95" s="1" t="s">
        <v>88</v>
      </c>
      <c r="F95" s="10" t="s">
        <v>671</v>
      </c>
      <c r="G95" s="1">
        <v>0</v>
      </c>
      <c r="H95" s="1">
        <v>0.02</v>
      </c>
      <c r="I95" s="8">
        <v>44977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63327</v>
      </c>
      <c r="AJ95" s="2">
        <v>17261</v>
      </c>
      <c r="AK95" s="2">
        <v>1130.8399999999999</v>
      </c>
      <c r="AL95" s="2">
        <v>308.23</v>
      </c>
      <c r="AM95" s="5">
        <v>719.54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2417.64</v>
      </c>
      <c r="AT95" s="12">
        <v>2158.6099999999997</v>
      </c>
      <c r="AU95" s="2">
        <v>43.17</v>
      </c>
      <c r="AV95" s="5">
        <v>0</v>
      </c>
      <c r="AX95" s="2">
        <v>63327</v>
      </c>
      <c r="AY95" s="2">
        <v>17261</v>
      </c>
      <c r="AZ95" s="2">
        <v>1130.8399999999999</v>
      </c>
      <c r="BA95" s="2">
        <v>308.23</v>
      </c>
      <c r="BB95" s="5">
        <v>719.54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2417.64</v>
      </c>
      <c r="BI95" s="12">
        <v>2158.6099999999997</v>
      </c>
      <c r="BJ95" s="2">
        <v>43.17</v>
      </c>
      <c r="BL95" s="1" t="s">
        <v>90</v>
      </c>
    </row>
    <row r="96" spans="1:64" x14ac:dyDescent="0.3">
      <c r="A96" t="s">
        <v>944</v>
      </c>
      <c r="B96" s="1" t="s">
        <v>945</v>
      </c>
      <c r="C96" s="9" t="s">
        <v>946</v>
      </c>
      <c r="D96" s="1" t="s">
        <v>41</v>
      </c>
      <c r="E96" s="1" t="s">
        <v>88</v>
      </c>
      <c r="F96" s="10" t="s">
        <v>664</v>
      </c>
      <c r="G96" s="1">
        <v>0</v>
      </c>
      <c r="H96" s="1">
        <v>0.02</v>
      </c>
      <c r="I96" s="8">
        <v>44985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21278</v>
      </c>
      <c r="AJ96" s="2">
        <v>19503</v>
      </c>
      <c r="AK96" s="2">
        <v>379.96</v>
      </c>
      <c r="AL96" s="2">
        <v>348.27</v>
      </c>
      <c r="AM96" s="5">
        <v>364.12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1223.43</v>
      </c>
      <c r="AT96" s="12">
        <v>1092.3499999999999</v>
      </c>
      <c r="AU96" s="2">
        <v>21.85</v>
      </c>
      <c r="AV96" s="5">
        <v>0</v>
      </c>
      <c r="AX96" s="2">
        <v>21278</v>
      </c>
      <c r="AY96" s="2">
        <v>19503</v>
      </c>
      <c r="AZ96" s="2">
        <v>379.96</v>
      </c>
      <c r="BA96" s="2">
        <v>348.27</v>
      </c>
      <c r="BB96" s="5">
        <v>364.12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1223.43</v>
      </c>
      <c r="BI96" s="12">
        <v>1092.3499999999999</v>
      </c>
      <c r="BJ96" s="2">
        <v>21.85</v>
      </c>
      <c r="BL96" s="1" t="s">
        <v>546</v>
      </c>
    </row>
    <row r="97" spans="1:64" x14ac:dyDescent="0.3">
      <c r="A97" t="s">
        <v>944</v>
      </c>
      <c r="B97" s="1" t="s">
        <v>944</v>
      </c>
      <c r="C97" s="9" t="s">
        <v>947</v>
      </c>
      <c r="D97" s="1" t="s">
        <v>41</v>
      </c>
      <c r="E97" s="1" t="s">
        <v>88</v>
      </c>
      <c r="F97" s="10" t="s">
        <v>664</v>
      </c>
      <c r="G97" s="1">
        <v>0</v>
      </c>
      <c r="H97" s="1">
        <v>0.02</v>
      </c>
      <c r="I97" s="8">
        <v>44260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267317</v>
      </c>
      <c r="AJ97" s="2">
        <v>22543</v>
      </c>
      <c r="AK97" s="2">
        <v>4773.5200000000004</v>
      </c>
      <c r="AL97" s="2">
        <v>402.55</v>
      </c>
      <c r="AM97" s="5">
        <v>2588.04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8695.7999999999993</v>
      </c>
      <c r="AT97" s="12">
        <v>7764.1100000000006</v>
      </c>
      <c r="AU97" s="2">
        <v>155.28</v>
      </c>
      <c r="AV97" s="5">
        <v>0</v>
      </c>
      <c r="AX97" s="2">
        <v>267317</v>
      </c>
      <c r="AY97" s="2">
        <v>22543</v>
      </c>
      <c r="AZ97" s="2">
        <v>4773.5200000000004</v>
      </c>
      <c r="BA97" s="2">
        <v>402.55</v>
      </c>
      <c r="BB97" s="5">
        <v>2588.04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8695.7999999999993</v>
      </c>
      <c r="BI97" s="12">
        <v>7764.1100000000006</v>
      </c>
      <c r="BJ97" s="2">
        <v>155.28</v>
      </c>
      <c r="BL97" s="1" t="s">
        <v>546</v>
      </c>
    </row>
    <row r="98" spans="1:64" x14ac:dyDescent="0.3">
      <c r="A98" t="s">
        <v>944</v>
      </c>
      <c r="B98" s="1" t="s">
        <v>948</v>
      </c>
      <c r="C98" s="9" t="s">
        <v>949</v>
      </c>
      <c r="D98" s="1" t="s">
        <v>41</v>
      </c>
      <c r="E98" s="1" t="s">
        <v>88</v>
      </c>
      <c r="F98" s="10" t="s">
        <v>664</v>
      </c>
      <c r="G98" s="1">
        <v>0</v>
      </c>
      <c r="H98" s="1">
        <v>0.02</v>
      </c>
      <c r="I98" s="8">
        <v>45348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134095</v>
      </c>
      <c r="AJ98" s="2">
        <v>22300</v>
      </c>
      <c r="AK98" s="2">
        <v>2394.5500000000002</v>
      </c>
      <c r="AL98" s="2">
        <v>398.21</v>
      </c>
      <c r="AM98" s="5">
        <v>1396.38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4691.84</v>
      </c>
      <c r="AT98" s="12">
        <v>4189.1400000000003</v>
      </c>
      <c r="AU98" s="2">
        <v>83.78</v>
      </c>
      <c r="AV98" s="5">
        <v>0</v>
      </c>
      <c r="AX98" s="2">
        <v>134095</v>
      </c>
      <c r="AY98" s="2">
        <v>22300</v>
      </c>
      <c r="AZ98" s="2">
        <v>2394.5500000000002</v>
      </c>
      <c r="BA98" s="2">
        <v>398.21</v>
      </c>
      <c r="BB98" s="5">
        <v>1396.38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4691.84</v>
      </c>
      <c r="BI98" s="12">
        <v>4189.1400000000003</v>
      </c>
      <c r="BJ98" s="2">
        <v>83.78</v>
      </c>
      <c r="BL98" s="1" t="s">
        <v>546</v>
      </c>
    </row>
    <row r="99" spans="1:64" x14ac:dyDescent="0.3">
      <c r="A99" t="s">
        <v>952</v>
      </c>
      <c r="B99" s="1" t="s">
        <v>953</v>
      </c>
      <c r="C99" s="9" t="s">
        <v>954</v>
      </c>
      <c r="D99" s="1" t="s">
        <v>41</v>
      </c>
      <c r="E99" s="1" t="s">
        <v>135</v>
      </c>
      <c r="F99" s="10" t="s">
        <v>826</v>
      </c>
      <c r="G99" s="1">
        <v>3.5000000000000003E-2</v>
      </c>
      <c r="H99" s="1">
        <v>0.02</v>
      </c>
      <c r="I99" s="8">
        <v>45105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247545</v>
      </c>
      <c r="AJ99" s="2">
        <v>75744</v>
      </c>
      <c r="AK99" s="2">
        <v>4420.45</v>
      </c>
      <c r="AL99" s="2">
        <v>1352.57</v>
      </c>
      <c r="AM99" s="5">
        <v>2886.51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9698.67</v>
      </c>
      <c r="AT99" s="12">
        <v>8659.5299999999988</v>
      </c>
      <c r="AU99" s="2">
        <v>173.19</v>
      </c>
      <c r="AV99" s="5">
        <v>0</v>
      </c>
      <c r="AX99" s="2">
        <v>247545</v>
      </c>
      <c r="AY99" s="2">
        <v>75744</v>
      </c>
      <c r="AZ99" s="2">
        <v>4420.45</v>
      </c>
      <c r="BA99" s="2">
        <v>1352.57</v>
      </c>
      <c r="BB99" s="5">
        <v>2886.51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9698.67</v>
      </c>
      <c r="BI99" s="12">
        <v>8659.5299999999988</v>
      </c>
      <c r="BJ99" s="2">
        <v>173.19</v>
      </c>
      <c r="BL99" s="1" t="s">
        <v>302</v>
      </c>
    </row>
    <row r="100" spans="1:64" x14ac:dyDescent="0.3">
      <c r="A100" t="s">
        <v>952</v>
      </c>
      <c r="B100" s="1" t="s">
        <v>952</v>
      </c>
      <c r="C100" s="9" t="s">
        <v>955</v>
      </c>
      <c r="D100" s="1" t="s">
        <v>41</v>
      </c>
      <c r="E100" s="1" t="s">
        <v>135</v>
      </c>
      <c r="F100" s="10" t="s">
        <v>826</v>
      </c>
      <c r="G100" s="1">
        <v>0</v>
      </c>
      <c r="H100" s="1">
        <v>0.02</v>
      </c>
      <c r="I100" s="8">
        <v>45629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233585</v>
      </c>
      <c r="AJ100" s="2">
        <v>60755</v>
      </c>
      <c r="AK100" s="2">
        <v>4171.16</v>
      </c>
      <c r="AL100" s="2">
        <v>1084.9100000000001</v>
      </c>
      <c r="AM100" s="5">
        <v>2628.04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8830.2000000000007</v>
      </c>
      <c r="AT100" s="12">
        <v>7884.11</v>
      </c>
      <c r="AU100" s="2">
        <v>157.68</v>
      </c>
      <c r="AV100" s="5">
        <v>0</v>
      </c>
      <c r="AX100" s="2">
        <v>233585</v>
      </c>
      <c r="AY100" s="2">
        <v>60755</v>
      </c>
      <c r="AZ100" s="2">
        <v>4171.16</v>
      </c>
      <c r="BA100" s="2">
        <v>1084.9100000000001</v>
      </c>
      <c r="BB100" s="5">
        <v>2628.04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8830.2000000000007</v>
      </c>
      <c r="BI100" s="12">
        <v>7884.11</v>
      </c>
      <c r="BJ100" s="2">
        <v>157.68</v>
      </c>
      <c r="BL100" s="1" t="s">
        <v>302</v>
      </c>
    </row>
    <row r="101" spans="1:64" x14ac:dyDescent="0.3">
      <c r="A101" t="s">
        <v>966</v>
      </c>
      <c r="B101" s="1" t="s">
        <v>966</v>
      </c>
      <c r="C101" s="9" t="s">
        <v>967</v>
      </c>
      <c r="D101" s="1" t="s">
        <v>41</v>
      </c>
      <c r="E101" s="1" t="s">
        <v>128</v>
      </c>
      <c r="F101" s="10" t="s">
        <v>331</v>
      </c>
      <c r="G101" s="1">
        <v>0</v>
      </c>
      <c r="H101" s="1">
        <v>0.02</v>
      </c>
      <c r="I101" s="8">
        <v>45716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278755</v>
      </c>
      <c r="AJ101" s="2">
        <v>20178</v>
      </c>
      <c r="AK101" s="2">
        <v>4977.7700000000004</v>
      </c>
      <c r="AL101" s="2">
        <v>360.32</v>
      </c>
      <c r="AM101" s="5">
        <v>2669.04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8967.99</v>
      </c>
      <c r="AT101" s="12">
        <v>8007.13</v>
      </c>
      <c r="AU101" s="2">
        <v>160.13999999999999</v>
      </c>
      <c r="AV101" s="5">
        <v>0</v>
      </c>
      <c r="AX101" s="2">
        <v>278755</v>
      </c>
      <c r="AY101" s="2">
        <v>20178</v>
      </c>
      <c r="AZ101" s="2">
        <v>4977.7700000000004</v>
      </c>
      <c r="BA101" s="2">
        <v>360.32</v>
      </c>
      <c r="BB101" s="5">
        <v>2669.04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8967.99</v>
      </c>
      <c r="BI101" s="12">
        <v>8007.13</v>
      </c>
      <c r="BJ101" s="2">
        <v>160.13999999999999</v>
      </c>
      <c r="BL101" s="1" t="s">
        <v>130</v>
      </c>
    </row>
    <row r="102" spans="1:64" x14ac:dyDescent="0.3">
      <c r="A102" t="s">
        <v>966</v>
      </c>
      <c r="B102" s="1" t="s">
        <v>968</v>
      </c>
      <c r="C102" s="9" t="s">
        <v>969</v>
      </c>
      <c r="D102" s="1" t="s">
        <v>41</v>
      </c>
      <c r="E102" s="1" t="s">
        <v>128</v>
      </c>
      <c r="F102" s="10" t="s">
        <v>331</v>
      </c>
      <c r="G102" s="1">
        <v>0</v>
      </c>
      <c r="H102" s="1">
        <v>0.02</v>
      </c>
      <c r="I102" s="8">
        <v>45716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371204</v>
      </c>
      <c r="AJ102" s="2">
        <v>6840</v>
      </c>
      <c r="AK102" s="2">
        <v>6628.64</v>
      </c>
      <c r="AL102" s="2">
        <v>122.14</v>
      </c>
      <c r="AM102" s="5">
        <v>3375.39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11341.31</v>
      </c>
      <c r="AT102" s="12">
        <v>10126.17</v>
      </c>
      <c r="AU102" s="2">
        <v>202.52</v>
      </c>
      <c r="AV102" s="5">
        <v>0</v>
      </c>
      <c r="AX102" s="2">
        <v>371204</v>
      </c>
      <c r="AY102" s="2">
        <v>6840</v>
      </c>
      <c r="AZ102" s="2">
        <v>6628.64</v>
      </c>
      <c r="BA102" s="2">
        <v>122.14</v>
      </c>
      <c r="BB102" s="5">
        <v>3375.39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11341.31</v>
      </c>
      <c r="BI102" s="12">
        <v>10126.17</v>
      </c>
      <c r="BJ102" s="2">
        <v>202.52</v>
      </c>
      <c r="BL102" s="1" t="s">
        <v>130</v>
      </c>
    </row>
    <row r="103" spans="1:64" x14ac:dyDescent="0.3">
      <c r="A103" t="s">
        <v>1021</v>
      </c>
      <c r="B103" s="1" t="s">
        <v>1021</v>
      </c>
      <c r="C103" s="9" t="s">
        <v>1022</v>
      </c>
      <c r="D103" s="1" t="s">
        <v>41</v>
      </c>
      <c r="E103" s="1" t="s">
        <v>128</v>
      </c>
      <c r="F103" s="10" t="s">
        <v>372</v>
      </c>
      <c r="G103" s="1">
        <v>0</v>
      </c>
      <c r="H103" s="1">
        <v>0.02</v>
      </c>
      <c r="I103" s="8">
        <v>44462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703580.85000000009</v>
      </c>
      <c r="AJ103" s="2">
        <v>41922.1</v>
      </c>
      <c r="AK103" s="2">
        <v>12563.95</v>
      </c>
      <c r="AL103" s="2">
        <v>748.61</v>
      </c>
      <c r="AM103" s="5">
        <v>6656.28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22365.1</v>
      </c>
      <c r="AT103" s="12">
        <v>19968.84</v>
      </c>
      <c r="AU103" s="2">
        <v>399.38</v>
      </c>
      <c r="AV103" s="5">
        <v>0</v>
      </c>
      <c r="AX103" s="2">
        <v>703580.85000000009</v>
      </c>
      <c r="AY103" s="2">
        <v>41922.1</v>
      </c>
      <c r="AZ103" s="2">
        <v>12563.95</v>
      </c>
      <c r="BA103" s="2">
        <v>748.61</v>
      </c>
      <c r="BB103" s="5">
        <v>6656.28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22365.1</v>
      </c>
      <c r="BI103" s="12">
        <v>19968.84</v>
      </c>
      <c r="BJ103" s="2">
        <v>399.38</v>
      </c>
      <c r="BL103" s="1" t="s">
        <v>130</v>
      </c>
    </row>
    <row r="104" spans="1:64" x14ac:dyDescent="0.3">
      <c r="A104" t="s">
        <v>1021</v>
      </c>
      <c r="B104" s="1" t="s">
        <v>1023</v>
      </c>
      <c r="C104" s="9" t="s">
        <v>1024</v>
      </c>
      <c r="D104" s="1" t="s">
        <v>41</v>
      </c>
      <c r="E104" s="1" t="s">
        <v>128</v>
      </c>
      <c r="F104" s="10" t="s">
        <v>372</v>
      </c>
      <c r="G104" s="1">
        <v>0</v>
      </c>
      <c r="H104" s="1">
        <v>0.02</v>
      </c>
      <c r="I104" s="8">
        <v>44649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180303</v>
      </c>
      <c r="AJ104" s="2">
        <v>16651</v>
      </c>
      <c r="AK104" s="2">
        <v>3219.7</v>
      </c>
      <c r="AL104" s="2">
        <v>297.33999999999997</v>
      </c>
      <c r="AM104" s="5">
        <v>1758.52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5908.63</v>
      </c>
      <c r="AT104" s="12">
        <v>5275.5599999999995</v>
      </c>
      <c r="AU104" s="2">
        <v>105.51</v>
      </c>
      <c r="AV104" s="5">
        <v>0</v>
      </c>
      <c r="AX104" s="2">
        <v>180303</v>
      </c>
      <c r="AY104" s="2">
        <v>16651</v>
      </c>
      <c r="AZ104" s="2">
        <v>3219.7</v>
      </c>
      <c r="BA104" s="2">
        <v>297.33999999999997</v>
      </c>
      <c r="BB104" s="5">
        <v>1758.52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5908.63</v>
      </c>
      <c r="BI104" s="12">
        <v>5275.5599999999995</v>
      </c>
      <c r="BJ104" s="2">
        <v>105.51</v>
      </c>
      <c r="BL104" s="1" t="s">
        <v>130</v>
      </c>
    </row>
    <row r="105" spans="1:64" x14ac:dyDescent="0.3">
      <c r="A105" t="s">
        <v>1021</v>
      </c>
      <c r="B105" s="1" t="s">
        <v>1025</v>
      </c>
      <c r="C105" s="9" t="s">
        <v>1026</v>
      </c>
      <c r="D105" s="1" t="s">
        <v>41</v>
      </c>
      <c r="E105" s="1" t="s">
        <v>128</v>
      </c>
      <c r="F105" s="10" t="s">
        <v>372</v>
      </c>
      <c r="G105" s="1">
        <v>0</v>
      </c>
      <c r="H105" s="1">
        <v>0.02</v>
      </c>
      <c r="I105" s="8">
        <v>44995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398073</v>
      </c>
      <c r="AJ105" s="2">
        <v>5638</v>
      </c>
      <c r="AK105" s="2">
        <v>7108.45</v>
      </c>
      <c r="AL105" s="2">
        <v>100.68</v>
      </c>
      <c r="AM105" s="5">
        <v>3604.56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12111.33</v>
      </c>
      <c r="AT105" s="12">
        <v>10813.69</v>
      </c>
      <c r="AU105" s="2">
        <v>216.27</v>
      </c>
      <c r="AV105" s="5">
        <v>0</v>
      </c>
      <c r="AX105" s="2">
        <v>398073</v>
      </c>
      <c r="AY105" s="2">
        <v>5638</v>
      </c>
      <c r="AZ105" s="2">
        <v>7108.45</v>
      </c>
      <c r="BA105" s="2">
        <v>100.68</v>
      </c>
      <c r="BB105" s="5">
        <v>3604.56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12111.33</v>
      </c>
      <c r="BI105" s="12">
        <v>10813.69</v>
      </c>
      <c r="BJ105" s="2">
        <v>216.27</v>
      </c>
      <c r="BL105" s="1" t="s">
        <v>130</v>
      </c>
    </row>
    <row r="106" spans="1:64" x14ac:dyDescent="0.3">
      <c r="A106" t="s">
        <v>1021</v>
      </c>
      <c r="B106" s="1" t="s">
        <v>1027</v>
      </c>
      <c r="C106" s="9" t="s">
        <v>1028</v>
      </c>
      <c r="D106" s="1" t="s">
        <v>41</v>
      </c>
      <c r="E106" s="1" t="s">
        <v>128</v>
      </c>
      <c r="F106" s="10" t="s">
        <v>372</v>
      </c>
      <c r="G106" s="1">
        <v>0</v>
      </c>
      <c r="H106" s="1">
        <v>0.02</v>
      </c>
      <c r="I106" s="8">
        <v>45086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198124.2</v>
      </c>
      <c r="AJ106" s="2">
        <v>16790</v>
      </c>
      <c r="AK106" s="2">
        <v>3537.93</v>
      </c>
      <c r="AL106" s="2">
        <v>299.82</v>
      </c>
      <c r="AM106" s="5">
        <v>1918.87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6447.41</v>
      </c>
      <c r="AT106" s="12">
        <v>5756.62</v>
      </c>
      <c r="AU106" s="2">
        <v>115.13</v>
      </c>
      <c r="AV106" s="5">
        <v>0</v>
      </c>
      <c r="AX106" s="2">
        <v>198124.2</v>
      </c>
      <c r="AY106" s="2">
        <v>16790</v>
      </c>
      <c r="AZ106" s="2">
        <v>3537.93</v>
      </c>
      <c r="BA106" s="2">
        <v>299.82</v>
      </c>
      <c r="BB106" s="5">
        <v>1918.87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6447.41</v>
      </c>
      <c r="BI106" s="12">
        <v>5756.62</v>
      </c>
      <c r="BJ106" s="2">
        <v>115.13</v>
      </c>
      <c r="BL106" s="1" t="s">
        <v>130</v>
      </c>
    </row>
    <row r="107" spans="1:64" x14ac:dyDescent="0.3">
      <c r="A107" t="s">
        <v>1021</v>
      </c>
      <c r="B107" s="1" t="s">
        <v>1029</v>
      </c>
      <c r="C107" s="9" t="s">
        <v>1030</v>
      </c>
      <c r="D107" s="1" t="s">
        <v>41</v>
      </c>
      <c r="E107" s="1" t="s">
        <v>128</v>
      </c>
      <c r="F107" s="10" t="s">
        <v>372</v>
      </c>
      <c r="G107" s="1">
        <v>0</v>
      </c>
      <c r="H107" s="1">
        <v>0.02</v>
      </c>
      <c r="I107" s="8">
        <v>45097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133966.70000000001</v>
      </c>
      <c r="AJ107" s="2">
        <v>1695</v>
      </c>
      <c r="AK107" s="2">
        <v>2392.2600000000002</v>
      </c>
      <c r="AL107" s="2">
        <v>30.27</v>
      </c>
      <c r="AM107" s="5">
        <v>1211.27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4069.86</v>
      </c>
      <c r="AT107" s="12">
        <v>3633.8</v>
      </c>
      <c r="AU107" s="2">
        <v>72.680000000000007</v>
      </c>
      <c r="AV107" s="5">
        <v>0</v>
      </c>
      <c r="AX107" s="2">
        <v>133966.70000000001</v>
      </c>
      <c r="AY107" s="2">
        <v>1695</v>
      </c>
      <c r="AZ107" s="2">
        <v>2392.2600000000002</v>
      </c>
      <c r="BA107" s="2">
        <v>30.27</v>
      </c>
      <c r="BB107" s="5">
        <v>1211.27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4069.86</v>
      </c>
      <c r="BI107" s="12">
        <v>3633.8</v>
      </c>
      <c r="BJ107" s="2">
        <v>72.680000000000007</v>
      </c>
      <c r="BL107" s="1" t="s">
        <v>130</v>
      </c>
    </row>
    <row r="108" spans="1:64" x14ac:dyDescent="0.3">
      <c r="A108" t="s">
        <v>1021</v>
      </c>
      <c r="B108" s="1" t="s">
        <v>1031</v>
      </c>
      <c r="C108" s="9" t="s">
        <v>1032</v>
      </c>
      <c r="D108" s="1" t="s">
        <v>41</v>
      </c>
      <c r="E108" s="1" t="s">
        <v>128</v>
      </c>
      <c r="F108" s="10" t="s">
        <v>372</v>
      </c>
      <c r="G108" s="1">
        <v>0</v>
      </c>
      <c r="H108" s="1">
        <v>0.02</v>
      </c>
      <c r="I108" s="8">
        <v>45098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251176.25</v>
      </c>
      <c r="AJ108" s="2">
        <v>9827</v>
      </c>
      <c r="AK108" s="2">
        <v>4485.29</v>
      </c>
      <c r="AL108" s="2">
        <v>175.48</v>
      </c>
      <c r="AM108" s="5">
        <v>2330.38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7830.09</v>
      </c>
      <c r="AT108" s="12">
        <v>6991.15</v>
      </c>
      <c r="AU108" s="2">
        <v>139.82</v>
      </c>
      <c r="AV108" s="5">
        <v>0</v>
      </c>
      <c r="AX108" s="2">
        <v>251176.25</v>
      </c>
      <c r="AY108" s="2">
        <v>9827</v>
      </c>
      <c r="AZ108" s="2">
        <v>4485.29</v>
      </c>
      <c r="BA108" s="2">
        <v>175.48</v>
      </c>
      <c r="BB108" s="5">
        <v>2330.38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7830.09</v>
      </c>
      <c r="BI108" s="12">
        <v>6991.15</v>
      </c>
      <c r="BJ108" s="2">
        <v>139.82</v>
      </c>
      <c r="BL108" s="1" t="s">
        <v>130</v>
      </c>
    </row>
    <row r="109" spans="1:64" x14ac:dyDescent="0.3">
      <c r="A109" t="s">
        <v>1067</v>
      </c>
      <c r="B109" s="1" t="s">
        <v>1067</v>
      </c>
      <c r="C109" s="9" t="s">
        <v>1068</v>
      </c>
      <c r="D109" s="1" t="s">
        <v>41</v>
      </c>
      <c r="E109" s="1" t="s">
        <v>128</v>
      </c>
      <c r="F109" s="10" t="s">
        <v>331</v>
      </c>
      <c r="G109" s="1">
        <v>0</v>
      </c>
      <c r="H109" s="1">
        <v>0.02</v>
      </c>
      <c r="I109" s="8">
        <v>44729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301591.25</v>
      </c>
      <c r="AJ109" s="2">
        <v>27259</v>
      </c>
      <c r="AK109" s="2">
        <v>5385.55</v>
      </c>
      <c r="AL109" s="2">
        <v>486.77</v>
      </c>
      <c r="AM109" s="5">
        <v>2936.16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9865.5</v>
      </c>
      <c r="AT109" s="12">
        <v>8808.48</v>
      </c>
      <c r="AU109" s="2">
        <v>176.17</v>
      </c>
      <c r="AV109" s="5">
        <v>0</v>
      </c>
      <c r="AX109" s="2">
        <v>301591.25</v>
      </c>
      <c r="AY109" s="2">
        <v>27259</v>
      </c>
      <c r="AZ109" s="2">
        <v>5385.55</v>
      </c>
      <c r="BA109" s="2">
        <v>486.77</v>
      </c>
      <c r="BB109" s="5">
        <v>2936.16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9865.5</v>
      </c>
      <c r="BI109" s="12">
        <v>8808.48</v>
      </c>
      <c r="BJ109" s="2">
        <v>176.17</v>
      </c>
      <c r="BL109" s="1" t="s">
        <v>130</v>
      </c>
    </row>
    <row r="110" spans="1:64" x14ac:dyDescent="0.3">
      <c r="A110" t="s">
        <v>1120</v>
      </c>
      <c r="B110" s="1" t="s">
        <v>1120</v>
      </c>
      <c r="C110" s="9" t="s">
        <v>1121</v>
      </c>
      <c r="D110" s="1" t="s">
        <v>41</v>
      </c>
      <c r="E110" s="1" t="s">
        <v>128</v>
      </c>
      <c r="F110" s="10" t="s">
        <v>372</v>
      </c>
      <c r="G110" s="1">
        <v>0</v>
      </c>
      <c r="H110" s="1">
        <v>0.02</v>
      </c>
      <c r="I110" s="8">
        <v>0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0</v>
      </c>
      <c r="AJ110" s="2">
        <v>0</v>
      </c>
      <c r="AK110" s="2">
        <v>0</v>
      </c>
      <c r="AL110" s="2">
        <v>0</v>
      </c>
      <c r="AM110" s="5">
        <v>0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0</v>
      </c>
      <c r="AT110" s="12">
        <v>0</v>
      </c>
      <c r="AU110" s="2">
        <v>0</v>
      </c>
      <c r="AV110" s="5">
        <v>0</v>
      </c>
      <c r="AX110" s="2">
        <v>0</v>
      </c>
      <c r="AY110" s="2">
        <v>0</v>
      </c>
      <c r="AZ110" s="2">
        <v>0</v>
      </c>
      <c r="BA110" s="2">
        <v>0</v>
      </c>
      <c r="BB110" s="5">
        <v>0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0</v>
      </c>
      <c r="BI110" s="12">
        <v>0</v>
      </c>
      <c r="BJ110" s="2">
        <v>0</v>
      </c>
      <c r="BL110" s="1" t="s">
        <v>130</v>
      </c>
    </row>
    <row r="111" spans="1:64" x14ac:dyDescent="0.3">
      <c r="A111" t="s">
        <v>1126</v>
      </c>
      <c r="B111" s="1" t="s">
        <v>1126</v>
      </c>
      <c r="C111" s="9" t="s">
        <v>1127</v>
      </c>
      <c r="D111" s="1" t="s">
        <v>41</v>
      </c>
      <c r="E111" s="1" t="s">
        <v>128</v>
      </c>
      <c r="F111" s="10" t="s">
        <v>372</v>
      </c>
      <c r="G111" s="1">
        <v>0</v>
      </c>
      <c r="H111" s="1">
        <v>0.02</v>
      </c>
      <c r="I111" s="8">
        <v>45016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602563.08000000007</v>
      </c>
      <c r="AJ111" s="2">
        <v>36826.71</v>
      </c>
      <c r="AK111" s="2">
        <v>10760.05</v>
      </c>
      <c r="AL111" s="2">
        <v>657.62</v>
      </c>
      <c r="AM111" s="5">
        <v>5708.84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19181.689999999999</v>
      </c>
      <c r="AT111" s="12">
        <v>17126.510000000002</v>
      </c>
      <c r="AU111" s="2">
        <v>342.53</v>
      </c>
      <c r="AV111" s="5">
        <v>0</v>
      </c>
      <c r="AX111" s="2">
        <v>602563.08000000007</v>
      </c>
      <c r="AY111" s="2">
        <v>36826.71</v>
      </c>
      <c r="AZ111" s="2">
        <v>10760.05</v>
      </c>
      <c r="BA111" s="2">
        <v>657.62</v>
      </c>
      <c r="BB111" s="5">
        <v>5708.84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19181.689999999999</v>
      </c>
      <c r="BI111" s="12">
        <v>17126.510000000002</v>
      </c>
      <c r="BJ111" s="2">
        <v>342.53</v>
      </c>
      <c r="BL111" s="1" t="s">
        <v>130</v>
      </c>
    </row>
    <row r="112" spans="1:64" x14ac:dyDescent="0.3">
      <c r="A112" t="s">
        <v>1126</v>
      </c>
      <c r="B112" s="1" t="s">
        <v>1128</v>
      </c>
      <c r="C112" s="9" t="s">
        <v>1129</v>
      </c>
      <c r="D112" s="1" t="s">
        <v>41</v>
      </c>
      <c r="E112" s="1" t="s">
        <v>128</v>
      </c>
      <c r="F112" s="10" t="s">
        <v>372</v>
      </c>
      <c r="G112" s="1">
        <v>0</v>
      </c>
      <c r="H112" s="1">
        <v>0.02</v>
      </c>
      <c r="I112" s="8">
        <v>45147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258546.6</v>
      </c>
      <c r="AJ112" s="2">
        <v>3900</v>
      </c>
      <c r="AK112" s="2">
        <v>4616.8999999999996</v>
      </c>
      <c r="AL112" s="2">
        <v>69.64</v>
      </c>
      <c r="AM112" s="5">
        <v>2343.2800000000002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7873.4</v>
      </c>
      <c r="AT112" s="12">
        <v>7029.82</v>
      </c>
      <c r="AU112" s="2">
        <v>140.6</v>
      </c>
      <c r="AV112" s="5">
        <v>0</v>
      </c>
      <c r="AX112" s="2">
        <v>258546.6</v>
      </c>
      <c r="AY112" s="2">
        <v>3900</v>
      </c>
      <c r="AZ112" s="2">
        <v>4616.8999999999996</v>
      </c>
      <c r="BA112" s="2">
        <v>69.64</v>
      </c>
      <c r="BB112" s="5">
        <v>2343.2800000000002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7873.4</v>
      </c>
      <c r="BI112" s="12">
        <v>7029.82</v>
      </c>
      <c r="BJ112" s="2">
        <v>140.6</v>
      </c>
      <c r="BL112" s="1" t="s">
        <v>130</v>
      </c>
    </row>
    <row r="113" spans="1:64" x14ac:dyDescent="0.3">
      <c r="A113" t="s">
        <v>1126</v>
      </c>
      <c r="B113" s="1" t="s">
        <v>1130</v>
      </c>
      <c r="C113" s="9" t="s">
        <v>1131</v>
      </c>
      <c r="D113" s="1" t="s">
        <v>41</v>
      </c>
      <c r="E113" s="1" t="s">
        <v>128</v>
      </c>
      <c r="F113" s="10" t="s">
        <v>372</v>
      </c>
      <c r="G113" s="1">
        <v>0</v>
      </c>
      <c r="H113" s="1">
        <v>0.02</v>
      </c>
      <c r="I113" s="8">
        <v>45191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97692.700000000012</v>
      </c>
      <c r="AJ113" s="2">
        <v>2147</v>
      </c>
      <c r="AK113" s="2">
        <v>1744.51</v>
      </c>
      <c r="AL113" s="2">
        <v>38.340000000000003</v>
      </c>
      <c r="AM113" s="5">
        <v>891.43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2995.19</v>
      </c>
      <c r="AT113" s="12">
        <v>2674.2799999999997</v>
      </c>
      <c r="AU113" s="2">
        <v>53.49</v>
      </c>
      <c r="AV113" s="5">
        <v>0</v>
      </c>
      <c r="AX113" s="2">
        <v>97692.700000000012</v>
      </c>
      <c r="AY113" s="2">
        <v>2147</v>
      </c>
      <c r="AZ113" s="2">
        <v>1744.51</v>
      </c>
      <c r="BA113" s="2">
        <v>38.340000000000003</v>
      </c>
      <c r="BB113" s="5">
        <v>891.43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2995.19</v>
      </c>
      <c r="BI113" s="12">
        <v>2674.2799999999997</v>
      </c>
      <c r="BJ113" s="2">
        <v>53.49</v>
      </c>
      <c r="BL113" s="1" t="s">
        <v>130</v>
      </c>
    </row>
    <row r="114" spans="1:64" x14ac:dyDescent="0.3">
      <c r="A114" t="s">
        <v>1132</v>
      </c>
      <c r="B114" s="1" t="s">
        <v>1132</v>
      </c>
      <c r="C114" s="9" t="s">
        <v>1133</v>
      </c>
      <c r="D114" s="1" t="s">
        <v>41</v>
      </c>
      <c r="E114" s="1" t="s">
        <v>128</v>
      </c>
      <c r="F114" s="10" t="s">
        <v>372</v>
      </c>
      <c r="G114" s="1">
        <v>0</v>
      </c>
      <c r="H114" s="1">
        <v>0.02</v>
      </c>
      <c r="I114" s="8">
        <v>44918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401200.93</v>
      </c>
      <c r="AJ114" s="2">
        <v>40447.22</v>
      </c>
      <c r="AK114" s="2">
        <v>7164.3</v>
      </c>
      <c r="AL114" s="2">
        <v>722.27</v>
      </c>
      <c r="AM114" s="5">
        <v>3943.29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13249.44</v>
      </c>
      <c r="AT114" s="12">
        <v>11829.86</v>
      </c>
      <c r="AU114" s="2">
        <v>236.6</v>
      </c>
      <c r="AV114" s="5">
        <v>0</v>
      </c>
      <c r="AX114" s="2">
        <v>401200.93</v>
      </c>
      <c r="AY114" s="2">
        <v>40447.22</v>
      </c>
      <c r="AZ114" s="2">
        <v>7164.3</v>
      </c>
      <c r="BA114" s="2">
        <v>722.27</v>
      </c>
      <c r="BB114" s="5">
        <v>3943.29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13249.44</v>
      </c>
      <c r="BI114" s="12">
        <v>11829.86</v>
      </c>
      <c r="BJ114" s="2">
        <v>236.6</v>
      </c>
      <c r="BL114" s="1" t="s">
        <v>130</v>
      </c>
    </row>
    <row r="115" spans="1:64" x14ac:dyDescent="0.3">
      <c r="A115" t="s">
        <v>1132</v>
      </c>
      <c r="B115" s="1" t="s">
        <v>1134</v>
      </c>
      <c r="C115" s="9" t="s">
        <v>1135</v>
      </c>
      <c r="D115" s="1" t="s">
        <v>41</v>
      </c>
      <c r="E115" s="1" t="s">
        <v>128</v>
      </c>
      <c r="F115" s="10" t="s">
        <v>372</v>
      </c>
      <c r="G115" s="1">
        <v>0</v>
      </c>
      <c r="H115" s="1">
        <v>0.02</v>
      </c>
      <c r="I115" s="8">
        <v>44981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314211</v>
      </c>
      <c r="AJ115" s="2">
        <v>0</v>
      </c>
      <c r="AK115" s="2">
        <v>5610.91</v>
      </c>
      <c r="AL115" s="2">
        <v>0</v>
      </c>
      <c r="AM115" s="5">
        <v>2805.46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9426.33</v>
      </c>
      <c r="AT115" s="12">
        <v>8416.369999999999</v>
      </c>
      <c r="AU115" s="2">
        <v>168.33</v>
      </c>
      <c r="AV115" s="5">
        <v>0</v>
      </c>
      <c r="AX115" s="2">
        <v>314211</v>
      </c>
      <c r="AY115" s="2">
        <v>0</v>
      </c>
      <c r="AZ115" s="2">
        <v>5610.91</v>
      </c>
      <c r="BA115" s="2">
        <v>0</v>
      </c>
      <c r="BB115" s="5">
        <v>2805.46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9426.33</v>
      </c>
      <c r="BI115" s="12">
        <v>8416.369999999999</v>
      </c>
      <c r="BJ115" s="2">
        <v>168.33</v>
      </c>
      <c r="BL115" s="1" t="s">
        <v>130</v>
      </c>
    </row>
    <row r="116" spans="1:64" x14ac:dyDescent="0.3">
      <c r="A116" t="s">
        <v>1132</v>
      </c>
      <c r="B116" s="1" t="s">
        <v>1136</v>
      </c>
      <c r="C116" s="9" t="s">
        <v>1137</v>
      </c>
      <c r="D116" s="1" t="s">
        <v>41</v>
      </c>
      <c r="E116" s="1" t="s">
        <v>128</v>
      </c>
      <c r="F116" s="10" t="s">
        <v>372</v>
      </c>
      <c r="G116" s="1">
        <v>0</v>
      </c>
      <c r="H116" s="1">
        <v>0.02</v>
      </c>
      <c r="I116" s="8">
        <v>45113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230989.85</v>
      </c>
      <c r="AJ116" s="2">
        <v>4030</v>
      </c>
      <c r="AK116" s="2">
        <v>4124.82</v>
      </c>
      <c r="AL116" s="2">
        <v>71.959999999999994</v>
      </c>
      <c r="AM116" s="5">
        <v>2098.39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7050.59</v>
      </c>
      <c r="AT116" s="12">
        <v>6295.17</v>
      </c>
      <c r="AU116" s="2">
        <v>125.9</v>
      </c>
      <c r="AV116" s="5">
        <v>0</v>
      </c>
      <c r="AX116" s="2">
        <v>230989.85</v>
      </c>
      <c r="AY116" s="2">
        <v>4030</v>
      </c>
      <c r="AZ116" s="2">
        <v>4124.82</v>
      </c>
      <c r="BA116" s="2">
        <v>71.959999999999994</v>
      </c>
      <c r="BB116" s="5">
        <v>2098.39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7050.59</v>
      </c>
      <c r="BI116" s="12">
        <v>6295.17</v>
      </c>
      <c r="BJ116" s="2">
        <v>125.9</v>
      </c>
      <c r="BL116" s="1" t="s">
        <v>130</v>
      </c>
    </row>
    <row r="117" spans="1:64" x14ac:dyDescent="0.3">
      <c r="A117" t="s">
        <v>1132</v>
      </c>
      <c r="B117" s="1" t="s">
        <v>1138</v>
      </c>
      <c r="C117" s="9" t="s">
        <v>1139</v>
      </c>
      <c r="D117" s="1" t="s">
        <v>41</v>
      </c>
      <c r="E117" s="1" t="s">
        <v>128</v>
      </c>
      <c r="F117" s="10" t="s">
        <v>372</v>
      </c>
      <c r="G117" s="1">
        <v>0</v>
      </c>
      <c r="H117" s="1">
        <v>0.02</v>
      </c>
      <c r="I117" s="8">
        <v>44947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485851.11</v>
      </c>
      <c r="AJ117" s="2">
        <v>150513.29</v>
      </c>
      <c r="AK117" s="2">
        <v>8675.91</v>
      </c>
      <c r="AL117" s="2">
        <v>2687.74</v>
      </c>
      <c r="AM117" s="5">
        <v>5681.82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19090.93</v>
      </c>
      <c r="AT117" s="12">
        <v>17045.47</v>
      </c>
      <c r="AU117" s="2">
        <v>340.91</v>
      </c>
      <c r="AV117" s="5">
        <v>0</v>
      </c>
      <c r="AX117" s="2">
        <v>485851.11</v>
      </c>
      <c r="AY117" s="2">
        <v>150513.29</v>
      </c>
      <c r="AZ117" s="2">
        <v>8675.91</v>
      </c>
      <c r="BA117" s="2">
        <v>2687.74</v>
      </c>
      <c r="BB117" s="5">
        <v>5681.82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19090.93</v>
      </c>
      <c r="BI117" s="12">
        <v>17045.47</v>
      </c>
      <c r="BJ117" s="2">
        <v>340.91</v>
      </c>
      <c r="BL117" s="1" t="s">
        <v>130</v>
      </c>
    </row>
    <row r="118" spans="1:64" x14ac:dyDescent="0.3">
      <c r="A118" t="s">
        <v>1173</v>
      </c>
      <c r="B118" s="1" t="s">
        <v>1173</v>
      </c>
      <c r="C118" s="9" t="s">
        <v>1174</v>
      </c>
      <c r="D118" s="1" t="s">
        <v>41</v>
      </c>
      <c r="E118" s="1" t="s">
        <v>128</v>
      </c>
      <c r="F118" s="10" t="s">
        <v>372</v>
      </c>
      <c r="G118" s="1">
        <v>0</v>
      </c>
      <c r="H118" s="1">
        <v>0.02</v>
      </c>
      <c r="I118" s="8">
        <v>45077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294349.04000000004</v>
      </c>
      <c r="AJ118" s="2">
        <v>14737.25</v>
      </c>
      <c r="AK118" s="2">
        <v>5256.23</v>
      </c>
      <c r="AL118" s="2">
        <v>263.16000000000003</v>
      </c>
      <c r="AM118" s="5">
        <v>2759.7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9272.58</v>
      </c>
      <c r="AT118" s="12">
        <v>8279.09</v>
      </c>
      <c r="AU118" s="2">
        <v>165.58</v>
      </c>
      <c r="AV118" s="5">
        <v>0</v>
      </c>
      <c r="AX118" s="2">
        <v>294349.04000000004</v>
      </c>
      <c r="AY118" s="2">
        <v>14737.25</v>
      </c>
      <c r="AZ118" s="2">
        <v>5256.23</v>
      </c>
      <c r="BA118" s="2">
        <v>263.16000000000003</v>
      </c>
      <c r="BB118" s="5">
        <v>2759.7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9272.58</v>
      </c>
      <c r="BI118" s="12">
        <v>8279.09</v>
      </c>
      <c r="BJ118" s="2">
        <v>165.58</v>
      </c>
      <c r="BL118" s="1" t="s">
        <v>130</v>
      </c>
    </row>
    <row r="119" spans="1:64" x14ac:dyDescent="0.3">
      <c r="A119" t="s">
        <v>1185</v>
      </c>
      <c r="B119" s="1" t="s">
        <v>1186</v>
      </c>
      <c r="C119" s="9" t="s">
        <v>1187</v>
      </c>
      <c r="D119" s="1" t="s">
        <v>41</v>
      </c>
      <c r="E119" s="1" t="s">
        <v>128</v>
      </c>
      <c r="F119" s="10" t="s">
        <v>372</v>
      </c>
      <c r="G119" s="1">
        <v>0</v>
      </c>
      <c r="H119" s="1">
        <v>0.02</v>
      </c>
      <c r="I119" s="8">
        <v>44527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227860</v>
      </c>
      <c r="AJ119" s="2">
        <v>3950</v>
      </c>
      <c r="AK119" s="2">
        <v>4068.93</v>
      </c>
      <c r="AL119" s="2">
        <v>70.540000000000006</v>
      </c>
      <c r="AM119" s="5">
        <v>2069.73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6954.3</v>
      </c>
      <c r="AT119" s="12">
        <v>6209.2000000000007</v>
      </c>
      <c r="AU119" s="2">
        <v>124.18</v>
      </c>
      <c r="AV119" s="5">
        <v>0</v>
      </c>
      <c r="AX119" s="2">
        <v>227860</v>
      </c>
      <c r="AY119" s="2">
        <v>3950</v>
      </c>
      <c r="AZ119" s="2">
        <v>4068.93</v>
      </c>
      <c r="BA119" s="2">
        <v>70.540000000000006</v>
      </c>
      <c r="BB119" s="5">
        <v>2069.73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6954.3</v>
      </c>
      <c r="BI119" s="12">
        <v>6209.2000000000007</v>
      </c>
      <c r="BJ119" s="2">
        <v>124.18</v>
      </c>
      <c r="BL119" s="1" t="s">
        <v>130</v>
      </c>
    </row>
    <row r="120" spans="1:64" x14ac:dyDescent="0.3">
      <c r="A120" t="s">
        <v>1185</v>
      </c>
      <c r="B120" s="1" t="s">
        <v>1188</v>
      </c>
      <c r="C120" s="9" t="s">
        <v>1189</v>
      </c>
      <c r="D120" s="1" t="s">
        <v>41</v>
      </c>
      <c r="E120" s="1" t="s">
        <v>128</v>
      </c>
      <c r="F120" s="10" t="s">
        <v>372</v>
      </c>
      <c r="G120" s="1">
        <v>0</v>
      </c>
      <c r="H120" s="1">
        <v>0.02</v>
      </c>
      <c r="I120" s="8">
        <v>44862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382922</v>
      </c>
      <c r="AJ120" s="2">
        <v>0</v>
      </c>
      <c r="AK120" s="2">
        <v>6837.89</v>
      </c>
      <c r="AL120" s="2">
        <v>0</v>
      </c>
      <c r="AM120" s="5">
        <v>3418.95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11487.66</v>
      </c>
      <c r="AT120" s="12">
        <v>10256.84</v>
      </c>
      <c r="AU120" s="2">
        <v>205.14</v>
      </c>
      <c r="AV120" s="5">
        <v>0</v>
      </c>
      <c r="AX120" s="2">
        <v>382922</v>
      </c>
      <c r="AY120" s="2">
        <v>0</v>
      </c>
      <c r="AZ120" s="2">
        <v>6837.89</v>
      </c>
      <c r="BA120" s="2">
        <v>0</v>
      </c>
      <c r="BB120" s="5">
        <v>3418.95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11487.66</v>
      </c>
      <c r="BI120" s="12">
        <v>10256.84</v>
      </c>
      <c r="BJ120" s="2">
        <v>205.14</v>
      </c>
      <c r="BL120" s="1" t="s">
        <v>130</v>
      </c>
    </row>
    <row r="121" spans="1:64" x14ac:dyDescent="0.3">
      <c r="A121" t="s">
        <v>1185</v>
      </c>
      <c r="B121" s="1" t="s">
        <v>1185</v>
      </c>
      <c r="C121" s="9" t="s">
        <v>1190</v>
      </c>
      <c r="D121" s="1" t="s">
        <v>41</v>
      </c>
      <c r="E121" s="1" t="s">
        <v>128</v>
      </c>
      <c r="F121" s="10" t="s">
        <v>372</v>
      </c>
      <c r="G121" s="1">
        <v>0</v>
      </c>
      <c r="H121" s="1">
        <v>0.02</v>
      </c>
      <c r="I121" s="8">
        <v>44967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597919.15</v>
      </c>
      <c r="AJ121" s="2">
        <v>28834</v>
      </c>
      <c r="AK121" s="2">
        <v>10677.12</v>
      </c>
      <c r="AL121" s="2">
        <v>514.89</v>
      </c>
      <c r="AM121" s="5">
        <v>5596.01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18802.580000000002</v>
      </c>
      <c r="AT121" s="12">
        <v>16788.02</v>
      </c>
      <c r="AU121" s="2">
        <v>335.76</v>
      </c>
      <c r="AV121" s="5">
        <v>0</v>
      </c>
      <c r="AX121" s="2">
        <v>597919.15</v>
      </c>
      <c r="AY121" s="2">
        <v>28834</v>
      </c>
      <c r="AZ121" s="2">
        <v>10677.12</v>
      </c>
      <c r="BA121" s="2">
        <v>514.89</v>
      </c>
      <c r="BB121" s="5">
        <v>5596.01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18802.580000000002</v>
      </c>
      <c r="BI121" s="12">
        <v>16788.02</v>
      </c>
      <c r="BJ121" s="2">
        <v>335.76</v>
      </c>
      <c r="BL121" s="1" t="s">
        <v>130</v>
      </c>
    </row>
    <row r="122" spans="1:64" x14ac:dyDescent="0.3">
      <c r="A122" t="s">
        <v>1185</v>
      </c>
      <c r="B122" s="1" t="s">
        <v>1191</v>
      </c>
      <c r="C122" s="9" t="s">
        <v>1192</v>
      </c>
      <c r="D122" s="1" t="s">
        <v>41</v>
      </c>
      <c r="E122" s="1" t="s">
        <v>128</v>
      </c>
      <c r="F122" s="10" t="s">
        <v>372</v>
      </c>
      <c r="G122" s="1">
        <v>0</v>
      </c>
      <c r="H122" s="1">
        <v>0.02</v>
      </c>
      <c r="I122" s="8">
        <v>45238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303750.59999999998</v>
      </c>
      <c r="AJ122" s="2">
        <v>1920</v>
      </c>
      <c r="AK122" s="2">
        <v>5424.12</v>
      </c>
      <c r="AL122" s="2">
        <v>34.29</v>
      </c>
      <c r="AM122" s="5">
        <v>2729.21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9170.1299999999992</v>
      </c>
      <c r="AT122" s="12">
        <v>8187.62</v>
      </c>
      <c r="AU122" s="2">
        <v>163.75</v>
      </c>
      <c r="AV122" s="5">
        <v>0</v>
      </c>
      <c r="AX122" s="2">
        <v>303750.59999999998</v>
      </c>
      <c r="AY122" s="2">
        <v>1920</v>
      </c>
      <c r="AZ122" s="2">
        <v>5424.12</v>
      </c>
      <c r="BA122" s="2">
        <v>34.29</v>
      </c>
      <c r="BB122" s="5">
        <v>2729.21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9170.1299999999992</v>
      </c>
      <c r="BI122" s="12">
        <v>8187.62</v>
      </c>
      <c r="BJ122" s="2">
        <v>163.75</v>
      </c>
      <c r="BL122" s="1" t="s">
        <v>130</v>
      </c>
    </row>
    <row r="123" spans="1:64" x14ac:dyDescent="0.3">
      <c r="A123" t="s">
        <v>1193</v>
      </c>
      <c r="B123" s="1" t="s">
        <v>1193</v>
      </c>
      <c r="C123" s="9" t="s">
        <v>1194</v>
      </c>
      <c r="D123" s="1" t="s">
        <v>41</v>
      </c>
      <c r="E123" s="1" t="s">
        <v>128</v>
      </c>
      <c r="F123" s="10" t="s">
        <v>331</v>
      </c>
      <c r="G123" s="1">
        <v>0</v>
      </c>
      <c r="H123" s="1">
        <v>0.02</v>
      </c>
      <c r="I123" s="8">
        <v>45034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261451</v>
      </c>
      <c r="AJ123" s="2">
        <v>19244</v>
      </c>
      <c r="AK123" s="2">
        <v>4668.7700000000004</v>
      </c>
      <c r="AL123" s="2">
        <v>343.64</v>
      </c>
      <c r="AM123" s="5">
        <v>2506.21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8420.85</v>
      </c>
      <c r="AT123" s="12">
        <v>7518.6200000000008</v>
      </c>
      <c r="AU123" s="2">
        <v>150.37</v>
      </c>
      <c r="AV123" s="5">
        <v>0</v>
      </c>
      <c r="AX123" s="2">
        <v>261451</v>
      </c>
      <c r="AY123" s="2">
        <v>19244</v>
      </c>
      <c r="AZ123" s="2">
        <v>4668.7700000000004</v>
      </c>
      <c r="BA123" s="2">
        <v>343.64</v>
      </c>
      <c r="BB123" s="5">
        <v>2506.21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8420.85</v>
      </c>
      <c r="BI123" s="12">
        <v>7518.6200000000008</v>
      </c>
      <c r="BJ123" s="2">
        <v>150.37</v>
      </c>
      <c r="BL123" s="1" t="s">
        <v>130</v>
      </c>
    </row>
    <row r="124" spans="1:64" x14ac:dyDescent="0.3">
      <c r="A124" t="s">
        <v>1193</v>
      </c>
      <c r="B124" s="1" t="s">
        <v>1195</v>
      </c>
      <c r="C124" s="9" t="s">
        <v>1196</v>
      </c>
      <c r="D124" s="1" t="s">
        <v>41</v>
      </c>
      <c r="E124" s="1" t="s">
        <v>128</v>
      </c>
      <c r="F124" s="10" t="s">
        <v>331</v>
      </c>
      <c r="G124" s="1">
        <v>0</v>
      </c>
      <c r="H124" s="1">
        <v>0.02</v>
      </c>
      <c r="I124" s="8">
        <v>45034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154740</v>
      </c>
      <c r="AJ124" s="2">
        <v>10920</v>
      </c>
      <c r="AK124" s="2">
        <v>2763.21</v>
      </c>
      <c r="AL124" s="2">
        <v>195</v>
      </c>
      <c r="AM124" s="5">
        <v>1479.11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4969.8</v>
      </c>
      <c r="AT124" s="12">
        <v>4437.32</v>
      </c>
      <c r="AU124" s="2">
        <v>88.75</v>
      </c>
      <c r="AV124" s="5">
        <v>0</v>
      </c>
      <c r="AX124" s="2">
        <v>154740</v>
      </c>
      <c r="AY124" s="2">
        <v>10920</v>
      </c>
      <c r="AZ124" s="2">
        <v>2763.21</v>
      </c>
      <c r="BA124" s="2">
        <v>195</v>
      </c>
      <c r="BB124" s="5">
        <v>1479.11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4969.8</v>
      </c>
      <c r="BI124" s="12">
        <v>4437.32</v>
      </c>
      <c r="BJ124" s="2">
        <v>88.75</v>
      </c>
      <c r="BL124" s="1" t="s">
        <v>130</v>
      </c>
    </row>
    <row r="125" spans="1:64" x14ac:dyDescent="0.3">
      <c r="A125" t="s">
        <v>1193</v>
      </c>
      <c r="B125" s="1" t="s">
        <v>1197</v>
      </c>
      <c r="C125" s="9" t="s">
        <v>1198</v>
      </c>
      <c r="D125" s="1" t="s">
        <v>41</v>
      </c>
      <c r="E125" s="1" t="s">
        <v>128</v>
      </c>
      <c r="F125" s="10" t="s">
        <v>331</v>
      </c>
      <c r="G125" s="1">
        <v>0</v>
      </c>
      <c r="H125" s="1">
        <v>0.02</v>
      </c>
      <c r="I125" s="8">
        <v>45035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150739</v>
      </c>
      <c r="AJ125" s="2">
        <v>10966</v>
      </c>
      <c r="AK125" s="2">
        <v>2691.77</v>
      </c>
      <c r="AL125" s="2">
        <v>195.82</v>
      </c>
      <c r="AM125" s="5">
        <v>1443.79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4851.1499999999996</v>
      </c>
      <c r="AT125" s="12">
        <v>4331.38</v>
      </c>
      <c r="AU125" s="2">
        <v>86.63</v>
      </c>
      <c r="AV125" s="5">
        <v>0</v>
      </c>
      <c r="AX125" s="2">
        <v>150739</v>
      </c>
      <c r="AY125" s="2">
        <v>10966</v>
      </c>
      <c r="AZ125" s="2">
        <v>2691.77</v>
      </c>
      <c r="BA125" s="2">
        <v>195.82</v>
      </c>
      <c r="BB125" s="5">
        <v>1443.79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4851.1499999999996</v>
      </c>
      <c r="BI125" s="12">
        <v>4331.38</v>
      </c>
      <c r="BJ125" s="2">
        <v>86.63</v>
      </c>
      <c r="BL125" s="1" t="s">
        <v>130</v>
      </c>
    </row>
    <row r="126" spans="1:64" x14ac:dyDescent="0.3">
      <c r="A126" t="s">
        <v>1199</v>
      </c>
      <c r="B126" s="1" t="s">
        <v>1199</v>
      </c>
      <c r="C126" s="9" t="s">
        <v>1200</v>
      </c>
      <c r="D126" s="1" t="s">
        <v>41</v>
      </c>
      <c r="E126" s="1" t="s">
        <v>135</v>
      </c>
      <c r="F126" s="10" t="s">
        <v>467</v>
      </c>
      <c r="G126" s="1">
        <v>0</v>
      </c>
      <c r="H126" s="1">
        <v>0.02</v>
      </c>
      <c r="I126" s="8">
        <v>45066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308019.80999999994</v>
      </c>
      <c r="AJ126" s="2">
        <v>91821.200000000012</v>
      </c>
      <c r="AK126" s="2">
        <v>5500.36</v>
      </c>
      <c r="AL126" s="2">
        <v>1639.66</v>
      </c>
      <c r="AM126" s="5">
        <v>3570.01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11995.23</v>
      </c>
      <c r="AT126" s="12">
        <v>10710.029999999999</v>
      </c>
      <c r="AU126" s="2">
        <v>214.2</v>
      </c>
      <c r="AV126" s="5">
        <v>0</v>
      </c>
      <c r="AX126" s="2">
        <v>308019.80999999994</v>
      </c>
      <c r="AY126" s="2">
        <v>91821.200000000012</v>
      </c>
      <c r="AZ126" s="2">
        <v>5500.36</v>
      </c>
      <c r="BA126" s="2">
        <v>1639.66</v>
      </c>
      <c r="BB126" s="5">
        <v>3570.01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11995.23</v>
      </c>
      <c r="BI126" s="12">
        <v>10710.029999999999</v>
      </c>
      <c r="BJ126" s="2">
        <v>214.2</v>
      </c>
      <c r="BL126" s="1" t="s">
        <v>302</v>
      </c>
    </row>
    <row r="127" spans="1:64" x14ac:dyDescent="0.3">
      <c r="A127" t="s">
        <v>1201</v>
      </c>
      <c r="B127" s="1" t="s">
        <v>1201</v>
      </c>
      <c r="C127" s="9" t="s">
        <v>1202</v>
      </c>
      <c r="D127" s="1" t="s">
        <v>41</v>
      </c>
      <c r="E127" s="1" t="s">
        <v>128</v>
      </c>
      <c r="F127" s="10" t="s">
        <v>372</v>
      </c>
      <c r="G127" s="1">
        <v>0</v>
      </c>
      <c r="H127" s="1">
        <v>0.02</v>
      </c>
      <c r="I127" s="8">
        <v>45056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558836.37</v>
      </c>
      <c r="AJ127" s="2">
        <v>29843.800000000003</v>
      </c>
      <c r="AK127" s="2">
        <v>9979.2199999999993</v>
      </c>
      <c r="AL127" s="2">
        <v>532.92999999999995</v>
      </c>
      <c r="AM127" s="5">
        <v>5256.07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17660.41</v>
      </c>
      <c r="AT127" s="12">
        <v>15768.22</v>
      </c>
      <c r="AU127" s="2">
        <v>315.36</v>
      </c>
      <c r="AV127" s="5">
        <v>0</v>
      </c>
      <c r="AX127" s="2">
        <v>558836.37</v>
      </c>
      <c r="AY127" s="2">
        <v>29843.800000000003</v>
      </c>
      <c r="AZ127" s="2">
        <v>9979.2199999999993</v>
      </c>
      <c r="BA127" s="2">
        <v>532.92999999999995</v>
      </c>
      <c r="BB127" s="5">
        <v>5256.07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17660.41</v>
      </c>
      <c r="BI127" s="12">
        <v>15768.22</v>
      </c>
      <c r="BJ127" s="2">
        <v>315.36</v>
      </c>
      <c r="BL127" s="1" t="s">
        <v>130</v>
      </c>
    </row>
    <row r="128" spans="1:64" x14ac:dyDescent="0.3">
      <c r="A128" t="s">
        <v>1203</v>
      </c>
      <c r="B128" s="1" t="s">
        <v>1203</v>
      </c>
      <c r="C128" s="9" t="s">
        <v>1204</v>
      </c>
      <c r="D128" s="1" t="s">
        <v>41</v>
      </c>
      <c r="E128" s="1" t="s">
        <v>88</v>
      </c>
      <c r="F128" s="10" t="s">
        <v>671</v>
      </c>
      <c r="G128" s="1">
        <v>0</v>
      </c>
      <c r="H128" s="1">
        <v>0.02</v>
      </c>
      <c r="I128" s="8">
        <v>45161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136819</v>
      </c>
      <c r="AJ128" s="2">
        <v>22524</v>
      </c>
      <c r="AK128" s="2">
        <v>2443.1999999999998</v>
      </c>
      <c r="AL128" s="2">
        <v>402.21</v>
      </c>
      <c r="AM128" s="5">
        <v>1422.71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4780.29</v>
      </c>
      <c r="AT128" s="12">
        <v>4268.12</v>
      </c>
      <c r="AU128" s="2">
        <v>85.36</v>
      </c>
      <c r="AV128" s="5">
        <v>0</v>
      </c>
      <c r="AX128" s="2">
        <v>136819</v>
      </c>
      <c r="AY128" s="2">
        <v>22524</v>
      </c>
      <c r="AZ128" s="2">
        <v>2443.1999999999998</v>
      </c>
      <c r="BA128" s="2">
        <v>402.21</v>
      </c>
      <c r="BB128" s="5">
        <v>1422.71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4780.29</v>
      </c>
      <c r="BI128" s="12">
        <v>4268.12</v>
      </c>
      <c r="BJ128" s="2">
        <v>85.36</v>
      </c>
      <c r="BL128" s="1" t="s">
        <v>90</v>
      </c>
    </row>
    <row r="129" spans="1:64" x14ac:dyDescent="0.3">
      <c r="A129" t="s">
        <v>1203</v>
      </c>
      <c r="B129" s="1" t="s">
        <v>1205</v>
      </c>
      <c r="C129" s="9" t="s">
        <v>1206</v>
      </c>
      <c r="D129" s="1" t="s">
        <v>41</v>
      </c>
      <c r="E129" s="1" t="s">
        <v>88</v>
      </c>
      <c r="F129" s="10" t="s">
        <v>671</v>
      </c>
      <c r="G129" s="1">
        <v>0</v>
      </c>
      <c r="H129" s="1">
        <v>0.02</v>
      </c>
      <c r="I129" s="8">
        <v>45474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102779</v>
      </c>
      <c r="AJ129" s="2">
        <v>58839</v>
      </c>
      <c r="AK129" s="2">
        <v>1835.34</v>
      </c>
      <c r="AL129" s="2">
        <v>1050.7</v>
      </c>
      <c r="AM129" s="5">
        <v>1443.02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4848.55</v>
      </c>
      <c r="AT129" s="12">
        <v>4329.0599999999995</v>
      </c>
      <c r="AU129" s="2">
        <v>86.58</v>
      </c>
      <c r="AV129" s="5">
        <v>0</v>
      </c>
      <c r="AX129" s="2">
        <v>102779</v>
      </c>
      <c r="AY129" s="2">
        <v>58839</v>
      </c>
      <c r="AZ129" s="2">
        <v>1835.34</v>
      </c>
      <c r="BA129" s="2">
        <v>1050.7</v>
      </c>
      <c r="BB129" s="5">
        <v>1443.02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4848.55</v>
      </c>
      <c r="BI129" s="12">
        <v>4329.0599999999995</v>
      </c>
      <c r="BJ129" s="2">
        <v>86.58</v>
      </c>
      <c r="BL129" s="1" t="s">
        <v>90</v>
      </c>
    </row>
    <row r="130" spans="1:64" x14ac:dyDescent="0.3">
      <c r="A130" t="s">
        <v>1217</v>
      </c>
      <c r="B130" s="1" t="s">
        <v>1217</v>
      </c>
      <c r="C130" s="9" t="s">
        <v>1218</v>
      </c>
      <c r="D130" s="1" t="s">
        <v>41</v>
      </c>
      <c r="E130" s="1" t="s">
        <v>88</v>
      </c>
      <c r="F130" s="10" t="s">
        <v>671</v>
      </c>
      <c r="G130" s="1">
        <v>0</v>
      </c>
      <c r="H130" s="1">
        <v>0.02</v>
      </c>
      <c r="I130" s="8">
        <v>45135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166920</v>
      </c>
      <c r="AJ130" s="2">
        <v>59647</v>
      </c>
      <c r="AK130" s="2">
        <v>2980.71</v>
      </c>
      <c r="AL130" s="2">
        <v>1065.1199999999999</v>
      </c>
      <c r="AM130" s="5">
        <v>2022.92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6797</v>
      </c>
      <c r="AT130" s="12">
        <v>6068.75</v>
      </c>
      <c r="AU130" s="2">
        <v>121.38</v>
      </c>
      <c r="AV130" s="5">
        <v>0</v>
      </c>
      <c r="AX130" s="2">
        <v>166920</v>
      </c>
      <c r="AY130" s="2">
        <v>59647</v>
      </c>
      <c r="AZ130" s="2">
        <v>2980.71</v>
      </c>
      <c r="BA130" s="2">
        <v>1065.1199999999999</v>
      </c>
      <c r="BB130" s="5">
        <v>2022.92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6797</v>
      </c>
      <c r="BI130" s="12">
        <v>6068.75</v>
      </c>
      <c r="BJ130" s="2">
        <v>121.38</v>
      </c>
      <c r="BL130" s="1" t="s">
        <v>90</v>
      </c>
    </row>
    <row r="131" spans="1:64" x14ac:dyDescent="0.3">
      <c r="A131" t="s">
        <v>1219</v>
      </c>
      <c r="B131" s="1" t="s">
        <v>1219</v>
      </c>
      <c r="C131" s="9" t="s">
        <v>1220</v>
      </c>
      <c r="D131" s="1" t="s">
        <v>41</v>
      </c>
      <c r="E131" s="1" t="s">
        <v>88</v>
      </c>
      <c r="F131" s="10" t="s">
        <v>671</v>
      </c>
      <c r="G131" s="1">
        <v>0</v>
      </c>
      <c r="H131" s="1">
        <v>0.02</v>
      </c>
      <c r="I131" s="8">
        <v>45093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152091</v>
      </c>
      <c r="AJ131" s="2">
        <v>29697</v>
      </c>
      <c r="AK131" s="2">
        <v>2715.91</v>
      </c>
      <c r="AL131" s="2">
        <v>530.29999999999995</v>
      </c>
      <c r="AM131" s="5">
        <v>1623.11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5453.64</v>
      </c>
      <c r="AT131" s="12">
        <v>4869.32</v>
      </c>
      <c r="AU131" s="2">
        <v>97.39</v>
      </c>
      <c r="AV131" s="5">
        <v>0</v>
      </c>
      <c r="AX131" s="2">
        <v>152091</v>
      </c>
      <c r="AY131" s="2">
        <v>29697</v>
      </c>
      <c r="AZ131" s="2">
        <v>2715.91</v>
      </c>
      <c r="BA131" s="2">
        <v>530.29999999999995</v>
      </c>
      <c r="BB131" s="5">
        <v>1623.11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5453.64</v>
      </c>
      <c r="BI131" s="12">
        <v>4869.32</v>
      </c>
      <c r="BJ131" s="2">
        <v>97.39</v>
      </c>
      <c r="BL131" s="1" t="s">
        <v>90</v>
      </c>
    </row>
    <row r="132" spans="1:64" x14ac:dyDescent="0.3">
      <c r="A132" t="s">
        <v>1268</v>
      </c>
      <c r="B132" s="1" t="s">
        <v>1268</v>
      </c>
      <c r="C132" s="9" t="s">
        <v>1269</v>
      </c>
      <c r="D132" s="1" t="s">
        <v>41</v>
      </c>
      <c r="E132" s="1" t="s">
        <v>135</v>
      </c>
      <c r="F132" s="10" t="s">
        <v>752</v>
      </c>
      <c r="G132" s="1">
        <v>0</v>
      </c>
      <c r="H132" s="1">
        <v>0.02</v>
      </c>
      <c r="I132" s="8">
        <v>45118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239768</v>
      </c>
      <c r="AJ132" s="2">
        <v>53403</v>
      </c>
      <c r="AK132" s="2">
        <v>4281.57</v>
      </c>
      <c r="AL132" s="2">
        <v>953.62</v>
      </c>
      <c r="AM132" s="5">
        <v>2617.6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8795.1200000000008</v>
      </c>
      <c r="AT132" s="12">
        <v>7852.7899999999991</v>
      </c>
      <c r="AU132" s="2">
        <v>157.06</v>
      </c>
      <c r="AV132" s="5">
        <v>0</v>
      </c>
      <c r="AX132" s="2">
        <v>239768</v>
      </c>
      <c r="AY132" s="2">
        <v>53403</v>
      </c>
      <c r="AZ132" s="2">
        <v>4281.57</v>
      </c>
      <c r="BA132" s="2">
        <v>953.62</v>
      </c>
      <c r="BB132" s="5">
        <v>2617.6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8795.1200000000008</v>
      </c>
      <c r="BI132" s="12">
        <v>7852.7899999999991</v>
      </c>
      <c r="BJ132" s="2">
        <v>157.06</v>
      </c>
      <c r="BL132" s="1" t="s">
        <v>302</v>
      </c>
    </row>
    <row r="133" spans="1:64" x14ac:dyDescent="0.3">
      <c r="A133" t="s">
        <v>1268</v>
      </c>
      <c r="B133" s="1" t="s">
        <v>1270</v>
      </c>
      <c r="C133" s="9" t="s">
        <v>1271</v>
      </c>
      <c r="D133" s="1" t="s">
        <v>41</v>
      </c>
      <c r="E133" s="1" t="s">
        <v>135</v>
      </c>
      <c r="F133" s="10" t="s">
        <v>752</v>
      </c>
      <c r="G133" s="1">
        <v>0</v>
      </c>
      <c r="H133" s="1">
        <v>0.02</v>
      </c>
      <c r="I133" s="8">
        <v>45264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229735</v>
      </c>
      <c r="AJ133" s="2">
        <v>16842</v>
      </c>
      <c r="AK133" s="2">
        <v>4102.41</v>
      </c>
      <c r="AL133" s="2">
        <v>300.75</v>
      </c>
      <c r="AM133" s="5">
        <v>2201.58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7397.31</v>
      </c>
      <c r="AT133" s="12">
        <v>6604.74</v>
      </c>
      <c r="AU133" s="2">
        <v>132.09</v>
      </c>
      <c r="AV133" s="5">
        <v>0</v>
      </c>
      <c r="AX133" s="2">
        <v>229735</v>
      </c>
      <c r="AY133" s="2">
        <v>16842</v>
      </c>
      <c r="AZ133" s="2">
        <v>4102.41</v>
      </c>
      <c r="BA133" s="2">
        <v>300.75</v>
      </c>
      <c r="BB133" s="5">
        <v>2201.58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7397.31</v>
      </c>
      <c r="BI133" s="12">
        <v>6604.74</v>
      </c>
      <c r="BJ133" s="2">
        <v>132.09</v>
      </c>
      <c r="BL133" s="1" t="s">
        <v>302</v>
      </c>
    </row>
    <row r="134" spans="1:64" x14ac:dyDescent="0.3">
      <c r="A134" t="s">
        <v>1282</v>
      </c>
      <c r="B134" s="1" t="s">
        <v>1282</v>
      </c>
      <c r="C134" s="9" t="s">
        <v>1283</v>
      </c>
      <c r="D134" s="1" t="s">
        <v>41</v>
      </c>
      <c r="E134" s="1" t="s">
        <v>88</v>
      </c>
      <c r="F134" s="10" t="s">
        <v>671</v>
      </c>
      <c r="G134" s="1">
        <v>0</v>
      </c>
      <c r="H134" s="1">
        <v>0.02</v>
      </c>
      <c r="I134" s="8">
        <v>45230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302539</v>
      </c>
      <c r="AJ134" s="2">
        <v>70793</v>
      </c>
      <c r="AK134" s="2">
        <v>5402.48</v>
      </c>
      <c r="AL134" s="2">
        <v>1264.1600000000001</v>
      </c>
      <c r="AM134" s="5">
        <v>3333.32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11199.96</v>
      </c>
      <c r="AT134" s="12">
        <v>9999.9599999999991</v>
      </c>
      <c r="AU134" s="2">
        <v>200</v>
      </c>
      <c r="AV134" s="5">
        <v>0</v>
      </c>
      <c r="AX134" s="2">
        <v>302539</v>
      </c>
      <c r="AY134" s="2">
        <v>70793</v>
      </c>
      <c r="AZ134" s="2">
        <v>5402.48</v>
      </c>
      <c r="BA134" s="2">
        <v>1264.1600000000001</v>
      </c>
      <c r="BB134" s="5">
        <v>3333.32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11199.96</v>
      </c>
      <c r="BI134" s="12">
        <v>9999.9599999999991</v>
      </c>
      <c r="BJ134" s="2">
        <v>200</v>
      </c>
      <c r="BL134" s="1" t="s">
        <v>90</v>
      </c>
    </row>
    <row r="135" spans="1:64" x14ac:dyDescent="0.3">
      <c r="A135" t="s">
        <v>1308</v>
      </c>
      <c r="B135" s="1" t="s">
        <v>1308</v>
      </c>
      <c r="C135" s="9" t="s">
        <v>1309</v>
      </c>
      <c r="D135" s="1" t="s">
        <v>41</v>
      </c>
      <c r="E135" s="1" t="s">
        <v>128</v>
      </c>
      <c r="F135" s="10" t="s">
        <v>331</v>
      </c>
      <c r="G135" s="1">
        <v>0</v>
      </c>
      <c r="H135" s="1">
        <v>0.02</v>
      </c>
      <c r="I135" s="8">
        <v>45289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555424.6</v>
      </c>
      <c r="AJ135" s="2">
        <v>19032</v>
      </c>
      <c r="AK135" s="2">
        <v>9918.2900000000009</v>
      </c>
      <c r="AL135" s="2">
        <v>339.86</v>
      </c>
      <c r="AM135" s="5">
        <v>5129.08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17233.7</v>
      </c>
      <c r="AT135" s="12">
        <v>15387.230000000001</v>
      </c>
      <c r="AU135" s="2">
        <v>307.74</v>
      </c>
      <c r="AV135" s="5">
        <v>0</v>
      </c>
      <c r="AX135" s="2">
        <v>555424.6</v>
      </c>
      <c r="AY135" s="2">
        <v>19032</v>
      </c>
      <c r="AZ135" s="2">
        <v>9918.2900000000009</v>
      </c>
      <c r="BA135" s="2">
        <v>339.86</v>
      </c>
      <c r="BB135" s="5">
        <v>5129.08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17233.7</v>
      </c>
      <c r="BI135" s="12">
        <v>15387.230000000001</v>
      </c>
      <c r="BJ135" s="2">
        <v>307.74</v>
      </c>
      <c r="BL135" s="1" t="s">
        <v>130</v>
      </c>
    </row>
    <row r="136" spans="1:64" x14ac:dyDescent="0.3">
      <c r="A136" t="s">
        <v>1308</v>
      </c>
      <c r="B136" s="1" t="s">
        <v>1310</v>
      </c>
      <c r="C136" s="9" t="s">
        <v>1311</v>
      </c>
      <c r="D136" s="1" t="s">
        <v>41</v>
      </c>
      <c r="E136" s="1" t="s">
        <v>128</v>
      </c>
      <c r="F136" s="10" t="s">
        <v>331</v>
      </c>
      <c r="G136" s="1">
        <v>0</v>
      </c>
      <c r="H136" s="1">
        <v>0.02</v>
      </c>
      <c r="I136" s="8">
        <v>45330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227085</v>
      </c>
      <c r="AJ136" s="2">
        <v>0</v>
      </c>
      <c r="AK136" s="2">
        <v>4055.09</v>
      </c>
      <c r="AL136" s="2">
        <v>0</v>
      </c>
      <c r="AM136" s="5">
        <v>2027.54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6812.55</v>
      </c>
      <c r="AT136" s="12">
        <v>6082.63</v>
      </c>
      <c r="AU136" s="2">
        <v>121.65</v>
      </c>
      <c r="AV136" s="5">
        <v>0</v>
      </c>
      <c r="AX136" s="2">
        <v>227085</v>
      </c>
      <c r="AY136" s="2">
        <v>0</v>
      </c>
      <c r="AZ136" s="2">
        <v>4055.09</v>
      </c>
      <c r="BA136" s="2">
        <v>0</v>
      </c>
      <c r="BB136" s="5">
        <v>2027.54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6812.55</v>
      </c>
      <c r="BI136" s="12">
        <v>6082.63</v>
      </c>
      <c r="BJ136" s="2">
        <v>121.65</v>
      </c>
      <c r="BL136" s="1" t="s">
        <v>130</v>
      </c>
    </row>
    <row r="137" spans="1:64" x14ac:dyDescent="0.3">
      <c r="A137" t="s">
        <v>1316</v>
      </c>
      <c r="B137" s="1" t="s">
        <v>1316</v>
      </c>
      <c r="C137" s="9" t="s">
        <v>1317</v>
      </c>
      <c r="D137" s="1" t="s">
        <v>41</v>
      </c>
      <c r="E137" s="1" t="s">
        <v>128</v>
      </c>
      <c r="F137" s="10" t="s">
        <v>331</v>
      </c>
      <c r="G137" s="1">
        <v>0</v>
      </c>
      <c r="H137" s="1">
        <v>0.02</v>
      </c>
      <c r="I137" s="8">
        <v>45219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235257.25</v>
      </c>
      <c r="AJ137" s="2">
        <v>23396</v>
      </c>
      <c r="AK137" s="2">
        <v>4201.03</v>
      </c>
      <c r="AL137" s="2">
        <v>417.79</v>
      </c>
      <c r="AM137" s="5">
        <v>2309.4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7759.61</v>
      </c>
      <c r="AT137" s="12">
        <v>6928.2199999999993</v>
      </c>
      <c r="AU137" s="2">
        <v>138.56</v>
      </c>
      <c r="AV137" s="5">
        <v>0</v>
      </c>
      <c r="AX137" s="2">
        <v>235257.25</v>
      </c>
      <c r="AY137" s="2">
        <v>23396</v>
      </c>
      <c r="AZ137" s="2">
        <v>4201.03</v>
      </c>
      <c r="BA137" s="2">
        <v>417.79</v>
      </c>
      <c r="BB137" s="5">
        <v>2309.4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7759.61</v>
      </c>
      <c r="BI137" s="12">
        <v>6928.2199999999993</v>
      </c>
      <c r="BJ137" s="2">
        <v>138.56</v>
      </c>
      <c r="BL137" s="1" t="s">
        <v>130</v>
      </c>
    </row>
    <row r="138" spans="1:64" x14ac:dyDescent="0.3">
      <c r="A138" t="s">
        <v>1326</v>
      </c>
      <c r="B138" s="1" t="s">
        <v>1326</v>
      </c>
      <c r="C138" s="9" t="s">
        <v>1327</v>
      </c>
      <c r="D138" s="1" t="s">
        <v>41</v>
      </c>
      <c r="E138" s="1" t="s">
        <v>135</v>
      </c>
      <c r="F138" s="10" t="s">
        <v>467</v>
      </c>
      <c r="G138" s="1">
        <v>0</v>
      </c>
      <c r="H138" s="1">
        <v>0.02</v>
      </c>
      <c r="I138" s="8">
        <v>45254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480737</v>
      </c>
      <c r="AJ138" s="2">
        <v>60717</v>
      </c>
      <c r="AK138" s="2">
        <v>8584.59</v>
      </c>
      <c r="AL138" s="2">
        <v>1084.23</v>
      </c>
      <c r="AM138" s="5">
        <v>4834.41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16243.62</v>
      </c>
      <c r="AT138" s="12">
        <v>14503.23</v>
      </c>
      <c r="AU138" s="2">
        <v>290.06</v>
      </c>
      <c r="AV138" s="5">
        <v>0</v>
      </c>
      <c r="AX138" s="2">
        <v>480737</v>
      </c>
      <c r="AY138" s="2">
        <v>60717</v>
      </c>
      <c r="AZ138" s="2">
        <v>8584.59</v>
      </c>
      <c r="BA138" s="2">
        <v>1084.23</v>
      </c>
      <c r="BB138" s="5">
        <v>4834.41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16243.62</v>
      </c>
      <c r="BI138" s="12">
        <v>14503.23</v>
      </c>
      <c r="BJ138" s="2">
        <v>290.06</v>
      </c>
      <c r="BL138" s="1" t="s">
        <v>302</v>
      </c>
    </row>
    <row r="139" spans="1:64" x14ac:dyDescent="0.3">
      <c r="A139" t="s">
        <v>1326</v>
      </c>
      <c r="B139" s="1" t="s">
        <v>1328</v>
      </c>
      <c r="C139" s="9" t="s">
        <v>1329</v>
      </c>
      <c r="D139" s="1" t="s">
        <v>41</v>
      </c>
      <c r="E139" s="1" t="s">
        <v>135</v>
      </c>
      <c r="F139" s="10" t="s">
        <v>467</v>
      </c>
      <c r="G139" s="1">
        <v>0</v>
      </c>
      <c r="H139" s="1">
        <v>0.02</v>
      </c>
      <c r="I139" s="8">
        <v>45219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100059</v>
      </c>
      <c r="AJ139" s="2">
        <v>19915</v>
      </c>
      <c r="AK139" s="2">
        <v>1786.77</v>
      </c>
      <c r="AL139" s="2">
        <v>355.62</v>
      </c>
      <c r="AM139" s="5">
        <v>1071.2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3599.22</v>
      </c>
      <c r="AT139" s="12">
        <v>3213.59</v>
      </c>
      <c r="AU139" s="2">
        <v>64.27</v>
      </c>
      <c r="AV139" s="5">
        <v>0</v>
      </c>
      <c r="AX139" s="2">
        <v>100059</v>
      </c>
      <c r="AY139" s="2">
        <v>19915</v>
      </c>
      <c r="AZ139" s="2">
        <v>1786.77</v>
      </c>
      <c r="BA139" s="2">
        <v>355.62</v>
      </c>
      <c r="BB139" s="5">
        <v>1071.2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3599.22</v>
      </c>
      <c r="BI139" s="12">
        <v>3213.59</v>
      </c>
      <c r="BJ139" s="2">
        <v>64.27</v>
      </c>
      <c r="BL139" s="1" t="s">
        <v>302</v>
      </c>
    </row>
    <row r="140" spans="1:64" x14ac:dyDescent="0.3">
      <c r="A140" t="s">
        <v>1326</v>
      </c>
      <c r="B140" s="1" t="s">
        <v>1330</v>
      </c>
      <c r="C140" s="9" t="s">
        <v>1331</v>
      </c>
      <c r="D140" s="1" t="s">
        <v>41</v>
      </c>
      <c r="E140" s="1" t="s">
        <v>135</v>
      </c>
      <c r="F140" s="10" t="s">
        <v>467</v>
      </c>
      <c r="G140" s="1">
        <v>0</v>
      </c>
      <c r="H140" s="1">
        <v>0.02</v>
      </c>
      <c r="I140" s="8">
        <v>45315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266987</v>
      </c>
      <c r="AJ140" s="2">
        <v>38305</v>
      </c>
      <c r="AK140" s="2">
        <v>4767.62</v>
      </c>
      <c r="AL140" s="2">
        <v>684.02</v>
      </c>
      <c r="AM140" s="5">
        <v>2725.82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9158.76</v>
      </c>
      <c r="AT140" s="12">
        <v>8177.4599999999991</v>
      </c>
      <c r="AU140" s="2">
        <v>163.55000000000001</v>
      </c>
      <c r="AV140" s="5">
        <v>0</v>
      </c>
      <c r="AX140" s="2">
        <v>266987</v>
      </c>
      <c r="AY140" s="2">
        <v>38305</v>
      </c>
      <c r="AZ140" s="2">
        <v>4767.62</v>
      </c>
      <c r="BA140" s="2">
        <v>684.02</v>
      </c>
      <c r="BB140" s="5">
        <v>2725.82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9158.76</v>
      </c>
      <c r="BI140" s="12">
        <v>8177.4599999999991</v>
      </c>
      <c r="BJ140" s="2">
        <v>163.55000000000001</v>
      </c>
      <c r="BL140" s="1" t="s">
        <v>302</v>
      </c>
    </row>
    <row r="141" spans="1:64" x14ac:dyDescent="0.3">
      <c r="A141" t="s">
        <v>1326</v>
      </c>
      <c r="B141" s="1" t="s">
        <v>1332</v>
      </c>
      <c r="C141" s="9" t="s">
        <v>1333</v>
      </c>
      <c r="D141" s="1" t="s">
        <v>41</v>
      </c>
      <c r="E141" s="1" t="s">
        <v>135</v>
      </c>
      <c r="F141" s="10" t="s">
        <v>467</v>
      </c>
      <c r="G141" s="1">
        <v>0</v>
      </c>
      <c r="H141" s="1">
        <v>0.02</v>
      </c>
      <c r="I141" s="8">
        <v>45771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1711.71</v>
      </c>
      <c r="T141" s="11">
        <v>1917.1200000000003</v>
      </c>
      <c r="U141" s="6">
        <v>1711.71</v>
      </c>
      <c r="V141" s="6">
        <v>34.230000000000004</v>
      </c>
      <c r="W141" s="6">
        <v>0</v>
      </c>
      <c r="AI141" s="2">
        <v>0</v>
      </c>
      <c r="AJ141" s="2">
        <v>0</v>
      </c>
      <c r="AK141" s="2">
        <v>0</v>
      </c>
      <c r="AL141" s="2">
        <v>0</v>
      </c>
      <c r="AM141" s="5">
        <v>0</v>
      </c>
      <c r="AN141" s="12">
        <v>191711.40000000002</v>
      </c>
      <c r="AO141" s="2">
        <v>0</v>
      </c>
      <c r="AP141" s="2">
        <v>798.79</v>
      </c>
      <c r="AQ141" s="2">
        <v>0</v>
      </c>
      <c r="AR141" s="5">
        <v>1711.71</v>
      </c>
      <c r="AS141" s="2">
        <v>2811.76</v>
      </c>
      <c r="AT141" s="12">
        <v>2510.5</v>
      </c>
      <c r="AU141" s="2">
        <v>50.21</v>
      </c>
      <c r="AV141" s="5">
        <v>0</v>
      </c>
      <c r="AX141" s="2">
        <v>0</v>
      </c>
      <c r="AY141" s="2">
        <v>0</v>
      </c>
      <c r="AZ141" s="2">
        <v>0</v>
      </c>
      <c r="BA141" s="2">
        <v>0</v>
      </c>
      <c r="BB141" s="5">
        <v>0</v>
      </c>
      <c r="BC141" s="12">
        <v>191711.40000000002</v>
      </c>
      <c r="BD141" s="2">
        <v>0</v>
      </c>
      <c r="BE141" s="2">
        <v>798.79</v>
      </c>
      <c r="BF141" s="2">
        <v>0</v>
      </c>
      <c r="BG141" s="5">
        <v>0</v>
      </c>
      <c r="BH141" s="2">
        <v>894.64</v>
      </c>
      <c r="BI141" s="12">
        <v>798.79</v>
      </c>
      <c r="BJ141" s="2">
        <v>15.98</v>
      </c>
      <c r="BL141" s="1" t="s">
        <v>302</v>
      </c>
    </row>
    <row r="142" spans="1:64" x14ac:dyDescent="0.3">
      <c r="A142" t="s">
        <v>1338</v>
      </c>
      <c r="B142" s="1" t="s">
        <v>1339</v>
      </c>
      <c r="C142" s="9" t="s">
        <v>1340</v>
      </c>
      <c r="D142" s="1" t="s">
        <v>41</v>
      </c>
      <c r="E142" s="1" t="s">
        <v>128</v>
      </c>
      <c r="F142" s="10" t="s">
        <v>331</v>
      </c>
      <c r="G142" s="1">
        <v>0</v>
      </c>
      <c r="H142" s="1">
        <v>0.02</v>
      </c>
      <c r="I142" s="8">
        <v>45140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153322.35</v>
      </c>
      <c r="AJ142" s="2">
        <v>12395</v>
      </c>
      <c r="AK142" s="2">
        <v>2737.9</v>
      </c>
      <c r="AL142" s="2">
        <v>221.34</v>
      </c>
      <c r="AM142" s="5">
        <v>1479.62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4971.5200000000004</v>
      </c>
      <c r="AT142" s="12">
        <v>4438.8600000000006</v>
      </c>
      <c r="AU142" s="2">
        <v>88.78</v>
      </c>
      <c r="AV142" s="5">
        <v>0</v>
      </c>
      <c r="AX142" s="2">
        <v>153322.35</v>
      </c>
      <c r="AY142" s="2">
        <v>12395</v>
      </c>
      <c r="AZ142" s="2">
        <v>2737.9</v>
      </c>
      <c r="BA142" s="2">
        <v>221.34</v>
      </c>
      <c r="BB142" s="5">
        <v>1479.62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4971.5200000000004</v>
      </c>
      <c r="BI142" s="12">
        <v>4438.8600000000006</v>
      </c>
      <c r="BJ142" s="2">
        <v>88.78</v>
      </c>
      <c r="BL142" s="1" t="s">
        <v>130</v>
      </c>
    </row>
    <row r="143" spans="1:64" x14ac:dyDescent="0.3">
      <c r="A143" t="s">
        <v>1338</v>
      </c>
      <c r="B143" s="1" t="s">
        <v>1338</v>
      </c>
      <c r="C143" s="9" t="s">
        <v>1341</v>
      </c>
      <c r="D143" s="1" t="s">
        <v>41</v>
      </c>
      <c r="E143" s="1" t="s">
        <v>128</v>
      </c>
      <c r="F143" s="10" t="s">
        <v>331</v>
      </c>
      <c r="G143" s="1">
        <v>0</v>
      </c>
      <c r="H143" s="1">
        <v>0.02</v>
      </c>
      <c r="I143" s="8">
        <v>45280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165405.45000000001</v>
      </c>
      <c r="AJ143" s="2">
        <v>12693</v>
      </c>
      <c r="AK143" s="2">
        <v>2953.67</v>
      </c>
      <c r="AL143" s="2">
        <v>226.66</v>
      </c>
      <c r="AM143" s="5">
        <v>1590.16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5342.95</v>
      </c>
      <c r="AT143" s="12">
        <v>4770.49</v>
      </c>
      <c r="AU143" s="2">
        <v>95.41</v>
      </c>
      <c r="AV143" s="5">
        <v>0</v>
      </c>
      <c r="AX143" s="2">
        <v>165405.45000000001</v>
      </c>
      <c r="AY143" s="2">
        <v>12693</v>
      </c>
      <c r="AZ143" s="2">
        <v>2953.67</v>
      </c>
      <c r="BA143" s="2">
        <v>226.66</v>
      </c>
      <c r="BB143" s="5">
        <v>1590.16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5342.95</v>
      </c>
      <c r="BI143" s="12">
        <v>4770.49</v>
      </c>
      <c r="BJ143" s="2">
        <v>95.41</v>
      </c>
      <c r="BL143" s="1" t="s">
        <v>130</v>
      </c>
    </row>
    <row r="144" spans="1:64" x14ac:dyDescent="0.3">
      <c r="A144" t="s">
        <v>1342</v>
      </c>
      <c r="B144" s="1" t="s">
        <v>1342</v>
      </c>
      <c r="C144" s="9" t="s">
        <v>1343</v>
      </c>
      <c r="D144" s="1" t="s">
        <v>41</v>
      </c>
      <c r="E144" s="1" t="s">
        <v>88</v>
      </c>
      <c r="F144" s="10" t="s">
        <v>671</v>
      </c>
      <c r="G144" s="1">
        <v>0</v>
      </c>
      <c r="H144" s="1">
        <v>0.02</v>
      </c>
      <c r="I144" s="8">
        <v>45315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87597</v>
      </c>
      <c r="AJ144" s="2">
        <v>21294</v>
      </c>
      <c r="AK144" s="2">
        <v>1564.23</v>
      </c>
      <c r="AL144" s="2">
        <v>380.25</v>
      </c>
      <c r="AM144" s="5">
        <v>972.24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3266.73</v>
      </c>
      <c r="AT144" s="12">
        <v>2916.7200000000003</v>
      </c>
      <c r="AU144" s="2">
        <v>58.33</v>
      </c>
      <c r="AV144" s="5">
        <v>0</v>
      </c>
      <c r="AX144" s="2">
        <v>87597</v>
      </c>
      <c r="AY144" s="2">
        <v>21294</v>
      </c>
      <c r="AZ144" s="2">
        <v>1564.23</v>
      </c>
      <c r="BA144" s="2">
        <v>380.25</v>
      </c>
      <c r="BB144" s="5">
        <v>972.24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3266.73</v>
      </c>
      <c r="BI144" s="12">
        <v>2916.7200000000003</v>
      </c>
      <c r="BJ144" s="2">
        <v>58.33</v>
      </c>
      <c r="BL144" s="1" t="s">
        <v>90</v>
      </c>
    </row>
    <row r="145" spans="1:64" x14ac:dyDescent="0.3">
      <c r="A145" t="s">
        <v>1375</v>
      </c>
      <c r="B145" s="1" t="s">
        <v>1376</v>
      </c>
      <c r="C145" s="9" t="s">
        <v>1377</v>
      </c>
      <c r="D145" s="1" t="s">
        <v>41</v>
      </c>
      <c r="E145" s="1" t="s">
        <v>128</v>
      </c>
      <c r="F145" s="10" t="s">
        <v>372</v>
      </c>
      <c r="G145" s="1">
        <v>0</v>
      </c>
      <c r="H145" s="1">
        <v>0.02</v>
      </c>
      <c r="I145" s="8">
        <v>44720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47270.5</v>
      </c>
      <c r="AJ145" s="2">
        <v>0</v>
      </c>
      <c r="AK145" s="2">
        <v>844.12</v>
      </c>
      <c r="AL145" s="2">
        <v>0</v>
      </c>
      <c r="AM145" s="5">
        <v>422.05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1418.11</v>
      </c>
      <c r="AT145" s="12">
        <v>1266.17</v>
      </c>
      <c r="AU145" s="2">
        <v>25.32</v>
      </c>
      <c r="AV145" s="5">
        <v>0</v>
      </c>
      <c r="AX145" s="2">
        <v>47270.5</v>
      </c>
      <c r="AY145" s="2">
        <v>0</v>
      </c>
      <c r="AZ145" s="2">
        <v>844.12</v>
      </c>
      <c r="BA145" s="2">
        <v>0</v>
      </c>
      <c r="BB145" s="5">
        <v>422.05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1418.11</v>
      </c>
      <c r="BI145" s="12">
        <v>1266.17</v>
      </c>
      <c r="BJ145" s="2">
        <v>25.32</v>
      </c>
      <c r="BL145" s="1" t="s">
        <v>130</v>
      </c>
    </row>
    <row r="146" spans="1:64" x14ac:dyDescent="0.3">
      <c r="A146" t="s">
        <v>1375</v>
      </c>
      <c r="B146" s="1" t="s">
        <v>1375</v>
      </c>
      <c r="C146" s="9" t="s">
        <v>1378</v>
      </c>
      <c r="D146" s="1" t="s">
        <v>41</v>
      </c>
      <c r="E146" s="1" t="s">
        <v>128</v>
      </c>
      <c r="F146" s="10" t="s">
        <v>372</v>
      </c>
      <c r="G146" s="1">
        <v>0</v>
      </c>
      <c r="H146" s="1">
        <v>0.02</v>
      </c>
      <c r="I146" s="8">
        <v>45573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83168</v>
      </c>
      <c r="AJ146" s="2">
        <v>16874</v>
      </c>
      <c r="AK146" s="2">
        <v>1485.14</v>
      </c>
      <c r="AL146" s="2">
        <v>301.32</v>
      </c>
      <c r="AM146" s="5">
        <v>893.23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3001.25</v>
      </c>
      <c r="AT146" s="12">
        <v>2679.69</v>
      </c>
      <c r="AU146" s="2">
        <v>53.59</v>
      </c>
      <c r="AV146" s="5">
        <v>0</v>
      </c>
      <c r="AX146" s="2">
        <v>83168</v>
      </c>
      <c r="AY146" s="2">
        <v>16874</v>
      </c>
      <c r="AZ146" s="2">
        <v>1485.14</v>
      </c>
      <c r="BA146" s="2">
        <v>301.32</v>
      </c>
      <c r="BB146" s="5">
        <v>893.23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3001.25</v>
      </c>
      <c r="BI146" s="12">
        <v>2679.69</v>
      </c>
      <c r="BJ146" s="2">
        <v>53.59</v>
      </c>
      <c r="BL146" s="1" t="s">
        <v>130</v>
      </c>
    </row>
    <row r="147" spans="1:64" x14ac:dyDescent="0.3">
      <c r="A147" t="s">
        <v>1403</v>
      </c>
      <c r="B147" s="1" t="s">
        <v>1403</v>
      </c>
      <c r="C147" s="9" t="s">
        <v>1404</v>
      </c>
      <c r="D147" s="1" t="s">
        <v>41</v>
      </c>
      <c r="E147" s="1" t="s">
        <v>128</v>
      </c>
      <c r="F147" s="10" t="s">
        <v>385</v>
      </c>
      <c r="G147" s="1">
        <v>0</v>
      </c>
      <c r="H147" s="1">
        <v>0.02</v>
      </c>
      <c r="I147" s="8">
        <v>45349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453984</v>
      </c>
      <c r="AJ147" s="2">
        <v>43826</v>
      </c>
      <c r="AK147" s="2">
        <v>8106.86</v>
      </c>
      <c r="AL147" s="2">
        <v>782.61</v>
      </c>
      <c r="AM147" s="5">
        <v>4444.7299999999996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14934.3</v>
      </c>
      <c r="AT147" s="12">
        <v>13334.199999999999</v>
      </c>
      <c r="AU147" s="2">
        <v>266.68</v>
      </c>
      <c r="AV147" s="5">
        <v>0</v>
      </c>
      <c r="AX147" s="2">
        <v>453984</v>
      </c>
      <c r="AY147" s="2">
        <v>43826</v>
      </c>
      <c r="AZ147" s="2">
        <v>8106.86</v>
      </c>
      <c r="BA147" s="2">
        <v>782.61</v>
      </c>
      <c r="BB147" s="5">
        <v>4444.7299999999996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14934.3</v>
      </c>
      <c r="BI147" s="12">
        <v>13334.199999999999</v>
      </c>
      <c r="BJ147" s="2">
        <v>266.68</v>
      </c>
      <c r="BL147" s="1" t="s">
        <v>326</v>
      </c>
    </row>
    <row r="148" spans="1:64" x14ac:dyDescent="0.3">
      <c r="A148" t="s">
        <v>265</v>
      </c>
      <c r="B148" s="1" t="s">
        <v>265</v>
      </c>
      <c r="C148" s="9" t="s">
        <v>266</v>
      </c>
      <c r="D148" s="1" t="s">
        <v>42</v>
      </c>
      <c r="E148" s="1" t="s">
        <v>88</v>
      </c>
      <c r="F148" s="10" t="s">
        <v>267</v>
      </c>
      <c r="G148" s="1">
        <v>2.5000000000000001E-2</v>
      </c>
      <c r="H148" s="1">
        <v>0.02</v>
      </c>
      <c r="I148" s="8">
        <v>45527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1358077</v>
      </c>
      <c r="AJ148" s="2">
        <v>258509</v>
      </c>
      <c r="AK148" s="2">
        <v>24251.38</v>
      </c>
      <c r="AL148" s="2">
        <v>4616.2299999999996</v>
      </c>
      <c r="AM148" s="5">
        <v>14433.8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48497.58</v>
      </c>
      <c r="AT148" s="12">
        <v>43301.41</v>
      </c>
      <c r="AU148" s="2">
        <v>866.03</v>
      </c>
      <c r="AV148" s="5">
        <v>0</v>
      </c>
      <c r="AX148" s="2">
        <v>1358077</v>
      </c>
      <c r="AY148" s="2">
        <v>258509</v>
      </c>
      <c r="AZ148" s="2">
        <v>24251.38</v>
      </c>
      <c r="BA148" s="2">
        <v>4616.2299999999996</v>
      </c>
      <c r="BB148" s="5">
        <v>14433.8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48497.58</v>
      </c>
      <c r="BI148" s="12">
        <v>43301.41</v>
      </c>
      <c r="BJ148" s="2">
        <v>866.03</v>
      </c>
      <c r="BL148" s="1" t="s">
        <v>90</v>
      </c>
    </row>
    <row r="149" spans="1:64" x14ac:dyDescent="0.3">
      <c r="A149" t="s">
        <v>265</v>
      </c>
      <c r="B149" s="1" t="s">
        <v>268</v>
      </c>
      <c r="C149" s="9" t="s">
        <v>269</v>
      </c>
      <c r="D149" s="1" t="s">
        <v>42</v>
      </c>
      <c r="E149" s="1" t="s">
        <v>88</v>
      </c>
      <c r="F149" s="10" t="s">
        <v>267</v>
      </c>
      <c r="G149" s="1">
        <v>0</v>
      </c>
      <c r="H149" s="1">
        <v>0.02</v>
      </c>
      <c r="I149" s="8">
        <v>45616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149293</v>
      </c>
      <c r="AJ149" s="2">
        <v>49680</v>
      </c>
      <c r="AK149" s="2">
        <v>2665.95</v>
      </c>
      <c r="AL149" s="2">
        <v>887.14</v>
      </c>
      <c r="AM149" s="5">
        <v>1776.54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5969.19</v>
      </c>
      <c r="AT149" s="12">
        <v>5329.6299999999992</v>
      </c>
      <c r="AU149" s="2">
        <v>106.59</v>
      </c>
      <c r="AV149" s="5">
        <v>0</v>
      </c>
      <c r="AX149" s="2">
        <v>149293</v>
      </c>
      <c r="AY149" s="2">
        <v>49680</v>
      </c>
      <c r="AZ149" s="2">
        <v>2665.95</v>
      </c>
      <c r="BA149" s="2">
        <v>887.14</v>
      </c>
      <c r="BB149" s="5">
        <v>1776.54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5969.19</v>
      </c>
      <c r="BI149" s="12">
        <v>5329.6299999999992</v>
      </c>
      <c r="BJ149" s="2">
        <v>106.59</v>
      </c>
      <c r="BL149" s="1" t="s">
        <v>90</v>
      </c>
    </row>
    <row r="150" spans="1:64" x14ac:dyDescent="0.3">
      <c r="A150" t="s">
        <v>470</v>
      </c>
      <c r="B150" s="1" t="s">
        <v>470</v>
      </c>
      <c r="C150" s="9" t="s">
        <v>471</v>
      </c>
      <c r="D150" s="1" t="s">
        <v>42</v>
      </c>
      <c r="E150" s="1" t="s">
        <v>88</v>
      </c>
      <c r="F150" s="10" t="s">
        <v>472</v>
      </c>
      <c r="G150" s="1">
        <v>2.5000000000000001E-2</v>
      </c>
      <c r="H150" s="1">
        <v>0.02</v>
      </c>
      <c r="I150" s="8">
        <v>44418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368343.60000000003</v>
      </c>
      <c r="AJ150" s="2">
        <v>81963.199999999997</v>
      </c>
      <c r="AK150" s="2">
        <v>6577.56</v>
      </c>
      <c r="AL150" s="2">
        <v>1463.62</v>
      </c>
      <c r="AM150" s="5">
        <v>4020.6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13509.19</v>
      </c>
      <c r="AT150" s="12">
        <v>12061.78</v>
      </c>
      <c r="AU150" s="2">
        <v>241.24</v>
      </c>
      <c r="AV150" s="5">
        <v>0</v>
      </c>
      <c r="AX150" s="2">
        <v>368343.60000000003</v>
      </c>
      <c r="AY150" s="2">
        <v>81963.199999999997</v>
      </c>
      <c r="AZ150" s="2">
        <v>6577.56</v>
      </c>
      <c r="BA150" s="2">
        <v>1463.62</v>
      </c>
      <c r="BB150" s="5">
        <v>4020.6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13509.19</v>
      </c>
      <c r="BI150" s="12">
        <v>12061.78</v>
      </c>
      <c r="BJ150" s="2">
        <v>241.24</v>
      </c>
      <c r="BL150" s="1" t="s">
        <v>90</v>
      </c>
    </row>
    <row r="151" spans="1:64" x14ac:dyDescent="0.3">
      <c r="A151" t="s">
        <v>470</v>
      </c>
      <c r="B151" s="1" t="s">
        <v>473</v>
      </c>
      <c r="C151" s="9" t="s">
        <v>474</v>
      </c>
      <c r="D151" s="1" t="s">
        <v>42</v>
      </c>
      <c r="E151" s="1" t="s">
        <v>88</v>
      </c>
      <c r="F151" s="10" t="s">
        <v>472</v>
      </c>
      <c r="G151" s="1">
        <v>2.5000000000000001E-2</v>
      </c>
      <c r="H151" s="1">
        <v>0.02</v>
      </c>
      <c r="I151" s="8">
        <v>44418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238129</v>
      </c>
      <c r="AJ151" s="2">
        <v>76610</v>
      </c>
      <c r="AK151" s="2">
        <v>4252.3</v>
      </c>
      <c r="AL151" s="2">
        <v>1368.04</v>
      </c>
      <c r="AM151" s="5">
        <v>2810.17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9442.17</v>
      </c>
      <c r="AT151" s="12">
        <v>8430.51</v>
      </c>
      <c r="AU151" s="2">
        <v>168.61</v>
      </c>
      <c r="AV151" s="5">
        <v>0</v>
      </c>
      <c r="AX151" s="2">
        <v>238129</v>
      </c>
      <c r="AY151" s="2">
        <v>76610</v>
      </c>
      <c r="AZ151" s="2">
        <v>4252.3</v>
      </c>
      <c r="BA151" s="2">
        <v>1368.04</v>
      </c>
      <c r="BB151" s="5">
        <v>2810.17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9442.17</v>
      </c>
      <c r="BI151" s="12">
        <v>8430.51</v>
      </c>
      <c r="BJ151" s="2">
        <v>168.61</v>
      </c>
      <c r="BL151" s="1" t="s">
        <v>90</v>
      </c>
    </row>
    <row r="152" spans="1:64" x14ac:dyDescent="0.3">
      <c r="A152" t="s">
        <v>502</v>
      </c>
      <c r="B152" s="1" t="s">
        <v>502</v>
      </c>
      <c r="C152" s="9" t="s">
        <v>503</v>
      </c>
      <c r="D152" s="1" t="s">
        <v>42</v>
      </c>
      <c r="E152" s="1" t="s">
        <v>88</v>
      </c>
      <c r="F152" s="10" t="s">
        <v>472</v>
      </c>
      <c r="G152" s="1">
        <v>3.5000000000000003E-2</v>
      </c>
      <c r="H152" s="1">
        <v>0.02</v>
      </c>
      <c r="I152" s="8">
        <v>45118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510480.17</v>
      </c>
      <c r="AJ152" s="2">
        <v>214412.56</v>
      </c>
      <c r="AK152" s="2">
        <v>9115.7099999999991</v>
      </c>
      <c r="AL152" s="2">
        <v>3828.79</v>
      </c>
      <c r="AM152" s="5">
        <v>6472.26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21746.77</v>
      </c>
      <c r="AT152" s="12">
        <v>19416.760000000002</v>
      </c>
      <c r="AU152" s="2">
        <v>388.34</v>
      </c>
      <c r="AV152" s="5">
        <v>0</v>
      </c>
      <c r="AX152" s="2">
        <v>510480.17</v>
      </c>
      <c r="AY152" s="2">
        <v>214412.56</v>
      </c>
      <c r="AZ152" s="2">
        <v>9115.7099999999991</v>
      </c>
      <c r="BA152" s="2">
        <v>3828.79</v>
      </c>
      <c r="BB152" s="5">
        <v>6472.26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21746.77</v>
      </c>
      <c r="BI152" s="12">
        <v>19416.760000000002</v>
      </c>
      <c r="BJ152" s="2">
        <v>388.34</v>
      </c>
      <c r="BL152" s="1" t="s">
        <v>90</v>
      </c>
    </row>
    <row r="153" spans="1:64" x14ac:dyDescent="0.3">
      <c r="A153" t="s">
        <v>502</v>
      </c>
      <c r="B153" s="1" t="s">
        <v>504</v>
      </c>
      <c r="C153" s="9" t="s">
        <v>505</v>
      </c>
      <c r="D153" s="1" t="s">
        <v>42</v>
      </c>
      <c r="E153" s="1" t="s">
        <v>88</v>
      </c>
      <c r="F153" s="10" t="s">
        <v>472</v>
      </c>
      <c r="G153" s="1">
        <v>0.04</v>
      </c>
      <c r="H153" s="1">
        <v>0.02</v>
      </c>
      <c r="I153" s="8">
        <v>45118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-858</v>
      </c>
      <c r="AJ153" s="2">
        <v>33465</v>
      </c>
      <c r="AK153" s="2">
        <v>-15.32</v>
      </c>
      <c r="AL153" s="2">
        <v>597.59</v>
      </c>
      <c r="AM153" s="5">
        <v>291.13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978.21</v>
      </c>
      <c r="AT153" s="12">
        <v>873.4</v>
      </c>
      <c r="AU153" s="2">
        <v>17.47</v>
      </c>
      <c r="AV153" s="5">
        <v>0</v>
      </c>
      <c r="AX153" s="2">
        <v>-858</v>
      </c>
      <c r="AY153" s="2">
        <v>33465</v>
      </c>
      <c r="AZ153" s="2">
        <v>-15.32</v>
      </c>
      <c r="BA153" s="2">
        <v>597.59</v>
      </c>
      <c r="BB153" s="5">
        <v>291.13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978.21</v>
      </c>
      <c r="BI153" s="12">
        <v>873.4</v>
      </c>
      <c r="BJ153" s="2">
        <v>17.47</v>
      </c>
      <c r="BL153" s="1" t="s">
        <v>90</v>
      </c>
    </row>
    <row r="154" spans="1:64" x14ac:dyDescent="0.3">
      <c r="A154" t="s">
        <v>506</v>
      </c>
      <c r="B154" s="1" t="s">
        <v>506</v>
      </c>
      <c r="C154" s="9" t="s">
        <v>507</v>
      </c>
      <c r="D154" s="1" t="s">
        <v>42</v>
      </c>
      <c r="E154" s="1" t="s">
        <v>88</v>
      </c>
      <c r="F154" s="10" t="s">
        <v>472</v>
      </c>
      <c r="G154" s="1">
        <v>3.5000000000000003E-2</v>
      </c>
      <c r="H154" s="1">
        <v>0.02</v>
      </c>
      <c r="I154" s="8">
        <v>45160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911982.85</v>
      </c>
      <c r="AJ154" s="2">
        <v>193567.93</v>
      </c>
      <c r="AK154" s="2">
        <v>16285.41</v>
      </c>
      <c r="AL154" s="2">
        <v>3456.57</v>
      </c>
      <c r="AM154" s="5">
        <v>9870.99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33166.53</v>
      </c>
      <c r="AT154" s="12">
        <v>29612.97</v>
      </c>
      <c r="AU154" s="2">
        <v>592.26</v>
      </c>
      <c r="AV154" s="5">
        <v>0</v>
      </c>
      <c r="AX154" s="2">
        <v>911982.85</v>
      </c>
      <c r="AY154" s="2">
        <v>193567.93</v>
      </c>
      <c r="AZ154" s="2">
        <v>16285.41</v>
      </c>
      <c r="BA154" s="2">
        <v>3456.57</v>
      </c>
      <c r="BB154" s="5">
        <v>9870.99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33166.53</v>
      </c>
      <c r="BI154" s="12">
        <v>29612.97</v>
      </c>
      <c r="BJ154" s="2">
        <v>592.26</v>
      </c>
      <c r="BL154" s="1" t="s">
        <v>90</v>
      </c>
    </row>
    <row r="155" spans="1:64" x14ac:dyDescent="0.3">
      <c r="A155" t="s">
        <v>506</v>
      </c>
      <c r="B155" s="1" t="s">
        <v>508</v>
      </c>
      <c r="C155" s="9" t="s">
        <v>509</v>
      </c>
      <c r="D155" s="1" t="s">
        <v>42</v>
      </c>
      <c r="E155" s="1" t="s">
        <v>88</v>
      </c>
      <c r="F155" s="10" t="s">
        <v>472</v>
      </c>
      <c r="G155" s="1">
        <v>0</v>
      </c>
      <c r="H155" s="1">
        <v>0.02</v>
      </c>
      <c r="I155" s="8">
        <v>45160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-1677</v>
      </c>
      <c r="AJ155" s="2">
        <v>15446</v>
      </c>
      <c r="AK155" s="2">
        <v>-29.95</v>
      </c>
      <c r="AL155" s="2">
        <v>275.82</v>
      </c>
      <c r="AM155" s="5">
        <v>122.94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413.07</v>
      </c>
      <c r="AT155" s="12">
        <v>368.81</v>
      </c>
      <c r="AU155" s="2">
        <v>7.38</v>
      </c>
      <c r="AV155" s="5">
        <v>0</v>
      </c>
      <c r="AX155" s="2">
        <v>-1677</v>
      </c>
      <c r="AY155" s="2">
        <v>15446</v>
      </c>
      <c r="AZ155" s="2">
        <v>-29.95</v>
      </c>
      <c r="BA155" s="2">
        <v>275.82</v>
      </c>
      <c r="BB155" s="5">
        <v>122.94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413.07</v>
      </c>
      <c r="BI155" s="12">
        <v>368.81</v>
      </c>
      <c r="BJ155" s="2">
        <v>7.38</v>
      </c>
      <c r="BL155" s="1" t="s">
        <v>90</v>
      </c>
    </row>
    <row r="156" spans="1:64" x14ac:dyDescent="0.3">
      <c r="A156" t="s">
        <v>559</v>
      </c>
      <c r="B156" s="1" t="s">
        <v>559</v>
      </c>
      <c r="C156" s="9" t="s">
        <v>560</v>
      </c>
      <c r="D156" s="1" t="s">
        <v>42</v>
      </c>
      <c r="E156" s="1" t="s">
        <v>88</v>
      </c>
      <c r="F156" s="10" t="s">
        <v>472</v>
      </c>
      <c r="G156" s="1">
        <v>2.5000000000000001E-2</v>
      </c>
      <c r="H156" s="1">
        <v>0.02</v>
      </c>
      <c r="I156" s="8">
        <v>44093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564639.93999999994</v>
      </c>
      <c r="AJ156" s="2">
        <v>215688.66</v>
      </c>
      <c r="AK156" s="2">
        <v>10082.86</v>
      </c>
      <c r="AL156" s="2">
        <v>3851.58</v>
      </c>
      <c r="AM156" s="5">
        <v>6967.22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23409.86</v>
      </c>
      <c r="AT156" s="12">
        <v>20901.66</v>
      </c>
      <c r="AU156" s="2">
        <v>418.03</v>
      </c>
      <c r="AV156" s="5">
        <v>0</v>
      </c>
      <c r="AX156" s="2">
        <v>564639.93999999994</v>
      </c>
      <c r="AY156" s="2">
        <v>215688.66</v>
      </c>
      <c r="AZ156" s="2">
        <v>10082.86</v>
      </c>
      <c r="BA156" s="2">
        <v>3851.58</v>
      </c>
      <c r="BB156" s="5">
        <v>6967.22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23409.86</v>
      </c>
      <c r="BI156" s="12">
        <v>20901.66</v>
      </c>
      <c r="BJ156" s="2">
        <v>418.03</v>
      </c>
      <c r="BL156" s="1" t="s">
        <v>90</v>
      </c>
    </row>
    <row r="157" spans="1:64" x14ac:dyDescent="0.3">
      <c r="A157" t="s">
        <v>559</v>
      </c>
      <c r="B157" s="1" t="s">
        <v>561</v>
      </c>
      <c r="C157" s="9" t="s">
        <v>562</v>
      </c>
      <c r="D157" s="1" t="s">
        <v>42</v>
      </c>
      <c r="E157" s="1" t="s">
        <v>88</v>
      </c>
      <c r="F157" s="10" t="s">
        <v>472</v>
      </c>
      <c r="G157" s="1">
        <v>2.5000000000000001E-2</v>
      </c>
      <c r="H157" s="1">
        <v>0.02</v>
      </c>
      <c r="I157" s="8">
        <v>44093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44473</v>
      </c>
      <c r="AJ157" s="2">
        <v>49647</v>
      </c>
      <c r="AK157" s="2">
        <v>794.16</v>
      </c>
      <c r="AL157" s="2">
        <v>886.55</v>
      </c>
      <c r="AM157" s="5">
        <v>840.36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2823.6</v>
      </c>
      <c r="AT157" s="12">
        <v>2521.0700000000002</v>
      </c>
      <c r="AU157" s="2">
        <v>50.42</v>
      </c>
      <c r="AV157" s="5">
        <v>0</v>
      </c>
      <c r="AX157" s="2">
        <v>44473</v>
      </c>
      <c r="AY157" s="2">
        <v>49647</v>
      </c>
      <c r="AZ157" s="2">
        <v>794.16</v>
      </c>
      <c r="BA157" s="2">
        <v>886.55</v>
      </c>
      <c r="BB157" s="5">
        <v>840.36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2823.6</v>
      </c>
      <c r="BI157" s="12">
        <v>2521.0700000000002</v>
      </c>
      <c r="BJ157" s="2">
        <v>50.42</v>
      </c>
      <c r="BL157" s="1" t="s">
        <v>90</v>
      </c>
    </row>
    <row r="158" spans="1:64" x14ac:dyDescent="0.3">
      <c r="A158" t="s">
        <v>559</v>
      </c>
      <c r="B158" s="1" t="s">
        <v>563</v>
      </c>
      <c r="C158" s="9" t="s">
        <v>564</v>
      </c>
      <c r="D158" s="1" t="s">
        <v>42</v>
      </c>
      <c r="E158" s="1" t="s">
        <v>88</v>
      </c>
      <c r="F158" s="10" t="s">
        <v>472</v>
      </c>
      <c r="G158" s="1">
        <v>0</v>
      </c>
      <c r="H158" s="1">
        <v>0.02</v>
      </c>
      <c r="I158" s="8">
        <v>44093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-5410</v>
      </c>
      <c r="AJ158" s="2">
        <v>31247</v>
      </c>
      <c r="AK158" s="2">
        <v>-96.61</v>
      </c>
      <c r="AL158" s="2">
        <v>557.98</v>
      </c>
      <c r="AM158" s="5">
        <v>230.69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775.11</v>
      </c>
      <c r="AT158" s="12">
        <v>692.06</v>
      </c>
      <c r="AU158" s="2">
        <v>13.84</v>
      </c>
      <c r="AV158" s="5">
        <v>0</v>
      </c>
      <c r="AX158" s="2">
        <v>-5410</v>
      </c>
      <c r="AY158" s="2">
        <v>31247</v>
      </c>
      <c r="AZ158" s="2">
        <v>-96.61</v>
      </c>
      <c r="BA158" s="2">
        <v>557.98</v>
      </c>
      <c r="BB158" s="5">
        <v>230.69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775.11</v>
      </c>
      <c r="BI158" s="12">
        <v>692.06</v>
      </c>
      <c r="BJ158" s="2">
        <v>13.84</v>
      </c>
      <c r="BL158" s="1" t="s">
        <v>90</v>
      </c>
    </row>
    <row r="159" spans="1:64" x14ac:dyDescent="0.3">
      <c r="A159" t="s">
        <v>559</v>
      </c>
      <c r="B159" s="1" t="s">
        <v>565</v>
      </c>
      <c r="C159" s="9" t="s">
        <v>566</v>
      </c>
      <c r="D159" s="1" t="s">
        <v>42</v>
      </c>
      <c r="E159" s="1" t="s">
        <v>88</v>
      </c>
      <c r="F159" s="10" t="s">
        <v>472</v>
      </c>
      <c r="G159" s="1">
        <v>0</v>
      </c>
      <c r="H159" s="1">
        <v>0.02</v>
      </c>
      <c r="I159" s="8">
        <v>44093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-2497</v>
      </c>
      <c r="AJ159" s="2">
        <v>19059</v>
      </c>
      <c r="AK159" s="2">
        <v>-44.59</v>
      </c>
      <c r="AL159" s="2">
        <v>340.34</v>
      </c>
      <c r="AM159" s="5">
        <v>147.88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496.87</v>
      </c>
      <c r="AT159" s="12">
        <v>443.63</v>
      </c>
      <c r="AU159" s="2">
        <v>8.8699999999999992</v>
      </c>
      <c r="AV159" s="5">
        <v>0</v>
      </c>
      <c r="AX159" s="2">
        <v>-2497</v>
      </c>
      <c r="AY159" s="2">
        <v>19059</v>
      </c>
      <c r="AZ159" s="2">
        <v>-44.59</v>
      </c>
      <c r="BA159" s="2">
        <v>340.34</v>
      </c>
      <c r="BB159" s="5">
        <v>147.88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496.87</v>
      </c>
      <c r="BI159" s="12">
        <v>443.63</v>
      </c>
      <c r="BJ159" s="2">
        <v>8.8699999999999992</v>
      </c>
      <c r="BL159" s="1" t="s">
        <v>90</v>
      </c>
    </row>
    <row r="160" spans="1:64" x14ac:dyDescent="0.3">
      <c r="A160" t="s">
        <v>577</v>
      </c>
      <c r="B160" s="1" t="s">
        <v>577</v>
      </c>
      <c r="C160" s="9" t="s">
        <v>578</v>
      </c>
      <c r="D160" s="1" t="s">
        <v>42</v>
      </c>
      <c r="E160" s="1" t="s">
        <v>88</v>
      </c>
      <c r="F160" s="10" t="s">
        <v>267</v>
      </c>
      <c r="G160" s="1">
        <v>2.5000000000000001E-2</v>
      </c>
      <c r="H160" s="1">
        <v>0.02</v>
      </c>
      <c r="I160" s="8">
        <v>44374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617259.44999999995</v>
      </c>
      <c r="AJ160" s="2">
        <v>164739</v>
      </c>
      <c r="AK160" s="2">
        <v>11022.49</v>
      </c>
      <c r="AL160" s="2">
        <v>2941.77</v>
      </c>
      <c r="AM160" s="5">
        <v>6982.12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23459.95</v>
      </c>
      <c r="AT160" s="12">
        <v>20946.38</v>
      </c>
      <c r="AU160" s="2">
        <v>418.93</v>
      </c>
      <c r="AV160" s="5">
        <v>0</v>
      </c>
      <c r="AX160" s="2">
        <v>617259.44999999995</v>
      </c>
      <c r="AY160" s="2">
        <v>164739</v>
      </c>
      <c r="AZ160" s="2">
        <v>11022.49</v>
      </c>
      <c r="BA160" s="2">
        <v>2941.77</v>
      </c>
      <c r="BB160" s="5">
        <v>6982.12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23459.95</v>
      </c>
      <c r="BI160" s="12">
        <v>20946.38</v>
      </c>
      <c r="BJ160" s="2">
        <v>418.93</v>
      </c>
      <c r="BL160" s="1" t="s">
        <v>90</v>
      </c>
    </row>
    <row r="161" spans="1:64" x14ac:dyDescent="0.3">
      <c r="A161" t="s">
        <v>577</v>
      </c>
      <c r="B161" s="1" t="s">
        <v>579</v>
      </c>
      <c r="C161" s="9" t="s">
        <v>580</v>
      </c>
      <c r="D161" s="1" t="s">
        <v>42</v>
      </c>
      <c r="E161" s="1" t="s">
        <v>88</v>
      </c>
      <c r="F161" s="10" t="s">
        <v>267</v>
      </c>
      <c r="G161" s="1">
        <v>0</v>
      </c>
      <c r="H161" s="1">
        <v>0.02</v>
      </c>
      <c r="I161" s="8">
        <v>44374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201304</v>
      </c>
      <c r="AJ161" s="2">
        <v>40007</v>
      </c>
      <c r="AK161" s="2">
        <v>3594.71</v>
      </c>
      <c r="AL161" s="2">
        <v>714.41</v>
      </c>
      <c r="AM161" s="5">
        <v>2154.56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7239.32</v>
      </c>
      <c r="AT161" s="12">
        <v>6463.68</v>
      </c>
      <c r="AU161" s="2">
        <v>129.27000000000001</v>
      </c>
      <c r="AV161" s="5">
        <v>0</v>
      </c>
      <c r="AX161" s="2">
        <v>201304</v>
      </c>
      <c r="AY161" s="2">
        <v>40007</v>
      </c>
      <c r="AZ161" s="2">
        <v>3594.71</v>
      </c>
      <c r="BA161" s="2">
        <v>714.41</v>
      </c>
      <c r="BB161" s="5">
        <v>2154.56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7239.32</v>
      </c>
      <c r="BI161" s="12">
        <v>6463.68</v>
      </c>
      <c r="BJ161" s="2">
        <v>129.27000000000001</v>
      </c>
      <c r="BL161" s="1" t="s">
        <v>90</v>
      </c>
    </row>
    <row r="162" spans="1:64" x14ac:dyDescent="0.3">
      <c r="A162" t="s">
        <v>594</v>
      </c>
      <c r="B162" s="1" t="s">
        <v>594</v>
      </c>
      <c r="C162" s="9" t="s">
        <v>595</v>
      </c>
      <c r="D162" s="1" t="s">
        <v>42</v>
      </c>
      <c r="E162" s="1" t="s">
        <v>88</v>
      </c>
      <c r="F162" s="10" t="s">
        <v>472</v>
      </c>
      <c r="G162" s="1">
        <v>3.5000000000000003E-2</v>
      </c>
      <c r="H162" s="1">
        <v>0.02</v>
      </c>
      <c r="I162" s="8">
        <v>44693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477876.16000000003</v>
      </c>
      <c r="AJ162" s="2">
        <v>122285.26000000001</v>
      </c>
      <c r="AK162" s="2">
        <v>8533.5</v>
      </c>
      <c r="AL162" s="2">
        <v>2183.67</v>
      </c>
      <c r="AM162" s="5">
        <v>5358.58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18004.84</v>
      </c>
      <c r="AT162" s="12">
        <v>16075.75</v>
      </c>
      <c r="AU162" s="2">
        <v>321.52</v>
      </c>
      <c r="AV162" s="5">
        <v>0</v>
      </c>
      <c r="AX162" s="2">
        <v>477876.16000000003</v>
      </c>
      <c r="AY162" s="2">
        <v>122285.26000000001</v>
      </c>
      <c r="AZ162" s="2">
        <v>8533.5</v>
      </c>
      <c r="BA162" s="2">
        <v>2183.67</v>
      </c>
      <c r="BB162" s="5">
        <v>5358.58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18004.84</v>
      </c>
      <c r="BI162" s="12">
        <v>16075.75</v>
      </c>
      <c r="BJ162" s="2">
        <v>321.52</v>
      </c>
      <c r="BL162" s="1" t="s">
        <v>90</v>
      </c>
    </row>
    <row r="163" spans="1:64" x14ac:dyDescent="0.3">
      <c r="A163" t="s">
        <v>594</v>
      </c>
      <c r="B163" s="1" t="s">
        <v>596</v>
      </c>
      <c r="C163" s="9" t="s">
        <v>597</v>
      </c>
      <c r="D163" s="1" t="s">
        <v>42</v>
      </c>
      <c r="E163" s="1" t="s">
        <v>88</v>
      </c>
      <c r="F163" s="10" t="s">
        <v>472</v>
      </c>
      <c r="G163" s="1">
        <v>0</v>
      </c>
      <c r="H163" s="1">
        <v>0.02</v>
      </c>
      <c r="I163" s="8">
        <v>44693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47126</v>
      </c>
      <c r="AJ163" s="2">
        <v>37257</v>
      </c>
      <c r="AK163" s="2">
        <v>841.54</v>
      </c>
      <c r="AL163" s="2">
        <v>665.3</v>
      </c>
      <c r="AM163" s="5">
        <v>753.42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2531.4899999999998</v>
      </c>
      <c r="AT163" s="12">
        <v>2260.2599999999998</v>
      </c>
      <c r="AU163" s="2">
        <v>45.21</v>
      </c>
      <c r="AV163" s="5">
        <v>0</v>
      </c>
      <c r="AX163" s="2">
        <v>47126</v>
      </c>
      <c r="AY163" s="2">
        <v>37257</v>
      </c>
      <c r="AZ163" s="2">
        <v>841.54</v>
      </c>
      <c r="BA163" s="2">
        <v>665.3</v>
      </c>
      <c r="BB163" s="5">
        <v>753.42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2531.4899999999998</v>
      </c>
      <c r="BI163" s="12">
        <v>2260.2599999999998</v>
      </c>
      <c r="BJ163" s="2">
        <v>45.21</v>
      </c>
      <c r="BL163" s="1" t="s">
        <v>90</v>
      </c>
    </row>
    <row r="164" spans="1:64" x14ac:dyDescent="0.3">
      <c r="A164" t="s">
        <v>598</v>
      </c>
      <c r="B164" s="1" t="s">
        <v>598</v>
      </c>
      <c r="C164" s="9" t="s">
        <v>599</v>
      </c>
      <c r="D164" s="1" t="s">
        <v>42</v>
      </c>
      <c r="E164" s="1" t="s">
        <v>88</v>
      </c>
      <c r="F164" s="10" t="s">
        <v>267</v>
      </c>
      <c r="G164" s="1">
        <v>3.5000000000000003E-2</v>
      </c>
      <c r="H164" s="1">
        <v>0.02</v>
      </c>
      <c r="I164" s="8">
        <v>44774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899920.73</v>
      </c>
      <c r="AJ164" s="2">
        <v>305308.46999999997</v>
      </c>
      <c r="AK164" s="2">
        <v>16070.01</v>
      </c>
      <c r="AL164" s="2">
        <v>5451.94</v>
      </c>
      <c r="AM164" s="5">
        <v>10760.97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36156.870000000003</v>
      </c>
      <c r="AT164" s="12">
        <v>32282.92</v>
      </c>
      <c r="AU164" s="2">
        <v>645.66</v>
      </c>
      <c r="AV164" s="5">
        <v>0</v>
      </c>
      <c r="AX164" s="2">
        <v>899920.73</v>
      </c>
      <c r="AY164" s="2">
        <v>305308.46999999997</v>
      </c>
      <c r="AZ164" s="2">
        <v>16070.01</v>
      </c>
      <c r="BA164" s="2">
        <v>5451.94</v>
      </c>
      <c r="BB164" s="5">
        <v>10760.97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36156.870000000003</v>
      </c>
      <c r="BI164" s="12">
        <v>32282.92</v>
      </c>
      <c r="BJ164" s="2">
        <v>645.66</v>
      </c>
      <c r="BL164" s="1" t="s">
        <v>90</v>
      </c>
    </row>
    <row r="165" spans="1:64" x14ac:dyDescent="0.3">
      <c r="A165" t="s">
        <v>598</v>
      </c>
      <c r="B165" s="1" t="s">
        <v>600</v>
      </c>
      <c r="C165" s="9" t="s">
        <v>601</v>
      </c>
      <c r="D165" s="1" t="s">
        <v>42</v>
      </c>
      <c r="E165" s="1" t="s">
        <v>88</v>
      </c>
      <c r="F165" s="10" t="s">
        <v>267</v>
      </c>
      <c r="G165" s="1">
        <v>0</v>
      </c>
      <c r="H165" s="1">
        <v>0.02</v>
      </c>
      <c r="I165" s="8">
        <v>44774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124407</v>
      </c>
      <c r="AJ165" s="2">
        <v>64351</v>
      </c>
      <c r="AK165" s="2">
        <v>2221.5500000000002</v>
      </c>
      <c r="AL165" s="2">
        <v>1149.1199999999999</v>
      </c>
      <c r="AM165" s="5">
        <v>1685.34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5662.73</v>
      </c>
      <c r="AT165" s="12">
        <v>5056.01</v>
      </c>
      <c r="AU165" s="2">
        <v>101.12</v>
      </c>
      <c r="AV165" s="5">
        <v>0</v>
      </c>
      <c r="AX165" s="2">
        <v>124407</v>
      </c>
      <c r="AY165" s="2">
        <v>64351</v>
      </c>
      <c r="AZ165" s="2">
        <v>2221.5500000000002</v>
      </c>
      <c r="BA165" s="2">
        <v>1149.1199999999999</v>
      </c>
      <c r="BB165" s="5">
        <v>1685.34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5662.73</v>
      </c>
      <c r="BI165" s="12">
        <v>5056.01</v>
      </c>
      <c r="BJ165" s="2">
        <v>101.12</v>
      </c>
      <c r="BL165" s="1" t="s">
        <v>90</v>
      </c>
    </row>
    <row r="166" spans="1:64" x14ac:dyDescent="0.3">
      <c r="A166" t="s">
        <v>622</v>
      </c>
      <c r="B166" s="1" t="s">
        <v>622</v>
      </c>
      <c r="C166" s="9" t="s">
        <v>623</v>
      </c>
      <c r="D166" s="1" t="s">
        <v>42</v>
      </c>
      <c r="E166" s="1" t="s">
        <v>88</v>
      </c>
      <c r="F166" s="10" t="s">
        <v>472</v>
      </c>
      <c r="G166" s="1">
        <v>2.5000000000000001E-2</v>
      </c>
      <c r="H166" s="1">
        <v>0.02</v>
      </c>
      <c r="I166" s="8">
        <v>44415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1096089.31</v>
      </c>
      <c r="AJ166" s="2">
        <v>152914.49</v>
      </c>
      <c r="AK166" s="2">
        <v>19573.03</v>
      </c>
      <c r="AL166" s="2">
        <v>2730.62</v>
      </c>
      <c r="AM166" s="5">
        <v>11151.82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37470.129999999997</v>
      </c>
      <c r="AT166" s="12">
        <v>33455.47</v>
      </c>
      <c r="AU166" s="2">
        <v>669.11</v>
      </c>
      <c r="AV166" s="5">
        <v>0</v>
      </c>
      <c r="AX166" s="2">
        <v>1096089.31</v>
      </c>
      <c r="AY166" s="2">
        <v>152914.49</v>
      </c>
      <c r="AZ166" s="2">
        <v>19573.03</v>
      </c>
      <c r="BA166" s="2">
        <v>2730.62</v>
      </c>
      <c r="BB166" s="5">
        <v>11151.82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37470.129999999997</v>
      </c>
      <c r="BI166" s="12">
        <v>33455.47</v>
      </c>
      <c r="BJ166" s="2">
        <v>669.11</v>
      </c>
      <c r="BL166" s="1" t="s">
        <v>90</v>
      </c>
    </row>
    <row r="167" spans="1:64" x14ac:dyDescent="0.3">
      <c r="A167" t="s">
        <v>658</v>
      </c>
      <c r="B167" s="1" t="s">
        <v>658</v>
      </c>
      <c r="C167" s="9" t="s">
        <v>659</v>
      </c>
      <c r="D167" s="1" t="s">
        <v>42</v>
      </c>
      <c r="E167" s="1" t="s">
        <v>88</v>
      </c>
      <c r="F167" s="10" t="s">
        <v>267</v>
      </c>
      <c r="G167" s="1">
        <v>0</v>
      </c>
      <c r="H167" s="1">
        <v>0.02</v>
      </c>
      <c r="I167" s="8">
        <v>45171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365222</v>
      </c>
      <c r="AJ167" s="2">
        <v>76407</v>
      </c>
      <c r="AK167" s="2">
        <v>6521.82</v>
      </c>
      <c r="AL167" s="2">
        <v>1364.41</v>
      </c>
      <c r="AM167" s="5">
        <v>3943.12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13248.87</v>
      </c>
      <c r="AT167" s="12">
        <v>11829.349999999999</v>
      </c>
      <c r="AU167" s="2">
        <v>236.59</v>
      </c>
      <c r="AV167" s="5">
        <v>0</v>
      </c>
      <c r="AX167" s="2">
        <v>365222</v>
      </c>
      <c r="AY167" s="2">
        <v>76407</v>
      </c>
      <c r="AZ167" s="2">
        <v>6521.82</v>
      </c>
      <c r="BA167" s="2">
        <v>1364.41</v>
      </c>
      <c r="BB167" s="5">
        <v>3943.12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13248.87</v>
      </c>
      <c r="BI167" s="12">
        <v>11829.349999999999</v>
      </c>
      <c r="BJ167" s="2">
        <v>236.59</v>
      </c>
      <c r="BL167" s="1" t="s">
        <v>90</v>
      </c>
    </row>
    <row r="168" spans="1:64" x14ac:dyDescent="0.3">
      <c r="A168" t="s">
        <v>658</v>
      </c>
      <c r="B168" s="1" t="s">
        <v>660</v>
      </c>
      <c r="C168" s="9" t="s">
        <v>661</v>
      </c>
      <c r="D168" s="1" t="s">
        <v>42</v>
      </c>
      <c r="E168" s="1" t="s">
        <v>88</v>
      </c>
      <c r="F168" s="10" t="s">
        <v>267</v>
      </c>
      <c r="G168" s="1">
        <v>0</v>
      </c>
      <c r="H168" s="1">
        <v>0.02</v>
      </c>
      <c r="I168" s="8">
        <v>45171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-26935</v>
      </c>
      <c r="AJ168" s="2">
        <v>13741</v>
      </c>
      <c r="AK168" s="2">
        <v>-480.98</v>
      </c>
      <c r="AL168" s="2">
        <v>245.37</v>
      </c>
      <c r="AM168" s="5">
        <v>-117.8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-395.82</v>
      </c>
      <c r="AT168" s="12">
        <v>-353.41</v>
      </c>
      <c r="AU168" s="2">
        <v>-7.07</v>
      </c>
      <c r="AV168" s="5">
        <v>0</v>
      </c>
      <c r="AX168" s="2">
        <v>-26935</v>
      </c>
      <c r="AY168" s="2">
        <v>13741</v>
      </c>
      <c r="AZ168" s="2">
        <v>-480.98</v>
      </c>
      <c r="BA168" s="2">
        <v>245.37</v>
      </c>
      <c r="BB168" s="5">
        <v>-117.8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-395.82</v>
      </c>
      <c r="BI168" s="12">
        <v>-353.41</v>
      </c>
      <c r="BJ168" s="2">
        <v>-7.07</v>
      </c>
      <c r="BL168" s="1" t="s">
        <v>90</v>
      </c>
    </row>
    <row r="169" spans="1:64" x14ac:dyDescent="0.3">
      <c r="A169" t="s">
        <v>667</v>
      </c>
      <c r="B169" s="1" t="s">
        <v>667</v>
      </c>
      <c r="C169" s="9" t="s">
        <v>668</v>
      </c>
      <c r="D169" s="1" t="s">
        <v>42</v>
      </c>
      <c r="E169" s="1" t="s">
        <v>88</v>
      </c>
      <c r="F169" s="10" t="s">
        <v>472</v>
      </c>
      <c r="G169" s="1">
        <v>0</v>
      </c>
      <c r="H169" s="1">
        <v>0.02</v>
      </c>
      <c r="I169" s="8">
        <v>45501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827989.96</v>
      </c>
      <c r="AJ169" s="2">
        <v>195805</v>
      </c>
      <c r="AK169" s="2">
        <v>14785.54</v>
      </c>
      <c r="AL169" s="2">
        <v>3496.52</v>
      </c>
      <c r="AM169" s="5">
        <v>9141.0300000000007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30713.86</v>
      </c>
      <c r="AT169" s="12">
        <v>27423.090000000004</v>
      </c>
      <c r="AU169" s="2">
        <v>548.46</v>
      </c>
      <c r="AV169" s="5">
        <v>0</v>
      </c>
      <c r="AX169" s="2">
        <v>827989.96</v>
      </c>
      <c r="AY169" s="2">
        <v>195805</v>
      </c>
      <c r="AZ169" s="2">
        <v>14785.54</v>
      </c>
      <c r="BA169" s="2">
        <v>3496.52</v>
      </c>
      <c r="BB169" s="5">
        <v>9141.0300000000007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30713.86</v>
      </c>
      <c r="BI169" s="12">
        <v>27423.090000000004</v>
      </c>
      <c r="BJ169" s="2">
        <v>548.46</v>
      </c>
      <c r="BL169" s="1" t="s">
        <v>90</v>
      </c>
    </row>
    <row r="170" spans="1:64" x14ac:dyDescent="0.3">
      <c r="A170" t="s">
        <v>763</v>
      </c>
      <c r="B170" s="1" t="s">
        <v>763</v>
      </c>
      <c r="C170" s="9" t="s">
        <v>764</v>
      </c>
      <c r="D170" s="1" t="s">
        <v>42</v>
      </c>
      <c r="E170" s="1" t="s">
        <v>88</v>
      </c>
      <c r="F170" s="10" t="s">
        <v>472</v>
      </c>
      <c r="G170" s="1">
        <v>0</v>
      </c>
      <c r="H170" s="1">
        <v>0.02</v>
      </c>
      <c r="I170" s="8">
        <v>44612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766496.94</v>
      </c>
      <c r="AJ170" s="2">
        <v>165975.53</v>
      </c>
      <c r="AK170" s="2">
        <v>13687.45</v>
      </c>
      <c r="AL170" s="2">
        <v>2963.85</v>
      </c>
      <c r="AM170" s="5">
        <v>8325.64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27974.17</v>
      </c>
      <c r="AT170" s="12">
        <v>24976.94</v>
      </c>
      <c r="AU170" s="2">
        <v>499.54</v>
      </c>
      <c r="AV170" s="5">
        <v>0</v>
      </c>
      <c r="AX170" s="2">
        <v>766496.94</v>
      </c>
      <c r="AY170" s="2">
        <v>165975.53</v>
      </c>
      <c r="AZ170" s="2">
        <v>13687.45</v>
      </c>
      <c r="BA170" s="2">
        <v>2963.85</v>
      </c>
      <c r="BB170" s="5">
        <v>8325.64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27974.17</v>
      </c>
      <c r="BI170" s="12">
        <v>24976.94</v>
      </c>
      <c r="BJ170" s="2">
        <v>499.54</v>
      </c>
      <c r="BL170" s="1" t="s">
        <v>90</v>
      </c>
    </row>
    <row r="171" spans="1:64" x14ac:dyDescent="0.3">
      <c r="A171" t="s">
        <v>773</v>
      </c>
      <c r="B171" s="1" t="s">
        <v>773</v>
      </c>
      <c r="C171" s="9" t="s">
        <v>774</v>
      </c>
      <c r="D171" s="1" t="s">
        <v>42</v>
      </c>
      <c r="E171" s="1" t="s">
        <v>88</v>
      </c>
      <c r="F171" s="10" t="s">
        <v>267</v>
      </c>
      <c r="G171" s="1">
        <v>0</v>
      </c>
      <c r="H171" s="1">
        <v>0.02</v>
      </c>
      <c r="I171" s="8">
        <v>44768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768892.05</v>
      </c>
      <c r="AJ171" s="2">
        <v>143527</v>
      </c>
      <c r="AK171" s="2">
        <v>13730.21</v>
      </c>
      <c r="AL171" s="2">
        <v>2562.98</v>
      </c>
      <c r="AM171" s="5">
        <v>8146.6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27372.560000000001</v>
      </c>
      <c r="AT171" s="12">
        <v>24439.79</v>
      </c>
      <c r="AU171" s="2">
        <v>488.8</v>
      </c>
      <c r="AV171" s="5">
        <v>0</v>
      </c>
      <c r="AX171" s="2">
        <v>768892.05</v>
      </c>
      <c r="AY171" s="2">
        <v>143527</v>
      </c>
      <c r="AZ171" s="2">
        <v>13730.21</v>
      </c>
      <c r="BA171" s="2">
        <v>2562.98</v>
      </c>
      <c r="BB171" s="5">
        <v>8146.6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27372.560000000001</v>
      </c>
      <c r="BI171" s="12">
        <v>24439.79</v>
      </c>
      <c r="BJ171" s="2">
        <v>488.8</v>
      </c>
      <c r="BL171" s="1" t="s">
        <v>90</v>
      </c>
    </row>
    <row r="172" spans="1:64" x14ac:dyDescent="0.3">
      <c r="A172" t="s">
        <v>773</v>
      </c>
      <c r="B172" s="1" t="s">
        <v>775</v>
      </c>
      <c r="C172" s="9" t="s">
        <v>776</v>
      </c>
      <c r="D172" s="1" t="s">
        <v>42</v>
      </c>
      <c r="E172" s="1" t="s">
        <v>88</v>
      </c>
      <c r="F172" s="10" t="s">
        <v>267</v>
      </c>
      <c r="G172" s="1">
        <v>0</v>
      </c>
      <c r="H172" s="1">
        <v>0.02</v>
      </c>
      <c r="I172" s="8">
        <v>45377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417973</v>
      </c>
      <c r="AJ172" s="2">
        <v>53576</v>
      </c>
      <c r="AK172" s="2">
        <v>7463.8</v>
      </c>
      <c r="AL172" s="2">
        <v>956.71</v>
      </c>
      <c r="AM172" s="5">
        <v>4210.26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14146.46</v>
      </c>
      <c r="AT172" s="12">
        <v>12630.77</v>
      </c>
      <c r="AU172" s="2">
        <v>252.62</v>
      </c>
      <c r="AV172" s="5">
        <v>0</v>
      </c>
      <c r="AX172" s="2">
        <v>417973</v>
      </c>
      <c r="AY172" s="2">
        <v>53576</v>
      </c>
      <c r="AZ172" s="2">
        <v>7463.8</v>
      </c>
      <c r="BA172" s="2">
        <v>956.71</v>
      </c>
      <c r="BB172" s="5">
        <v>4210.26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14146.46</v>
      </c>
      <c r="BI172" s="12">
        <v>12630.77</v>
      </c>
      <c r="BJ172" s="2">
        <v>252.62</v>
      </c>
      <c r="BL172" s="1" t="s">
        <v>90</v>
      </c>
    </row>
    <row r="173" spans="1:64" x14ac:dyDescent="0.3">
      <c r="A173" t="s">
        <v>787</v>
      </c>
      <c r="B173" s="1" t="s">
        <v>787</v>
      </c>
      <c r="C173" s="9" t="s">
        <v>788</v>
      </c>
      <c r="D173" s="1" t="s">
        <v>42</v>
      </c>
      <c r="E173" s="1" t="s">
        <v>88</v>
      </c>
      <c r="F173" s="10" t="s">
        <v>267</v>
      </c>
      <c r="G173" s="1">
        <v>3.5000000000000003E-2</v>
      </c>
      <c r="H173" s="1">
        <v>0.02</v>
      </c>
      <c r="I173" s="8">
        <v>45003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372286.16000000003</v>
      </c>
      <c r="AJ173" s="2">
        <v>94997</v>
      </c>
      <c r="AK173" s="2">
        <v>6647.96</v>
      </c>
      <c r="AL173" s="2">
        <v>1696.38</v>
      </c>
      <c r="AM173" s="5">
        <v>4172.17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14018.49</v>
      </c>
      <c r="AT173" s="12">
        <v>12516.51</v>
      </c>
      <c r="AU173" s="2">
        <v>250.33</v>
      </c>
      <c r="AV173" s="5">
        <v>0</v>
      </c>
      <c r="AX173" s="2">
        <v>372286.16000000003</v>
      </c>
      <c r="AY173" s="2">
        <v>94997</v>
      </c>
      <c r="AZ173" s="2">
        <v>6647.96</v>
      </c>
      <c r="BA173" s="2">
        <v>1696.38</v>
      </c>
      <c r="BB173" s="5">
        <v>4172.17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14018.49</v>
      </c>
      <c r="BI173" s="12">
        <v>12516.51</v>
      </c>
      <c r="BJ173" s="2">
        <v>250.33</v>
      </c>
      <c r="BL173" s="1" t="s">
        <v>90</v>
      </c>
    </row>
    <row r="174" spans="1:64" x14ac:dyDescent="0.3">
      <c r="A174" t="s">
        <v>787</v>
      </c>
      <c r="B174" s="1" t="s">
        <v>789</v>
      </c>
      <c r="C174" s="9" t="s">
        <v>790</v>
      </c>
      <c r="D174" s="1" t="s">
        <v>42</v>
      </c>
      <c r="E174" s="1" t="s">
        <v>88</v>
      </c>
      <c r="F174" s="10" t="s">
        <v>267</v>
      </c>
      <c r="G174" s="1">
        <v>0</v>
      </c>
      <c r="H174" s="1">
        <v>0.02</v>
      </c>
      <c r="I174" s="8">
        <v>45003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41657</v>
      </c>
      <c r="AJ174" s="2">
        <v>50625</v>
      </c>
      <c r="AK174" s="2">
        <v>743.87</v>
      </c>
      <c r="AL174" s="2">
        <v>904.02</v>
      </c>
      <c r="AM174" s="5">
        <v>823.95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2768.46</v>
      </c>
      <c r="AT174" s="12">
        <v>2471.84</v>
      </c>
      <c r="AU174" s="2">
        <v>49.44</v>
      </c>
      <c r="AV174" s="5">
        <v>0</v>
      </c>
      <c r="AX174" s="2">
        <v>41657</v>
      </c>
      <c r="AY174" s="2">
        <v>50625</v>
      </c>
      <c r="AZ174" s="2">
        <v>743.87</v>
      </c>
      <c r="BA174" s="2">
        <v>904.02</v>
      </c>
      <c r="BB174" s="5">
        <v>823.95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2768.46</v>
      </c>
      <c r="BI174" s="12">
        <v>2471.84</v>
      </c>
      <c r="BJ174" s="2">
        <v>49.44</v>
      </c>
      <c r="BL174" s="1" t="s">
        <v>90</v>
      </c>
    </row>
    <row r="175" spans="1:64" x14ac:dyDescent="0.3">
      <c r="A175" t="s">
        <v>827</v>
      </c>
      <c r="B175" s="1" t="s">
        <v>827</v>
      </c>
      <c r="C175" s="9" t="s">
        <v>828</v>
      </c>
      <c r="D175" s="1" t="s">
        <v>42</v>
      </c>
      <c r="E175" s="1" t="s">
        <v>88</v>
      </c>
      <c r="F175" s="10" t="s">
        <v>472</v>
      </c>
      <c r="G175" s="1">
        <v>0</v>
      </c>
      <c r="H175" s="1">
        <v>0.02</v>
      </c>
      <c r="I175" s="8">
        <v>45051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427755.10000000003</v>
      </c>
      <c r="AJ175" s="2">
        <v>155892.25</v>
      </c>
      <c r="AK175" s="2">
        <v>7638.48</v>
      </c>
      <c r="AL175" s="2">
        <v>2783.79</v>
      </c>
      <c r="AM175" s="5">
        <v>5211.13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17509.41</v>
      </c>
      <c r="AT175" s="12">
        <v>15633.400000000001</v>
      </c>
      <c r="AU175" s="2">
        <v>312.67</v>
      </c>
      <c r="AV175" s="5">
        <v>0</v>
      </c>
      <c r="AX175" s="2">
        <v>427755.10000000003</v>
      </c>
      <c r="AY175" s="2">
        <v>155892.25</v>
      </c>
      <c r="AZ175" s="2">
        <v>7638.48</v>
      </c>
      <c r="BA175" s="2">
        <v>2783.79</v>
      </c>
      <c r="BB175" s="5">
        <v>5211.13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17509.41</v>
      </c>
      <c r="BI175" s="12">
        <v>15633.400000000001</v>
      </c>
      <c r="BJ175" s="2">
        <v>312.67</v>
      </c>
      <c r="BL175" s="1" t="s">
        <v>90</v>
      </c>
    </row>
    <row r="176" spans="1:64" x14ac:dyDescent="0.3">
      <c r="A176" t="s">
        <v>827</v>
      </c>
      <c r="B176" s="1" t="s">
        <v>829</v>
      </c>
      <c r="C176" s="9" t="s">
        <v>830</v>
      </c>
      <c r="D176" s="1" t="s">
        <v>42</v>
      </c>
      <c r="E176" s="1" t="s">
        <v>88</v>
      </c>
      <c r="F176" s="10" t="s">
        <v>472</v>
      </c>
      <c r="G176" s="1">
        <v>0</v>
      </c>
      <c r="H176" s="1">
        <v>0.02</v>
      </c>
      <c r="I176" s="8">
        <v>45051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252818</v>
      </c>
      <c r="AJ176" s="2">
        <v>121621</v>
      </c>
      <c r="AK176" s="2">
        <v>4514.6099999999997</v>
      </c>
      <c r="AL176" s="2">
        <v>2171.8000000000002</v>
      </c>
      <c r="AM176" s="5">
        <v>3343.21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11233.17</v>
      </c>
      <c r="AT176" s="12">
        <v>10029.619999999999</v>
      </c>
      <c r="AU176" s="2">
        <v>200.59</v>
      </c>
      <c r="AV176" s="5">
        <v>0</v>
      </c>
      <c r="AX176" s="2">
        <v>252818</v>
      </c>
      <c r="AY176" s="2">
        <v>121621</v>
      </c>
      <c r="AZ176" s="2">
        <v>4514.6099999999997</v>
      </c>
      <c r="BA176" s="2">
        <v>2171.8000000000002</v>
      </c>
      <c r="BB176" s="5">
        <v>3343.21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11233.17</v>
      </c>
      <c r="BI176" s="12">
        <v>10029.619999999999</v>
      </c>
      <c r="BJ176" s="2">
        <v>200.59</v>
      </c>
      <c r="BL176" s="1" t="s">
        <v>90</v>
      </c>
    </row>
    <row r="177" spans="1:64" x14ac:dyDescent="0.3">
      <c r="A177" t="s">
        <v>1009</v>
      </c>
      <c r="B177" s="1" t="s">
        <v>1010</v>
      </c>
      <c r="C177" s="9" t="s">
        <v>1011</v>
      </c>
      <c r="D177" s="1" t="s">
        <v>42</v>
      </c>
      <c r="E177" s="1" t="s">
        <v>88</v>
      </c>
      <c r="F177" s="10" t="s">
        <v>267</v>
      </c>
      <c r="G177" s="1">
        <v>0</v>
      </c>
      <c r="H177" s="1">
        <v>0.02</v>
      </c>
      <c r="I177" s="8">
        <v>44454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49081</v>
      </c>
      <c r="AJ177" s="2">
        <v>62456</v>
      </c>
      <c r="AK177" s="2">
        <v>876.45</v>
      </c>
      <c r="AL177" s="2">
        <v>1115.29</v>
      </c>
      <c r="AM177" s="5">
        <v>995.87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3346.12</v>
      </c>
      <c r="AT177" s="12">
        <v>2987.61</v>
      </c>
      <c r="AU177" s="2">
        <v>59.75</v>
      </c>
      <c r="AV177" s="5">
        <v>0</v>
      </c>
      <c r="AX177" s="2">
        <v>49081</v>
      </c>
      <c r="AY177" s="2">
        <v>62456</v>
      </c>
      <c r="AZ177" s="2">
        <v>876.45</v>
      </c>
      <c r="BA177" s="2">
        <v>1115.29</v>
      </c>
      <c r="BB177" s="5">
        <v>995.87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3346.12</v>
      </c>
      <c r="BI177" s="12">
        <v>2987.61</v>
      </c>
      <c r="BJ177" s="2">
        <v>59.75</v>
      </c>
      <c r="BL177" s="1" t="s">
        <v>90</v>
      </c>
    </row>
    <row r="178" spans="1:64" x14ac:dyDescent="0.3">
      <c r="A178" t="s">
        <v>1009</v>
      </c>
      <c r="B178" s="1" t="s">
        <v>1009</v>
      </c>
      <c r="C178" s="9" t="s">
        <v>1012</v>
      </c>
      <c r="D178" s="1" t="s">
        <v>42</v>
      </c>
      <c r="E178" s="1" t="s">
        <v>88</v>
      </c>
      <c r="F178" s="10" t="s">
        <v>267</v>
      </c>
      <c r="G178" s="1">
        <v>0</v>
      </c>
      <c r="H178" s="1">
        <v>0.02</v>
      </c>
      <c r="I178" s="8">
        <v>44454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334842.05</v>
      </c>
      <c r="AJ178" s="2">
        <v>100288</v>
      </c>
      <c r="AK178" s="2">
        <v>5979.32</v>
      </c>
      <c r="AL178" s="2">
        <v>1790.86</v>
      </c>
      <c r="AM178" s="5">
        <v>3885.09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13053.9</v>
      </c>
      <c r="AT178" s="12">
        <v>11655.27</v>
      </c>
      <c r="AU178" s="2">
        <v>233.11</v>
      </c>
      <c r="AV178" s="5">
        <v>0</v>
      </c>
      <c r="AX178" s="2">
        <v>334842.05</v>
      </c>
      <c r="AY178" s="2">
        <v>100288</v>
      </c>
      <c r="AZ178" s="2">
        <v>5979.32</v>
      </c>
      <c r="BA178" s="2">
        <v>1790.86</v>
      </c>
      <c r="BB178" s="5">
        <v>3885.09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13053.9</v>
      </c>
      <c r="BI178" s="12">
        <v>11655.27</v>
      </c>
      <c r="BJ178" s="2">
        <v>233.11</v>
      </c>
      <c r="BL178" s="1" t="s">
        <v>90</v>
      </c>
    </row>
    <row r="179" spans="1:64" x14ac:dyDescent="0.3">
      <c r="A179" t="s">
        <v>1009</v>
      </c>
      <c r="B179" s="1" t="s">
        <v>1013</v>
      </c>
      <c r="C179" s="9" t="s">
        <v>1014</v>
      </c>
      <c r="D179" s="1" t="s">
        <v>42</v>
      </c>
      <c r="E179" s="1" t="s">
        <v>88</v>
      </c>
      <c r="F179" s="10" t="s">
        <v>267</v>
      </c>
      <c r="G179" s="1">
        <v>0</v>
      </c>
      <c r="H179" s="1">
        <v>0.02</v>
      </c>
      <c r="I179" s="8">
        <v>44714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26661</v>
      </c>
      <c r="AJ179" s="2">
        <v>35173</v>
      </c>
      <c r="AK179" s="2">
        <v>476.09</v>
      </c>
      <c r="AL179" s="2">
        <v>628.09</v>
      </c>
      <c r="AM179" s="5">
        <v>552.09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1855.02</v>
      </c>
      <c r="AT179" s="12">
        <v>1656.27</v>
      </c>
      <c r="AU179" s="2">
        <v>33.130000000000003</v>
      </c>
      <c r="AV179" s="5">
        <v>0</v>
      </c>
      <c r="AX179" s="2">
        <v>26661</v>
      </c>
      <c r="AY179" s="2">
        <v>35173</v>
      </c>
      <c r="AZ179" s="2">
        <v>476.09</v>
      </c>
      <c r="BA179" s="2">
        <v>628.09</v>
      </c>
      <c r="BB179" s="5">
        <v>552.09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1855.02</v>
      </c>
      <c r="BI179" s="12">
        <v>1656.27</v>
      </c>
      <c r="BJ179" s="2">
        <v>33.130000000000003</v>
      </c>
      <c r="BL179" s="1" t="s">
        <v>90</v>
      </c>
    </row>
    <row r="180" spans="1:64" x14ac:dyDescent="0.3">
      <c r="A180" t="s">
        <v>1272</v>
      </c>
      <c r="B180" s="1" t="s">
        <v>1272</v>
      </c>
      <c r="C180" s="9" t="s">
        <v>1273</v>
      </c>
      <c r="D180" s="1" t="s">
        <v>42</v>
      </c>
      <c r="E180" s="1" t="s">
        <v>88</v>
      </c>
      <c r="F180" s="10" t="s">
        <v>472</v>
      </c>
      <c r="G180" s="1">
        <v>0</v>
      </c>
      <c r="H180" s="1">
        <v>0.02</v>
      </c>
      <c r="I180" s="8">
        <v>45143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595472.9</v>
      </c>
      <c r="AJ180" s="2">
        <v>129789</v>
      </c>
      <c r="AK180" s="2">
        <v>10633.45</v>
      </c>
      <c r="AL180" s="2">
        <v>2317.66</v>
      </c>
      <c r="AM180" s="5">
        <v>6475.55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21757.86</v>
      </c>
      <c r="AT180" s="12">
        <v>19426.66</v>
      </c>
      <c r="AU180" s="2">
        <v>388.53</v>
      </c>
      <c r="AV180" s="5">
        <v>0</v>
      </c>
      <c r="AX180" s="2">
        <v>595472.9</v>
      </c>
      <c r="AY180" s="2">
        <v>129789</v>
      </c>
      <c r="AZ180" s="2">
        <v>10633.45</v>
      </c>
      <c r="BA180" s="2">
        <v>2317.66</v>
      </c>
      <c r="BB180" s="5">
        <v>6475.55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21757.86</v>
      </c>
      <c r="BI180" s="12">
        <v>19426.66</v>
      </c>
      <c r="BJ180" s="2">
        <v>388.53</v>
      </c>
      <c r="BL180" s="1" t="s">
        <v>90</v>
      </c>
    </row>
    <row r="181" spans="1:64" x14ac:dyDescent="0.3">
      <c r="A181" t="s">
        <v>142</v>
      </c>
      <c r="B181" s="1" t="s">
        <v>142</v>
      </c>
      <c r="C181" s="9" t="s">
        <v>143</v>
      </c>
      <c r="D181" s="1" t="s">
        <v>43</v>
      </c>
      <c r="E181" s="1" t="s">
        <v>135</v>
      </c>
      <c r="F181" s="10" t="s">
        <v>144</v>
      </c>
      <c r="G181" s="1">
        <v>2.5000000000000001E-2</v>
      </c>
      <c r="H181" s="1">
        <v>0.02</v>
      </c>
      <c r="I181" s="8">
        <v>44009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845955.57000000007</v>
      </c>
      <c r="AJ181" s="2">
        <v>152438.56</v>
      </c>
      <c r="AK181" s="2">
        <v>15106.35</v>
      </c>
      <c r="AL181" s="2">
        <v>2722.12</v>
      </c>
      <c r="AM181" s="5">
        <v>8914.23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29951.82</v>
      </c>
      <c r="AT181" s="12">
        <v>26742.7</v>
      </c>
      <c r="AU181" s="2">
        <v>534.85</v>
      </c>
      <c r="AV181" s="5">
        <v>0</v>
      </c>
      <c r="AX181" s="2">
        <v>845955.57000000007</v>
      </c>
      <c r="AY181" s="2">
        <v>152438.56</v>
      </c>
      <c r="AZ181" s="2">
        <v>15106.35</v>
      </c>
      <c r="BA181" s="2">
        <v>2722.12</v>
      </c>
      <c r="BB181" s="5">
        <v>8914.23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29951.82</v>
      </c>
      <c r="BI181" s="12">
        <v>26742.7</v>
      </c>
      <c r="BJ181" s="2">
        <v>534.85</v>
      </c>
      <c r="BL181" s="1" t="s">
        <v>137</v>
      </c>
    </row>
    <row r="182" spans="1:64" x14ac:dyDescent="0.3">
      <c r="A182" t="s">
        <v>314</v>
      </c>
      <c r="B182" s="1" t="s">
        <v>314</v>
      </c>
      <c r="C182" s="9" t="s">
        <v>315</v>
      </c>
      <c r="D182" s="1" t="s">
        <v>43</v>
      </c>
      <c r="E182" s="1" t="s">
        <v>135</v>
      </c>
      <c r="F182" s="10" t="s">
        <v>316</v>
      </c>
      <c r="G182" s="1">
        <v>2.5000000000000001E-2</v>
      </c>
      <c r="H182" s="1">
        <v>0.02</v>
      </c>
      <c r="I182" s="8">
        <v>44183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323212</v>
      </c>
      <c r="AJ182" s="2">
        <v>43973</v>
      </c>
      <c r="AK182" s="2">
        <v>5771.64</v>
      </c>
      <c r="AL182" s="2">
        <v>785.23</v>
      </c>
      <c r="AM182" s="5">
        <v>3278.44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11015.55</v>
      </c>
      <c r="AT182" s="12">
        <v>9835.3100000000013</v>
      </c>
      <c r="AU182" s="2">
        <v>196.71</v>
      </c>
      <c r="AV182" s="5">
        <v>0</v>
      </c>
      <c r="AX182" s="2">
        <v>323212</v>
      </c>
      <c r="AY182" s="2">
        <v>43973</v>
      </c>
      <c r="AZ182" s="2">
        <v>5771.64</v>
      </c>
      <c r="BA182" s="2">
        <v>785.23</v>
      </c>
      <c r="BB182" s="5">
        <v>3278.44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11015.55</v>
      </c>
      <c r="BI182" s="12">
        <v>9835.3100000000013</v>
      </c>
      <c r="BJ182" s="2">
        <v>196.71</v>
      </c>
      <c r="BL182" s="1" t="s">
        <v>302</v>
      </c>
    </row>
    <row r="183" spans="1:64" x14ac:dyDescent="0.3">
      <c r="A183" t="s">
        <v>314</v>
      </c>
      <c r="B183" s="1" t="s">
        <v>317</v>
      </c>
      <c r="C183" s="9" t="s">
        <v>318</v>
      </c>
      <c r="D183" s="1" t="s">
        <v>43</v>
      </c>
      <c r="E183" s="1" t="s">
        <v>135</v>
      </c>
      <c r="F183" s="10" t="s">
        <v>316</v>
      </c>
      <c r="G183" s="1">
        <v>0</v>
      </c>
      <c r="H183" s="1">
        <v>0.02</v>
      </c>
      <c r="I183" s="8">
        <v>45260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171615</v>
      </c>
      <c r="AJ183" s="2">
        <v>2125</v>
      </c>
      <c r="AK183" s="2">
        <v>3064.55</v>
      </c>
      <c r="AL183" s="2">
        <v>37.950000000000003</v>
      </c>
      <c r="AM183" s="5">
        <v>1551.25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5212.2</v>
      </c>
      <c r="AT183" s="12">
        <v>4653.75</v>
      </c>
      <c r="AU183" s="2">
        <v>93.08</v>
      </c>
      <c r="AV183" s="5">
        <v>0</v>
      </c>
      <c r="AX183" s="2">
        <v>171615</v>
      </c>
      <c r="AY183" s="2">
        <v>2125</v>
      </c>
      <c r="AZ183" s="2">
        <v>3064.55</v>
      </c>
      <c r="BA183" s="2">
        <v>37.950000000000003</v>
      </c>
      <c r="BB183" s="5">
        <v>1551.25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5212.2</v>
      </c>
      <c r="BI183" s="12">
        <v>4653.75</v>
      </c>
      <c r="BJ183" s="2">
        <v>93.08</v>
      </c>
      <c r="BL183" s="1" t="s">
        <v>302</v>
      </c>
    </row>
    <row r="184" spans="1:64" x14ac:dyDescent="0.3">
      <c r="A184" t="s">
        <v>383</v>
      </c>
      <c r="B184" s="1" t="s">
        <v>383</v>
      </c>
      <c r="C184" s="9" t="s">
        <v>384</v>
      </c>
      <c r="D184" s="1" t="s">
        <v>43</v>
      </c>
      <c r="E184" s="1" t="s">
        <v>128</v>
      </c>
      <c r="F184" s="10" t="s">
        <v>385</v>
      </c>
      <c r="G184" s="1">
        <v>3.5000000000000003E-2</v>
      </c>
      <c r="H184" s="1">
        <v>0.02</v>
      </c>
      <c r="I184" s="8">
        <v>45242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0</v>
      </c>
      <c r="AJ184" s="2">
        <v>0</v>
      </c>
      <c r="AK184" s="2">
        <v>0</v>
      </c>
      <c r="AL184" s="2">
        <v>0</v>
      </c>
      <c r="AM184" s="5">
        <v>0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0</v>
      </c>
      <c r="AT184" s="12">
        <v>0</v>
      </c>
      <c r="AU184" s="2">
        <v>0</v>
      </c>
      <c r="AV184" s="5">
        <v>0</v>
      </c>
      <c r="AX184" s="2">
        <v>0</v>
      </c>
      <c r="AY184" s="2">
        <v>0</v>
      </c>
      <c r="AZ184" s="2">
        <v>0</v>
      </c>
      <c r="BA184" s="2">
        <v>0</v>
      </c>
      <c r="BB184" s="5">
        <v>0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0</v>
      </c>
      <c r="BI184" s="12">
        <v>0</v>
      </c>
      <c r="BJ184" s="2">
        <v>0</v>
      </c>
      <c r="BL184" s="1" t="s">
        <v>326</v>
      </c>
    </row>
    <row r="185" spans="1:64" x14ac:dyDescent="0.3">
      <c r="A185" t="s">
        <v>500</v>
      </c>
      <c r="B185" s="1" t="s">
        <v>500</v>
      </c>
      <c r="C185" s="9" t="s">
        <v>501</v>
      </c>
      <c r="D185" s="1" t="s">
        <v>43</v>
      </c>
      <c r="E185" s="1" t="s">
        <v>135</v>
      </c>
      <c r="F185" s="10" t="s">
        <v>316</v>
      </c>
      <c r="G185" s="1">
        <v>0</v>
      </c>
      <c r="H185" s="1">
        <v>0.02</v>
      </c>
      <c r="I185" s="8">
        <v>45091</v>
      </c>
      <c r="J185" s="6">
        <v>48873</v>
      </c>
      <c r="K185" s="6">
        <v>11972</v>
      </c>
      <c r="L185" s="6">
        <v>872.73000000000047</v>
      </c>
      <c r="M185" s="6">
        <v>213.7800000000002</v>
      </c>
      <c r="N185" s="7">
        <v>543.26000000000022</v>
      </c>
      <c r="O185" s="6">
        <v>-62648.49</v>
      </c>
      <c r="P185" s="6">
        <v>-17587.41</v>
      </c>
      <c r="Q185" s="6">
        <v>-1118.72</v>
      </c>
      <c r="R185" s="6">
        <v>-314.06</v>
      </c>
      <c r="S185" s="7">
        <v>0</v>
      </c>
      <c r="T185" s="11">
        <v>220.6299999999992</v>
      </c>
      <c r="U185" s="6">
        <v>196.99000000000342</v>
      </c>
      <c r="V185" s="6">
        <v>3.9399999999999977</v>
      </c>
      <c r="W185" s="6">
        <v>0</v>
      </c>
      <c r="AI185" s="2">
        <v>331630.59999999998</v>
      </c>
      <c r="AJ185" s="2">
        <v>71758</v>
      </c>
      <c r="AK185" s="2">
        <v>5921.97</v>
      </c>
      <c r="AL185" s="2">
        <v>1281.3900000000001</v>
      </c>
      <c r="AM185" s="5">
        <v>3601.69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12101.66</v>
      </c>
      <c r="AT185" s="12">
        <v>10805.050000000001</v>
      </c>
      <c r="AU185" s="2">
        <v>216.1</v>
      </c>
      <c r="AV185" s="5">
        <v>0</v>
      </c>
      <c r="AX185" s="2">
        <v>282757.59999999998</v>
      </c>
      <c r="AY185" s="2">
        <v>59786</v>
      </c>
      <c r="AZ185" s="2">
        <v>5049.24</v>
      </c>
      <c r="BA185" s="2">
        <v>1067.6099999999999</v>
      </c>
      <c r="BB185" s="5">
        <v>3058.43</v>
      </c>
      <c r="BC185" s="12">
        <v>62648.49</v>
      </c>
      <c r="BD185" s="2">
        <v>17587.41</v>
      </c>
      <c r="BE185" s="2">
        <v>1118.72</v>
      </c>
      <c r="BF185" s="2">
        <v>314.06</v>
      </c>
      <c r="BG185" s="5">
        <v>0</v>
      </c>
      <c r="BH185" s="2">
        <v>11881.03</v>
      </c>
      <c r="BI185" s="12">
        <v>10608.059999999998</v>
      </c>
      <c r="BJ185" s="2">
        <v>212.16</v>
      </c>
      <c r="BL185" s="1" t="s">
        <v>302</v>
      </c>
    </row>
    <row r="186" spans="1:64" x14ac:dyDescent="0.3">
      <c r="A186" t="s">
        <v>567</v>
      </c>
      <c r="B186" s="1" t="s">
        <v>567</v>
      </c>
      <c r="C186" s="9" t="s">
        <v>568</v>
      </c>
      <c r="D186" s="1" t="s">
        <v>43</v>
      </c>
      <c r="E186" s="1" t="s">
        <v>135</v>
      </c>
      <c r="F186" s="10" t="s">
        <v>144</v>
      </c>
      <c r="G186" s="1">
        <v>2.5000000000000001E-2</v>
      </c>
      <c r="H186" s="1">
        <v>0.02</v>
      </c>
      <c r="I186" s="8">
        <v>44183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441727.00000000006</v>
      </c>
      <c r="AJ186" s="2">
        <v>112626</v>
      </c>
      <c r="AK186" s="2">
        <v>7887.98</v>
      </c>
      <c r="AL186" s="2">
        <v>2011.18</v>
      </c>
      <c r="AM186" s="5">
        <v>4949.58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16630.59</v>
      </c>
      <c r="AT186" s="12">
        <v>14848.74</v>
      </c>
      <c r="AU186" s="2">
        <v>296.97000000000003</v>
      </c>
      <c r="AV186" s="5">
        <v>0</v>
      </c>
      <c r="AX186" s="2">
        <v>441727.00000000006</v>
      </c>
      <c r="AY186" s="2">
        <v>112626</v>
      </c>
      <c r="AZ186" s="2">
        <v>7887.98</v>
      </c>
      <c r="BA186" s="2">
        <v>2011.18</v>
      </c>
      <c r="BB186" s="5">
        <v>4949.58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16630.59</v>
      </c>
      <c r="BI186" s="12">
        <v>14848.74</v>
      </c>
      <c r="BJ186" s="2">
        <v>296.97000000000003</v>
      </c>
      <c r="BL186" s="1" t="s">
        <v>137</v>
      </c>
    </row>
    <row r="187" spans="1:64" x14ac:dyDescent="0.3">
      <c r="A187" t="s">
        <v>581</v>
      </c>
      <c r="B187" s="1" t="s">
        <v>581</v>
      </c>
      <c r="C187" s="9" t="s">
        <v>582</v>
      </c>
      <c r="D187" s="1" t="s">
        <v>43</v>
      </c>
      <c r="E187" s="1" t="s">
        <v>135</v>
      </c>
      <c r="F187" s="10" t="s">
        <v>583</v>
      </c>
      <c r="G187" s="1">
        <v>2.5000000000000001E-2</v>
      </c>
      <c r="H187" s="1">
        <v>0.02</v>
      </c>
      <c r="I187" s="8">
        <v>44385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693957.8</v>
      </c>
      <c r="AJ187" s="2">
        <v>104153.01000000001</v>
      </c>
      <c r="AK187" s="2">
        <v>12392.11</v>
      </c>
      <c r="AL187" s="2">
        <v>1859.87</v>
      </c>
      <c r="AM187" s="5">
        <v>7125.99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23943.33</v>
      </c>
      <c r="AT187" s="12">
        <v>21377.97</v>
      </c>
      <c r="AU187" s="2">
        <v>427.56</v>
      </c>
      <c r="AV187" s="5">
        <v>0</v>
      </c>
      <c r="AX187" s="2">
        <v>693957.8</v>
      </c>
      <c r="AY187" s="2">
        <v>104153.01000000001</v>
      </c>
      <c r="AZ187" s="2">
        <v>12392.11</v>
      </c>
      <c r="BA187" s="2">
        <v>1859.87</v>
      </c>
      <c r="BB187" s="5">
        <v>7125.99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23943.33</v>
      </c>
      <c r="BI187" s="12">
        <v>21377.97</v>
      </c>
      <c r="BJ187" s="2">
        <v>427.56</v>
      </c>
      <c r="BL187" s="1" t="s">
        <v>137</v>
      </c>
    </row>
    <row r="188" spans="1:64" x14ac:dyDescent="0.3">
      <c r="A188" t="s">
        <v>637</v>
      </c>
      <c r="B188" s="1" t="s">
        <v>637</v>
      </c>
      <c r="C188" s="9" t="s">
        <v>638</v>
      </c>
      <c r="D188" s="1" t="s">
        <v>43</v>
      </c>
      <c r="E188" s="1" t="s">
        <v>88</v>
      </c>
      <c r="F188" s="10" t="s">
        <v>639</v>
      </c>
      <c r="G188" s="1">
        <v>3.5000000000000003E-2</v>
      </c>
      <c r="H188" s="1">
        <v>0.02</v>
      </c>
      <c r="I188" s="8">
        <v>45131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340986.6</v>
      </c>
      <c r="AJ188" s="2">
        <v>101735</v>
      </c>
      <c r="AK188" s="2">
        <v>6089.04</v>
      </c>
      <c r="AL188" s="2">
        <v>1816.7</v>
      </c>
      <c r="AM188" s="5">
        <v>3952.88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13281.65</v>
      </c>
      <c r="AT188" s="12">
        <v>11858.619999999999</v>
      </c>
      <c r="AU188" s="2">
        <v>237.17</v>
      </c>
      <c r="AV188" s="5">
        <v>0</v>
      </c>
      <c r="AX188" s="2">
        <v>340986.6</v>
      </c>
      <c r="AY188" s="2">
        <v>101735</v>
      </c>
      <c r="AZ188" s="2">
        <v>6089.04</v>
      </c>
      <c r="BA188" s="2">
        <v>1816.7</v>
      </c>
      <c r="BB188" s="5">
        <v>3952.88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13281.65</v>
      </c>
      <c r="BI188" s="12">
        <v>11858.619999999999</v>
      </c>
      <c r="BJ188" s="2">
        <v>237.17</v>
      </c>
      <c r="BL188" s="1" t="s">
        <v>90</v>
      </c>
    </row>
    <row r="189" spans="1:64" x14ac:dyDescent="0.3">
      <c r="A189" t="s">
        <v>640</v>
      </c>
      <c r="B189" s="1" t="s">
        <v>640</v>
      </c>
      <c r="C189" s="9" t="s">
        <v>641</v>
      </c>
      <c r="D189" s="1" t="s">
        <v>43</v>
      </c>
      <c r="E189" s="1" t="s">
        <v>88</v>
      </c>
      <c r="F189" s="10" t="s">
        <v>639</v>
      </c>
      <c r="G189" s="1">
        <v>3.5000000000000003E-2</v>
      </c>
      <c r="H189" s="1">
        <v>0.02</v>
      </c>
      <c r="I189" s="8">
        <v>45143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463197</v>
      </c>
      <c r="AJ189" s="2">
        <v>74768</v>
      </c>
      <c r="AK189" s="2">
        <v>8271.3799999999992</v>
      </c>
      <c r="AL189" s="2">
        <v>1335.14</v>
      </c>
      <c r="AM189" s="5">
        <v>4803.26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16138.95</v>
      </c>
      <c r="AT189" s="12">
        <v>14409.779999999999</v>
      </c>
      <c r="AU189" s="2">
        <v>288.2</v>
      </c>
      <c r="AV189" s="5">
        <v>0</v>
      </c>
      <c r="AX189" s="2">
        <v>463197</v>
      </c>
      <c r="AY189" s="2">
        <v>74768</v>
      </c>
      <c r="AZ189" s="2">
        <v>8271.3799999999992</v>
      </c>
      <c r="BA189" s="2">
        <v>1335.14</v>
      </c>
      <c r="BB189" s="5">
        <v>4803.26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16138.95</v>
      </c>
      <c r="BI189" s="12">
        <v>14409.779999999999</v>
      </c>
      <c r="BJ189" s="2">
        <v>288.2</v>
      </c>
      <c r="BL189" s="1" t="s">
        <v>90</v>
      </c>
    </row>
    <row r="190" spans="1:64" x14ac:dyDescent="0.3">
      <c r="A190" t="s">
        <v>665</v>
      </c>
      <c r="B190" s="1" t="s">
        <v>665</v>
      </c>
      <c r="C190" s="9" t="s">
        <v>666</v>
      </c>
      <c r="D190" s="1" t="s">
        <v>43</v>
      </c>
      <c r="E190" s="1" t="s">
        <v>88</v>
      </c>
      <c r="F190" s="10" t="s">
        <v>639</v>
      </c>
      <c r="G190" s="1">
        <v>0</v>
      </c>
      <c r="H190" s="1">
        <v>0.02</v>
      </c>
      <c r="I190" s="8">
        <v>45434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257098</v>
      </c>
      <c r="AJ190" s="2">
        <v>83163.100000000006</v>
      </c>
      <c r="AK190" s="2">
        <v>4591.04</v>
      </c>
      <c r="AL190" s="2">
        <v>1485.05</v>
      </c>
      <c r="AM190" s="5">
        <v>3038.04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10207.83</v>
      </c>
      <c r="AT190" s="12">
        <v>9114.130000000001</v>
      </c>
      <c r="AU190" s="2">
        <v>182.28</v>
      </c>
      <c r="AV190" s="5">
        <v>0</v>
      </c>
      <c r="AX190" s="2">
        <v>257098</v>
      </c>
      <c r="AY190" s="2">
        <v>83163.100000000006</v>
      </c>
      <c r="AZ190" s="2">
        <v>4591.04</v>
      </c>
      <c r="BA190" s="2">
        <v>1485.05</v>
      </c>
      <c r="BB190" s="5">
        <v>3038.04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10207.83</v>
      </c>
      <c r="BI190" s="12">
        <v>9114.130000000001</v>
      </c>
      <c r="BJ190" s="2">
        <v>182.28</v>
      </c>
      <c r="BL190" s="1" t="s">
        <v>90</v>
      </c>
    </row>
    <row r="191" spans="1:64" x14ac:dyDescent="0.3">
      <c r="A191" t="s">
        <v>672</v>
      </c>
      <c r="B191" s="1" t="s">
        <v>672</v>
      </c>
      <c r="C191" s="9" t="s">
        <v>673</v>
      </c>
      <c r="D191" s="1" t="s">
        <v>43</v>
      </c>
      <c r="E191" s="1" t="s">
        <v>128</v>
      </c>
      <c r="F191" s="10" t="s">
        <v>385</v>
      </c>
      <c r="G191" s="1">
        <v>0</v>
      </c>
      <c r="H191" s="1">
        <v>0.02</v>
      </c>
      <c r="I191" s="8">
        <v>45607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336476</v>
      </c>
      <c r="AJ191" s="2">
        <v>47046</v>
      </c>
      <c r="AK191" s="2">
        <v>6008.5</v>
      </c>
      <c r="AL191" s="2">
        <v>840.11</v>
      </c>
      <c r="AM191" s="5">
        <v>3424.3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11505.66</v>
      </c>
      <c r="AT191" s="12">
        <v>10272.91</v>
      </c>
      <c r="AU191" s="2">
        <v>205.46</v>
      </c>
      <c r="AV191" s="5">
        <v>0</v>
      </c>
      <c r="AX191" s="2">
        <v>336476</v>
      </c>
      <c r="AY191" s="2">
        <v>47046</v>
      </c>
      <c r="AZ191" s="2">
        <v>6008.5</v>
      </c>
      <c r="BA191" s="2">
        <v>840.11</v>
      </c>
      <c r="BB191" s="5">
        <v>3424.3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11505.66</v>
      </c>
      <c r="BI191" s="12">
        <v>10272.91</v>
      </c>
      <c r="BJ191" s="2">
        <v>205.46</v>
      </c>
      <c r="BL191" s="1" t="s">
        <v>326</v>
      </c>
    </row>
    <row r="192" spans="1:64" x14ac:dyDescent="0.3">
      <c r="A192" t="s">
        <v>684</v>
      </c>
      <c r="B192" s="1" t="s">
        <v>684</v>
      </c>
      <c r="C192" s="9" t="s">
        <v>685</v>
      </c>
      <c r="D192" s="1" t="s">
        <v>43</v>
      </c>
      <c r="E192" s="1" t="s">
        <v>128</v>
      </c>
      <c r="F192" s="10" t="s">
        <v>385</v>
      </c>
      <c r="G192" s="1">
        <v>0</v>
      </c>
      <c r="H192" s="1">
        <v>0.02</v>
      </c>
      <c r="I192" s="8">
        <v>45575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271345.95</v>
      </c>
      <c r="AJ192" s="2">
        <v>26183.75</v>
      </c>
      <c r="AK192" s="2">
        <v>4845.46</v>
      </c>
      <c r="AL192" s="2">
        <v>467.56</v>
      </c>
      <c r="AM192" s="5">
        <v>2656.52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8925.8799999999992</v>
      </c>
      <c r="AT192" s="12">
        <v>7969.5400000000009</v>
      </c>
      <c r="AU192" s="2">
        <v>159.38999999999999</v>
      </c>
      <c r="AV192" s="5">
        <v>0</v>
      </c>
      <c r="AX192" s="2">
        <v>271345.95</v>
      </c>
      <c r="AY192" s="2">
        <v>26183.75</v>
      </c>
      <c r="AZ192" s="2">
        <v>4845.46</v>
      </c>
      <c r="BA192" s="2">
        <v>467.56</v>
      </c>
      <c r="BB192" s="5">
        <v>2656.52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8925.8799999999992</v>
      </c>
      <c r="BI192" s="12">
        <v>7969.5400000000009</v>
      </c>
      <c r="BJ192" s="2">
        <v>159.38999999999999</v>
      </c>
      <c r="BL192" s="1" t="s">
        <v>326</v>
      </c>
    </row>
    <row r="193" spans="1:64" x14ac:dyDescent="0.3">
      <c r="A193" t="s">
        <v>750</v>
      </c>
      <c r="B193" s="1" t="s">
        <v>750</v>
      </c>
      <c r="C193" s="9" t="s">
        <v>751</v>
      </c>
      <c r="D193" s="1" t="s">
        <v>43</v>
      </c>
      <c r="E193" s="1" t="s">
        <v>135</v>
      </c>
      <c r="F193" s="10" t="s">
        <v>752</v>
      </c>
      <c r="G193" s="1">
        <v>0</v>
      </c>
      <c r="H193" s="1">
        <v>0.02</v>
      </c>
      <c r="I193" s="8">
        <v>44511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327390.01</v>
      </c>
      <c r="AJ193" s="2">
        <v>47944.99</v>
      </c>
      <c r="AK193" s="2">
        <v>5846.25</v>
      </c>
      <c r="AL193" s="2">
        <v>856.16</v>
      </c>
      <c r="AM193" s="5">
        <v>3351.21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11260.05</v>
      </c>
      <c r="AT193" s="12">
        <v>10053.619999999999</v>
      </c>
      <c r="AU193" s="2">
        <v>201.07</v>
      </c>
      <c r="AV193" s="5">
        <v>0</v>
      </c>
      <c r="AX193" s="2">
        <v>327390.01</v>
      </c>
      <c r="AY193" s="2">
        <v>47944.99</v>
      </c>
      <c r="AZ193" s="2">
        <v>5846.25</v>
      </c>
      <c r="BA193" s="2">
        <v>856.16</v>
      </c>
      <c r="BB193" s="5">
        <v>3351.21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11260.05</v>
      </c>
      <c r="BI193" s="12">
        <v>10053.619999999999</v>
      </c>
      <c r="BJ193" s="2">
        <v>201.07</v>
      </c>
      <c r="BL193" s="1" t="s">
        <v>302</v>
      </c>
    </row>
    <row r="194" spans="1:64" x14ac:dyDescent="0.3">
      <c r="A194" t="s">
        <v>750</v>
      </c>
      <c r="B194" s="1" t="s">
        <v>753</v>
      </c>
      <c r="C194" s="9" t="s">
        <v>754</v>
      </c>
      <c r="D194" s="1" t="s">
        <v>43</v>
      </c>
      <c r="E194" s="1" t="s">
        <v>135</v>
      </c>
      <c r="F194" s="10" t="s">
        <v>752</v>
      </c>
      <c r="G194" s="1">
        <v>0</v>
      </c>
      <c r="H194" s="1">
        <v>0.02</v>
      </c>
      <c r="I194" s="8">
        <v>45268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349708.5</v>
      </c>
      <c r="AJ194" s="2">
        <v>9600</v>
      </c>
      <c r="AK194" s="2">
        <v>6244.79</v>
      </c>
      <c r="AL194" s="2">
        <v>171.43</v>
      </c>
      <c r="AM194" s="5">
        <v>3208.11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10779.25</v>
      </c>
      <c r="AT194" s="12">
        <v>9624.33</v>
      </c>
      <c r="AU194" s="2">
        <v>192.49</v>
      </c>
      <c r="AV194" s="5">
        <v>0</v>
      </c>
      <c r="AX194" s="2">
        <v>349708.5</v>
      </c>
      <c r="AY194" s="2">
        <v>9600</v>
      </c>
      <c r="AZ194" s="2">
        <v>6244.79</v>
      </c>
      <c r="BA194" s="2">
        <v>171.43</v>
      </c>
      <c r="BB194" s="5">
        <v>3208.11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10779.25</v>
      </c>
      <c r="BI194" s="12">
        <v>9624.33</v>
      </c>
      <c r="BJ194" s="2">
        <v>192.49</v>
      </c>
      <c r="BL194" s="1" t="s">
        <v>302</v>
      </c>
    </row>
    <row r="195" spans="1:64" x14ac:dyDescent="0.3">
      <c r="A195" t="s">
        <v>804</v>
      </c>
      <c r="B195" s="1" t="s">
        <v>804</v>
      </c>
      <c r="C195" s="9" t="s">
        <v>805</v>
      </c>
      <c r="D195" s="1" t="s">
        <v>43</v>
      </c>
      <c r="E195" s="1" t="s">
        <v>128</v>
      </c>
      <c r="F195" s="10" t="s">
        <v>385</v>
      </c>
      <c r="G195" s="1">
        <v>0</v>
      </c>
      <c r="H195" s="1">
        <v>0.02</v>
      </c>
      <c r="I195" s="8">
        <v>44831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466490</v>
      </c>
      <c r="AJ195" s="2">
        <v>63881</v>
      </c>
      <c r="AK195" s="2">
        <v>8330.18</v>
      </c>
      <c r="AL195" s="2">
        <v>1140.73</v>
      </c>
      <c r="AM195" s="5">
        <v>4735.46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15911.13</v>
      </c>
      <c r="AT195" s="12">
        <v>14206.369999999999</v>
      </c>
      <c r="AU195" s="2">
        <v>284.13</v>
      </c>
      <c r="AV195" s="5">
        <v>0</v>
      </c>
      <c r="AX195" s="2">
        <v>466490</v>
      </c>
      <c r="AY195" s="2">
        <v>63881</v>
      </c>
      <c r="AZ195" s="2">
        <v>8330.18</v>
      </c>
      <c r="BA195" s="2">
        <v>1140.73</v>
      </c>
      <c r="BB195" s="5">
        <v>4735.46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15911.13</v>
      </c>
      <c r="BI195" s="12">
        <v>14206.369999999999</v>
      </c>
      <c r="BJ195" s="2">
        <v>284.13</v>
      </c>
      <c r="BL195" s="1" t="s">
        <v>326</v>
      </c>
    </row>
    <row r="196" spans="1:64" x14ac:dyDescent="0.3">
      <c r="A196" t="s">
        <v>814</v>
      </c>
      <c r="B196" s="1" t="s">
        <v>814</v>
      </c>
      <c r="C196" s="9" t="s">
        <v>815</v>
      </c>
      <c r="D196" s="1" t="s">
        <v>43</v>
      </c>
      <c r="E196" s="1" t="s">
        <v>88</v>
      </c>
      <c r="F196" s="10" t="s">
        <v>639</v>
      </c>
      <c r="G196" s="1">
        <v>0</v>
      </c>
      <c r="H196" s="1">
        <v>0.02</v>
      </c>
      <c r="I196" s="8">
        <v>44985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347442.05</v>
      </c>
      <c r="AJ196" s="2">
        <v>71663</v>
      </c>
      <c r="AK196" s="2">
        <v>6204.32</v>
      </c>
      <c r="AL196" s="2">
        <v>1279.7</v>
      </c>
      <c r="AM196" s="5">
        <v>3742.01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12573.15</v>
      </c>
      <c r="AT196" s="12">
        <v>11226.029999999999</v>
      </c>
      <c r="AU196" s="2">
        <v>224.52</v>
      </c>
      <c r="AV196" s="5">
        <v>0</v>
      </c>
      <c r="AX196" s="2">
        <v>347442.05</v>
      </c>
      <c r="AY196" s="2">
        <v>71663</v>
      </c>
      <c r="AZ196" s="2">
        <v>6204.32</v>
      </c>
      <c r="BA196" s="2">
        <v>1279.7</v>
      </c>
      <c r="BB196" s="5">
        <v>3742.01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12573.15</v>
      </c>
      <c r="BI196" s="12">
        <v>11226.029999999999</v>
      </c>
      <c r="BJ196" s="2">
        <v>224.52</v>
      </c>
      <c r="BL196" s="1" t="s">
        <v>90</v>
      </c>
    </row>
    <row r="197" spans="1:64" x14ac:dyDescent="0.3">
      <c r="A197" t="s">
        <v>820</v>
      </c>
      <c r="B197" s="1" t="s">
        <v>820</v>
      </c>
      <c r="C197" s="9" t="s">
        <v>821</v>
      </c>
      <c r="D197" s="1" t="s">
        <v>43</v>
      </c>
      <c r="E197" s="1" t="s">
        <v>88</v>
      </c>
      <c r="F197" s="10" t="s">
        <v>639</v>
      </c>
      <c r="G197" s="1">
        <v>0</v>
      </c>
      <c r="H197" s="1">
        <v>0.02</v>
      </c>
      <c r="I197" s="8">
        <v>45209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155408</v>
      </c>
      <c r="AJ197" s="2">
        <v>30539</v>
      </c>
      <c r="AK197" s="2">
        <v>2775.14</v>
      </c>
      <c r="AL197" s="2">
        <v>545.34</v>
      </c>
      <c r="AM197" s="5">
        <v>1660.24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5578.41</v>
      </c>
      <c r="AT197" s="12">
        <v>4980.72</v>
      </c>
      <c r="AU197" s="2">
        <v>99.61</v>
      </c>
      <c r="AV197" s="5">
        <v>0</v>
      </c>
      <c r="AX197" s="2">
        <v>155408</v>
      </c>
      <c r="AY197" s="2">
        <v>30539</v>
      </c>
      <c r="AZ197" s="2">
        <v>2775.14</v>
      </c>
      <c r="BA197" s="2">
        <v>545.34</v>
      </c>
      <c r="BB197" s="5">
        <v>1660.24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5578.41</v>
      </c>
      <c r="BI197" s="12">
        <v>4980.72</v>
      </c>
      <c r="BJ197" s="2">
        <v>99.61</v>
      </c>
      <c r="BL197" s="1" t="s">
        <v>90</v>
      </c>
    </row>
    <row r="198" spans="1:64" x14ac:dyDescent="0.3">
      <c r="A198" t="s">
        <v>822</v>
      </c>
      <c r="B198" s="1" t="s">
        <v>822</v>
      </c>
      <c r="C198" s="9" t="s">
        <v>823</v>
      </c>
      <c r="D198" s="1" t="s">
        <v>43</v>
      </c>
      <c r="E198" s="1" t="s">
        <v>88</v>
      </c>
      <c r="F198" s="10" t="s">
        <v>639</v>
      </c>
      <c r="G198" s="1">
        <v>0</v>
      </c>
      <c r="H198" s="1">
        <v>0.02</v>
      </c>
      <c r="I198" s="8">
        <v>45198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123877.4</v>
      </c>
      <c r="AJ198" s="2">
        <v>65432</v>
      </c>
      <c r="AK198" s="2">
        <v>2212.1</v>
      </c>
      <c r="AL198" s="2">
        <v>1168.43</v>
      </c>
      <c r="AM198" s="5">
        <v>1690.26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5679.28</v>
      </c>
      <c r="AT198" s="12">
        <v>5070.79</v>
      </c>
      <c r="AU198" s="2">
        <v>101.42</v>
      </c>
      <c r="AV198" s="5">
        <v>0</v>
      </c>
      <c r="AX198" s="2">
        <v>123877.4</v>
      </c>
      <c r="AY198" s="2">
        <v>65432</v>
      </c>
      <c r="AZ198" s="2">
        <v>2212.1</v>
      </c>
      <c r="BA198" s="2">
        <v>1168.43</v>
      </c>
      <c r="BB198" s="5">
        <v>1690.26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5679.28</v>
      </c>
      <c r="BI198" s="12">
        <v>5070.79</v>
      </c>
      <c r="BJ198" s="2">
        <v>101.42</v>
      </c>
      <c r="BL198" s="1" t="s">
        <v>90</v>
      </c>
    </row>
    <row r="199" spans="1:64" x14ac:dyDescent="0.3">
      <c r="A199" t="s">
        <v>831</v>
      </c>
      <c r="B199" s="1" t="s">
        <v>831</v>
      </c>
      <c r="C199" s="9" t="s">
        <v>832</v>
      </c>
      <c r="D199" s="1" t="s">
        <v>43</v>
      </c>
      <c r="E199" s="1" t="s">
        <v>135</v>
      </c>
      <c r="F199" s="10" t="s">
        <v>752</v>
      </c>
      <c r="G199" s="1">
        <v>0</v>
      </c>
      <c r="H199" s="1">
        <v>0.02</v>
      </c>
      <c r="I199" s="8">
        <v>45429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421356.48000000004</v>
      </c>
      <c r="AJ199" s="2">
        <v>42123.42</v>
      </c>
      <c r="AK199" s="2">
        <v>7524.22</v>
      </c>
      <c r="AL199" s="2">
        <v>752.21</v>
      </c>
      <c r="AM199" s="5">
        <v>4138.21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13904.4</v>
      </c>
      <c r="AT199" s="12">
        <v>12414.64</v>
      </c>
      <c r="AU199" s="2">
        <v>248.29</v>
      </c>
      <c r="AV199" s="5">
        <v>0</v>
      </c>
      <c r="AX199" s="2">
        <v>421356.48000000004</v>
      </c>
      <c r="AY199" s="2">
        <v>42123.42</v>
      </c>
      <c r="AZ199" s="2">
        <v>7524.22</v>
      </c>
      <c r="BA199" s="2">
        <v>752.21</v>
      </c>
      <c r="BB199" s="5">
        <v>4138.21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13904.4</v>
      </c>
      <c r="BI199" s="12">
        <v>12414.64</v>
      </c>
      <c r="BJ199" s="2">
        <v>248.29</v>
      </c>
      <c r="BL199" s="1" t="s">
        <v>302</v>
      </c>
    </row>
    <row r="200" spans="1:64" x14ac:dyDescent="0.3">
      <c r="A200" t="s">
        <v>958</v>
      </c>
      <c r="B200" s="1" t="s">
        <v>958</v>
      </c>
      <c r="C200" s="9" t="s">
        <v>959</v>
      </c>
      <c r="D200" s="1" t="s">
        <v>43</v>
      </c>
      <c r="E200" s="1" t="s">
        <v>135</v>
      </c>
      <c r="F200" s="10" t="s">
        <v>583</v>
      </c>
      <c r="G200" s="1">
        <v>0</v>
      </c>
      <c r="H200" s="1">
        <v>0.02</v>
      </c>
      <c r="I200" s="8">
        <v>45706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254365</v>
      </c>
      <c r="AJ200" s="2">
        <v>58352</v>
      </c>
      <c r="AK200" s="2">
        <v>4542.2299999999996</v>
      </c>
      <c r="AL200" s="2">
        <v>1042</v>
      </c>
      <c r="AM200" s="5">
        <v>2792.12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9381.51</v>
      </c>
      <c r="AT200" s="12">
        <v>8376.3499999999985</v>
      </c>
      <c r="AU200" s="2">
        <v>167.53</v>
      </c>
      <c r="AV200" s="5">
        <v>0</v>
      </c>
      <c r="AX200" s="2">
        <v>254365</v>
      </c>
      <c r="AY200" s="2">
        <v>58352</v>
      </c>
      <c r="AZ200" s="2">
        <v>4542.2299999999996</v>
      </c>
      <c r="BA200" s="2">
        <v>1042</v>
      </c>
      <c r="BB200" s="5">
        <v>2792.12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9381.51</v>
      </c>
      <c r="BI200" s="12">
        <v>8376.3499999999985</v>
      </c>
      <c r="BJ200" s="2">
        <v>167.53</v>
      </c>
      <c r="BL200" s="1" t="s">
        <v>137</v>
      </c>
    </row>
    <row r="201" spans="1:64" x14ac:dyDescent="0.3">
      <c r="A201" t="s">
        <v>1019</v>
      </c>
      <c r="B201" s="1" t="s">
        <v>1019</v>
      </c>
      <c r="C201" s="9" t="s">
        <v>1020</v>
      </c>
      <c r="D201" s="1" t="s">
        <v>43</v>
      </c>
      <c r="E201" s="1" t="s">
        <v>135</v>
      </c>
      <c r="F201" s="10" t="s">
        <v>316</v>
      </c>
      <c r="G201" s="1">
        <v>0</v>
      </c>
      <c r="H201" s="1">
        <v>0.02</v>
      </c>
      <c r="I201" s="8">
        <v>44500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404811</v>
      </c>
      <c r="AJ201" s="2">
        <v>47047</v>
      </c>
      <c r="AK201" s="2">
        <v>7228.77</v>
      </c>
      <c r="AL201" s="2">
        <v>840.12</v>
      </c>
      <c r="AM201" s="5">
        <v>4034.45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13555.74</v>
      </c>
      <c r="AT201" s="12">
        <v>12103.34</v>
      </c>
      <c r="AU201" s="2">
        <v>242.07</v>
      </c>
      <c r="AV201" s="5">
        <v>0</v>
      </c>
      <c r="AX201" s="2">
        <v>404811</v>
      </c>
      <c r="AY201" s="2">
        <v>47047</v>
      </c>
      <c r="AZ201" s="2">
        <v>7228.77</v>
      </c>
      <c r="BA201" s="2">
        <v>840.12</v>
      </c>
      <c r="BB201" s="5">
        <v>4034.45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13555.74</v>
      </c>
      <c r="BI201" s="12">
        <v>12103.34</v>
      </c>
      <c r="BJ201" s="2">
        <v>242.07</v>
      </c>
      <c r="BL201" s="1" t="s">
        <v>302</v>
      </c>
    </row>
    <row r="202" spans="1:64" x14ac:dyDescent="0.3">
      <c r="A202" t="s">
        <v>1049</v>
      </c>
      <c r="B202" s="1" t="s">
        <v>1049</v>
      </c>
      <c r="C202" s="9" t="s">
        <v>1050</v>
      </c>
      <c r="D202" s="1" t="s">
        <v>43</v>
      </c>
      <c r="E202" s="1" t="s">
        <v>128</v>
      </c>
      <c r="F202" s="10" t="s">
        <v>385</v>
      </c>
      <c r="G202" s="1">
        <v>0</v>
      </c>
      <c r="H202" s="1">
        <v>0.02</v>
      </c>
      <c r="I202" s="8">
        <v>44548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276483</v>
      </c>
      <c r="AJ202" s="2">
        <v>28071</v>
      </c>
      <c r="AK202" s="2">
        <v>4937.2</v>
      </c>
      <c r="AL202" s="2">
        <v>501.27</v>
      </c>
      <c r="AM202" s="5">
        <v>2719.23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9136.6200000000008</v>
      </c>
      <c r="AT202" s="12">
        <v>8157.6999999999989</v>
      </c>
      <c r="AU202" s="2">
        <v>163.15</v>
      </c>
      <c r="AV202" s="5">
        <v>0</v>
      </c>
      <c r="AX202" s="2">
        <v>276483</v>
      </c>
      <c r="AY202" s="2">
        <v>28071</v>
      </c>
      <c r="AZ202" s="2">
        <v>4937.2</v>
      </c>
      <c r="BA202" s="2">
        <v>501.27</v>
      </c>
      <c r="BB202" s="5">
        <v>2719.23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9136.6200000000008</v>
      </c>
      <c r="BI202" s="12">
        <v>8157.6999999999989</v>
      </c>
      <c r="BJ202" s="2">
        <v>163.15</v>
      </c>
      <c r="BL202" s="1" t="s">
        <v>326</v>
      </c>
    </row>
    <row r="203" spans="1:64" x14ac:dyDescent="0.3">
      <c r="A203" t="s">
        <v>1053</v>
      </c>
      <c r="B203" s="1" t="s">
        <v>1053</v>
      </c>
      <c r="C203" s="9" t="s">
        <v>1054</v>
      </c>
      <c r="D203" s="1" t="s">
        <v>43</v>
      </c>
      <c r="E203" s="1" t="s">
        <v>128</v>
      </c>
      <c r="F203" s="10" t="s">
        <v>385</v>
      </c>
      <c r="G203" s="1">
        <v>0</v>
      </c>
      <c r="H203" s="1">
        <v>0.02</v>
      </c>
      <c r="I203" s="8">
        <v>44576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289543</v>
      </c>
      <c r="AJ203" s="2">
        <v>65857</v>
      </c>
      <c r="AK203" s="2">
        <v>5170.41</v>
      </c>
      <c r="AL203" s="2">
        <v>1176.02</v>
      </c>
      <c r="AM203" s="5">
        <v>3173.21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10662</v>
      </c>
      <c r="AT203" s="12">
        <v>9519.64</v>
      </c>
      <c r="AU203" s="2">
        <v>190.39</v>
      </c>
      <c r="AV203" s="5">
        <v>0</v>
      </c>
      <c r="AX203" s="2">
        <v>289543</v>
      </c>
      <c r="AY203" s="2">
        <v>65857</v>
      </c>
      <c r="AZ203" s="2">
        <v>5170.41</v>
      </c>
      <c r="BA203" s="2">
        <v>1176.02</v>
      </c>
      <c r="BB203" s="5">
        <v>3173.21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10662</v>
      </c>
      <c r="BI203" s="12">
        <v>9519.64</v>
      </c>
      <c r="BJ203" s="2">
        <v>190.39</v>
      </c>
      <c r="BL203" s="1" t="s">
        <v>326</v>
      </c>
    </row>
    <row r="204" spans="1:64" x14ac:dyDescent="0.3">
      <c r="A204" t="s">
        <v>1154</v>
      </c>
      <c r="B204" s="1" t="s">
        <v>1154</v>
      </c>
      <c r="C204" s="9" t="s">
        <v>1155</v>
      </c>
      <c r="D204" s="1" t="s">
        <v>43</v>
      </c>
      <c r="E204" s="1" t="s">
        <v>128</v>
      </c>
      <c r="F204" s="10" t="s">
        <v>385</v>
      </c>
      <c r="G204" s="1">
        <v>0</v>
      </c>
      <c r="H204" s="1">
        <v>0.02</v>
      </c>
      <c r="I204" s="8">
        <v>44897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619576.19999999995</v>
      </c>
      <c r="AJ204" s="2">
        <v>35852</v>
      </c>
      <c r="AK204" s="2">
        <v>11063.86</v>
      </c>
      <c r="AL204" s="2">
        <v>640.21</v>
      </c>
      <c r="AM204" s="5">
        <v>5852.04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19662.84</v>
      </c>
      <c r="AT204" s="12">
        <v>17556.11</v>
      </c>
      <c r="AU204" s="2">
        <v>351.12</v>
      </c>
      <c r="AV204" s="5">
        <v>0</v>
      </c>
      <c r="AX204" s="2">
        <v>619576.19999999995</v>
      </c>
      <c r="AY204" s="2">
        <v>35852</v>
      </c>
      <c r="AZ204" s="2">
        <v>11063.86</v>
      </c>
      <c r="BA204" s="2">
        <v>640.21</v>
      </c>
      <c r="BB204" s="5">
        <v>5852.04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19662.84</v>
      </c>
      <c r="BI204" s="12">
        <v>17556.11</v>
      </c>
      <c r="BJ204" s="2">
        <v>351.12</v>
      </c>
      <c r="BL204" s="1" t="s">
        <v>326</v>
      </c>
    </row>
    <row r="205" spans="1:64" x14ac:dyDescent="0.3">
      <c r="A205" t="s">
        <v>1233</v>
      </c>
      <c r="B205" s="1" t="s">
        <v>1234</v>
      </c>
      <c r="C205" s="9" t="s">
        <v>1235</v>
      </c>
      <c r="D205" s="1" t="s">
        <v>43</v>
      </c>
      <c r="E205" s="1" t="s">
        <v>128</v>
      </c>
      <c r="F205" s="10" t="s">
        <v>385</v>
      </c>
      <c r="G205" s="1">
        <v>0</v>
      </c>
      <c r="H205" s="1">
        <v>0.02</v>
      </c>
      <c r="I205" s="8">
        <v>45036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150594</v>
      </c>
      <c r="AJ205" s="2">
        <v>900</v>
      </c>
      <c r="AK205" s="2">
        <v>2689.18</v>
      </c>
      <c r="AL205" s="2">
        <v>16.07</v>
      </c>
      <c r="AM205" s="5">
        <v>1352.62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4544.8100000000004</v>
      </c>
      <c r="AT205" s="12">
        <v>4057.87</v>
      </c>
      <c r="AU205" s="2">
        <v>81.16</v>
      </c>
      <c r="AV205" s="5">
        <v>0</v>
      </c>
      <c r="AX205" s="2">
        <v>150594</v>
      </c>
      <c r="AY205" s="2">
        <v>900</v>
      </c>
      <c r="AZ205" s="2">
        <v>2689.18</v>
      </c>
      <c r="BA205" s="2">
        <v>16.07</v>
      </c>
      <c r="BB205" s="5">
        <v>1352.62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4544.8100000000004</v>
      </c>
      <c r="BI205" s="12">
        <v>4057.87</v>
      </c>
      <c r="BJ205" s="2">
        <v>81.16</v>
      </c>
      <c r="BL205" s="1" t="s">
        <v>326</v>
      </c>
    </row>
    <row r="206" spans="1:64" x14ac:dyDescent="0.3">
      <c r="A206" t="s">
        <v>1233</v>
      </c>
      <c r="B206" s="1" t="s">
        <v>1233</v>
      </c>
      <c r="C206" s="9" t="s">
        <v>1236</v>
      </c>
      <c r="D206" s="1" t="s">
        <v>43</v>
      </c>
      <c r="E206" s="1" t="s">
        <v>128</v>
      </c>
      <c r="F206" s="10" t="s">
        <v>385</v>
      </c>
      <c r="G206" s="1">
        <v>0</v>
      </c>
      <c r="H206" s="1">
        <v>0.02</v>
      </c>
      <c r="I206" s="8">
        <v>45031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196644.80000000002</v>
      </c>
      <c r="AJ206" s="2">
        <v>7904</v>
      </c>
      <c r="AK206" s="2">
        <v>3511.52</v>
      </c>
      <c r="AL206" s="2">
        <v>141.13999999999999</v>
      </c>
      <c r="AM206" s="5">
        <v>1826.33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6136.47</v>
      </c>
      <c r="AT206" s="12">
        <v>5478.99</v>
      </c>
      <c r="AU206" s="2">
        <v>109.58</v>
      </c>
      <c r="AV206" s="5">
        <v>0</v>
      </c>
      <c r="AX206" s="2">
        <v>196644.80000000002</v>
      </c>
      <c r="AY206" s="2">
        <v>7904</v>
      </c>
      <c r="AZ206" s="2">
        <v>3511.52</v>
      </c>
      <c r="BA206" s="2">
        <v>141.13999999999999</v>
      </c>
      <c r="BB206" s="5">
        <v>1826.33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6136.47</v>
      </c>
      <c r="BI206" s="12">
        <v>5478.99</v>
      </c>
      <c r="BJ206" s="2">
        <v>109.58</v>
      </c>
      <c r="BL206" s="1" t="s">
        <v>326</v>
      </c>
    </row>
    <row r="207" spans="1:64" x14ac:dyDescent="0.3">
      <c r="A207" t="s">
        <v>1233</v>
      </c>
      <c r="B207" s="1" t="s">
        <v>1237</v>
      </c>
      <c r="C207" s="9" t="s">
        <v>1238</v>
      </c>
      <c r="D207" s="1" t="s">
        <v>43</v>
      </c>
      <c r="E207" s="1" t="s">
        <v>128</v>
      </c>
      <c r="F207" s="10" t="s">
        <v>385</v>
      </c>
      <c r="G207" s="1">
        <v>0</v>
      </c>
      <c r="H207" s="1">
        <v>0.02</v>
      </c>
      <c r="I207" s="8">
        <v>45034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95032</v>
      </c>
      <c r="AJ207" s="2">
        <v>150</v>
      </c>
      <c r="AK207" s="2">
        <v>1697</v>
      </c>
      <c r="AL207" s="2">
        <v>2.68</v>
      </c>
      <c r="AM207" s="5">
        <v>849.84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2855.46</v>
      </c>
      <c r="AT207" s="12">
        <v>2549.52</v>
      </c>
      <c r="AU207" s="2">
        <v>50.99</v>
      </c>
      <c r="AV207" s="5">
        <v>0</v>
      </c>
      <c r="AX207" s="2">
        <v>95032</v>
      </c>
      <c r="AY207" s="2">
        <v>150</v>
      </c>
      <c r="AZ207" s="2">
        <v>1697</v>
      </c>
      <c r="BA207" s="2">
        <v>2.68</v>
      </c>
      <c r="BB207" s="5">
        <v>849.84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2855.46</v>
      </c>
      <c r="BI207" s="12">
        <v>2549.52</v>
      </c>
      <c r="BJ207" s="2">
        <v>50.99</v>
      </c>
      <c r="BL207" s="1" t="s">
        <v>1239</v>
      </c>
    </row>
    <row r="208" spans="1:64" x14ac:dyDescent="0.3">
      <c r="A208" t="s">
        <v>1233</v>
      </c>
      <c r="B208" s="1" t="s">
        <v>1240</v>
      </c>
      <c r="C208" s="9" t="s">
        <v>1241</v>
      </c>
      <c r="D208" s="1" t="s">
        <v>43</v>
      </c>
      <c r="E208" s="1" t="s">
        <v>128</v>
      </c>
      <c r="F208" s="10" t="s">
        <v>385</v>
      </c>
      <c r="G208" s="1">
        <v>0</v>
      </c>
      <c r="H208" s="1">
        <v>0.02</v>
      </c>
      <c r="I208" s="8">
        <v>45035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201230</v>
      </c>
      <c r="AJ208" s="2">
        <v>80</v>
      </c>
      <c r="AK208" s="2">
        <v>3593.39</v>
      </c>
      <c r="AL208" s="2">
        <v>1.43</v>
      </c>
      <c r="AM208" s="5">
        <v>1797.41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6039.3</v>
      </c>
      <c r="AT208" s="12">
        <v>5392.23</v>
      </c>
      <c r="AU208" s="2">
        <v>107.84</v>
      </c>
      <c r="AV208" s="5">
        <v>0</v>
      </c>
      <c r="AX208" s="2">
        <v>201230</v>
      </c>
      <c r="AY208" s="2">
        <v>80</v>
      </c>
      <c r="AZ208" s="2">
        <v>3593.39</v>
      </c>
      <c r="BA208" s="2">
        <v>1.43</v>
      </c>
      <c r="BB208" s="5">
        <v>1797.41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6039.3</v>
      </c>
      <c r="BI208" s="12">
        <v>5392.23</v>
      </c>
      <c r="BJ208" s="2">
        <v>107.84</v>
      </c>
      <c r="BL208" s="1" t="s">
        <v>326</v>
      </c>
    </row>
    <row r="209" spans="1:64" x14ac:dyDescent="0.3">
      <c r="A209" t="s">
        <v>1233</v>
      </c>
      <c r="B209" s="1" t="s">
        <v>1242</v>
      </c>
      <c r="C209" s="9" t="s">
        <v>1243</v>
      </c>
      <c r="D209" s="1" t="s">
        <v>43</v>
      </c>
      <c r="E209" s="1" t="s">
        <v>128</v>
      </c>
      <c r="F209" s="10" t="s">
        <v>385</v>
      </c>
      <c r="G209" s="1">
        <v>0</v>
      </c>
      <c r="H209" s="1">
        <v>0.02</v>
      </c>
      <c r="I209" s="8">
        <v>45112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98639.5</v>
      </c>
      <c r="AJ209" s="2">
        <v>0</v>
      </c>
      <c r="AK209" s="2">
        <v>1761.42</v>
      </c>
      <c r="AL209" s="2">
        <v>0</v>
      </c>
      <c r="AM209" s="5">
        <v>880.71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2959.19</v>
      </c>
      <c r="AT209" s="12">
        <v>2642.13</v>
      </c>
      <c r="AU209" s="2">
        <v>52.84</v>
      </c>
      <c r="AV209" s="5">
        <v>0</v>
      </c>
      <c r="AX209" s="2">
        <v>98639.5</v>
      </c>
      <c r="AY209" s="2">
        <v>0</v>
      </c>
      <c r="AZ209" s="2">
        <v>1761.42</v>
      </c>
      <c r="BA209" s="2">
        <v>0</v>
      </c>
      <c r="BB209" s="5">
        <v>880.71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2959.19</v>
      </c>
      <c r="BI209" s="12">
        <v>2642.13</v>
      </c>
      <c r="BJ209" s="2">
        <v>52.84</v>
      </c>
      <c r="BL209" s="1" t="s">
        <v>326</v>
      </c>
    </row>
    <row r="210" spans="1:64" x14ac:dyDescent="0.3">
      <c r="A210" t="s">
        <v>1246</v>
      </c>
      <c r="B210" s="1" t="s">
        <v>1246</v>
      </c>
      <c r="C210" s="9" t="s">
        <v>1247</v>
      </c>
      <c r="D210" s="1" t="s">
        <v>43</v>
      </c>
      <c r="E210" s="1" t="s">
        <v>128</v>
      </c>
      <c r="F210" s="10" t="s">
        <v>385</v>
      </c>
      <c r="G210" s="1">
        <v>0</v>
      </c>
      <c r="H210" s="1">
        <v>0.02</v>
      </c>
      <c r="I210" s="8">
        <v>45152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592565.75</v>
      </c>
      <c r="AJ210" s="2">
        <v>18701</v>
      </c>
      <c r="AK210" s="2">
        <v>10581.54</v>
      </c>
      <c r="AL210" s="2">
        <v>333.95</v>
      </c>
      <c r="AM210" s="5">
        <v>5457.74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18338.02</v>
      </c>
      <c r="AT210" s="12">
        <v>16373.230000000001</v>
      </c>
      <c r="AU210" s="2">
        <v>327.45999999999998</v>
      </c>
      <c r="AV210" s="5">
        <v>0</v>
      </c>
      <c r="AX210" s="2">
        <v>592565.75</v>
      </c>
      <c r="AY210" s="2">
        <v>18701</v>
      </c>
      <c r="AZ210" s="2">
        <v>10581.54</v>
      </c>
      <c r="BA210" s="2">
        <v>333.95</v>
      </c>
      <c r="BB210" s="5">
        <v>5457.74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18338.02</v>
      </c>
      <c r="BI210" s="12">
        <v>16373.230000000001</v>
      </c>
      <c r="BJ210" s="2">
        <v>327.45999999999998</v>
      </c>
      <c r="BL210" s="1" t="s">
        <v>326</v>
      </c>
    </row>
    <row r="211" spans="1:64" x14ac:dyDescent="0.3">
      <c r="A211" t="s">
        <v>1246</v>
      </c>
      <c r="B211" s="1" t="s">
        <v>1248</v>
      </c>
      <c r="C211" s="9" t="s">
        <v>1249</v>
      </c>
      <c r="D211" s="1" t="s">
        <v>43</v>
      </c>
      <c r="E211" s="1" t="s">
        <v>128</v>
      </c>
      <c r="F211" s="10" t="s">
        <v>385</v>
      </c>
      <c r="G211" s="1">
        <v>0</v>
      </c>
      <c r="H211" s="1">
        <v>0.02</v>
      </c>
      <c r="I211" s="8">
        <v>45173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128500</v>
      </c>
      <c r="AJ211" s="2">
        <v>12470</v>
      </c>
      <c r="AK211" s="2">
        <v>2294.64</v>
      </c>
      <c r="AL211" s="2">
        <v>222.68</v>
      </c>
      <c r="AM211" s="5">
        <v>1258.6600000000001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4229.1000000000004</v>
      </c>
      <c r="AT211" s="12">
        <v>3775.9799999999996</v>
      </c>
      <c r="AU211" s="2">
        <v>75.52</v>
      </c>
      <c r="AV211" s="5">
        <v>0</v>
      </c>
      <c r="AX211" s="2">
        <v>128500</v>
      </c>
      <c r="AY211" s="2">
        <v>12470</v>
      </c>
      <c r="AZ211" s="2">
        <v>2294.64</v>
      </c>
      <c r="BA211" s="2">
        <v>222.68</v>
      </c>
      <c r="BB211" s="5">
        <v>1258.6600000000001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4229.1000000000004</v>
      </c>
      <c r="BI211" s="12">
        <v>3775.9799999999996</v>
      </c>
      <c r="BJ211" s="2">
        <v>75.52</v>
      </c>
      <c r="BL211" s="1" t="s">
        <v>1239</v>
      </c>
    </row>
    <row r="212" spans="1:64" x14ac:dyDescent="0.3">
      <c r="A212" t="s">
        <v>1246</v>
      </c>
      <c r="B212" s="1" t="s">
        <v>1250</v>
      </c>
      <c r="C212" s="9" t="s">
        <v>1251</v>
      </c>
      <c r="D212" s="1" t="s">
        <v>43</v>
      </c>
      <c r="E212" s="1" t="s">
        <v>128</v>
      </c>
      <c r="F212" s="10" t="s">
        <v>385</v>
      </c>
      <c r="G212" s="1">
        <v>0</v>
      </c>
      <c r="H212" s="1">
        <v>0.02</v>
      </c>
      <c r="I212" s="8">
        <v>45250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131949.9</v>
      </c>
      <c r="AJ212" s="2">
        <v>14065</v>
      </c>
      <c r="AK212" s="2">
        <v>2356.25</v>
      </c>
      <c r="AL212" s="2">
        <v>251.16</v>
      </c>
      <c r="AM212" s="5">
        <v>1303.71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4380.45</v>
      </c>
      <c r="AT212" s="12">
        <v>3911.12</v>
      </c>
      <c r="AU212" s="2">
        <v>78.22</v>
      </c>
      <c r="AV212" s="5">
        <v>0</v>
      </c>
      <c r="AX212" s="2">
        <v>131949.9</v>
      </c>
      <c r="AY212" s="2">
        <v>14065</v>
      </c>
      <c r="AZ212" s="2">
        <v>2356.25</v>
      </c>
      <c r="BA212" s="2">
        <v>251.16</v>
      </c>
      <c r="BB212" s="5">
        <v>1303.71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4380.45</v>
      </c>
      <c r="BI212" s="12">
        <v>3911.12</v>
      </c>
      <c r="BJ212" s="2">
        <v>78.22</v>
      </c>
      <c r="BL212" s="1" t="s">
        <v>1239</v>
      </c>
    </row>
    <row r="213" spans="1:64" x14ac:dyDescent="0.3">
      <c r="A213" t="s">
        <v>1252</v>
      </c>
      <c r="B213" s="1" t="s">
        <v>1252</v>
      </c>
      <c r="C213" s="9" t="s">
        <v>1253</v>
      </c>
      <c r="D213" s="1" t="s">
        <v>43</v>
      </c>
      <c r="E213" s="1" t="s">
        <v>128</v>
      </c>
      <c r="F213" s="10" t="s">
        <v>385</v>
      </c>
      <c r="G213" s="1">
        <v>0</v>
      </c>
      <c r="H213" s="1">
        <v>0.02</v>
      </c>
      <c r="I213" s="8">
        <v>45131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144426</v>
      </c>
      <c r="AJ213" s="2">
        <v>15686</v>
      </c>
      <c r="AK213" s="2">
        <v>2579.04</v>
      </c>
      <c r="AL213" s="2">
        <v>280.11</v>
      </c>
      <c r="AM213" s="5">
        <v>1429.57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4803.37</v>
      </c>
      <c r="AT213" s="12">
        <v>4288.72</v>
      </c>
      <c r="AU213" s="2">
        <v>85.77</v>
      </c>
      <c r="AV213" s="5">
        <v>0</v>
      </c>
      <c r="AX213" s="2">
        <v>144426</v>
      </c>
      <c r="AY213" s="2">
        <v>15686</v>
      </c>
      <c r="AZ213" s="2">
        <v>2579.04</v>
      </c>
      <c r="BA213" s="2">
        <v>280.11</v>
      </c>
      <c r="BB213" s="5">
        <v>1429.57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4803.37</v>
      </c>
      <c r="BI213" s="12">
        <v>4288.72</v>
      </c>
      <c r="BJ213" s="2">
        <v>85.77</v>
      </c>
      <c r="BL213" s="1" t="s">
        <v>326</v>
      </c>
    </row>
    <row r="214" spans="1:64" x14ac:dyDescent="0.3">
      <c r="A214" t="s">
        <v>1274</v>
      </c>
      <c r="B214" s="1" t="s">
        <v>1274</v>
      </c>
      <c r="C214" s="9" t="s">
        <v>1275</v>
      </c>
      <c r="D214" s="1" t="s">
        <v>43</v>
      </c>
      <c r="E214" s="1" t="s">
        <v>128</v>
      </c>
      <c r="F214" s="10" t="s">
        <v>385</v>
      </c>
      <c r="G214" s="1">
        <v>0</v>
      </c>
      <c r="H214" s="1">
        <v>0.02</v>
      </c>
      <c r="I214" s="8">
        <v>45283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89352</v>
      </c>
      <c r="AJ214" s="2">
        <v>3199</v>
      </c>
      <c r="AK214" s="2">
        <v>1595.57</v>
      </c>
      <c r="AL214" s="2">
        <v>57.12</v>
      </c>
      <c r="AM214" s="5">
        <v>826.35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2776.52</v>
      </c>
      <c r="AT214" s="12">
        <v>2479.04</v>
      </c>
      <c r="AU214" s="2">
        <v>49.58</v>
      </c>
      <c r="AV214" s="5">
        <v>0</v>
      </c>
      <c r="AX214" s="2">
        <v>89352</v>
      </c>
      <c r="AY214" s="2">
        <v>3199</v>
      </c>
      <c r="AZ214" s="2">
        <v>1595.57</v>
      </c>
      <c r="BA214" s="2">
        <v>57.12</v>
      </c>
      <c r="BB214" s="5">
        <v>826.35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2776.52</v>
      </c>
      <c r="BI214" s="12">
        <v>2479.04</v>
      </c>
      <c r="BJ214" s="2">
        <v>49.58</v>
      </c>
      <c r="BL214" s="1" t="s">
        <v>326</v>
      </c>
    </row>
    <row r="215" spans="1:64" x14ac:dyDescent="0.3">
      <c r="A215" t="s">
        <v>1274</v>
      </c>
      <c r="B215" s="1" t="s">
        <v>1276</v>
      </c>
      <c r="C215" s="9" t="s">
        <v>1277</v>
      </c>
      <c r="D215" s="1" t="s">
        <v>43</v>
      </c>
      <c r="E215" s="1" t="s">
        <v>128</v>
      </c>
      <c r="F215" s="10" t="s">
        <v>385</v>
      </c>
      <c r="G215" s="1">
        <v>0</v>
      </c>
      <c r="H215" s="1">
        <v>0.02</v>
      </c>
      <c r="I215" s="8">
        <v>45296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308520</v>
      </c>
      <c r="AJ215" s="2">
        <v>10030</v>
      </c>
      <c r="AK215" s="2">
        <v>5509.29</v>
      </c>
      <c r="AL215" s="2">
        <v>179.11</v>
      </c>
      <c r="AM215" s="5">
        <v>2844.2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9556.51</v>
      </c>
      <c r="AT215" s="12">
        <v>8532.5999999999985</v>
      </c>
      <c r="AU215" s="2">
        <v>170.65</v>
      </c>
      <c r="AV215" s="5">
        <v>0</v>
      </c>
      <c r="AX215" s="2">
        <v>308520</v>
      </c>
      <c r="AY215" s="2">
        <v>10030</v>
      </c>
      <c r="AZ215" s="2">
        <v>5509.29</v>
      </c>
      <c r="BA215" s="2">
        <v>179.11</v>
      </c>
      <c r="BB215" s="5">
        <v>2844.2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9556.51</v>
      </c>
      <c r="BI215" s="12">
        <v>8532.5999999999985</v>
      </c>
      <c r="BJ215" s="2">
        <v>170.65</v>
      </c>
      <c r="BL215" s="1" t="s">
        <v>326</v>
      </c>
    </row>
    <row r="216" spans="1:64" x14ac:dyDescent="0.3">
      <c r="A216" t="s">
        <v>1300</v>
      </c>
      <c r="B216" s="1" t="s">
        <v>1300</v>
      </c>
      <c r="C216" s="9" t="s">
        <v>1301</v>
      </c>
      <c r="D216" s="1" t="s">
        <v>43</v>
      </c>
      <c r="E216" s="1" t="s">
        <v>88</v>
      </c>
      <c r="F216" s="10" t="s">
        <v>639</v>
      </c>
      <c r="G216" s="1">
        <v>0</v>
      </c>
      <c r="H216" s="1">
        <v>0.02</v>
      </c>
      <c r="I216" s="8">
        <v>45350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344384.45</v>
      </c>
      <c r="AJ216" s="2">
        <v>36596</v>
      </c>
      <c r="AK216" s="2">
        <v>6149.72</v>
      </c>
      <c r="AL216" s="2">
        <v>653.5</v>
      </c>
      <c r="AM216" s="5">
        <v>3401.61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11429.41</v>
      </c>
      <c r="AT216" s="12">
        <v>10204.83</v>
      </c>
      <c r="AU216" s="2">
        <v>204.1</v>
      </c>
      <c r="AV216" s="5">
        <v>0</v>
      </c>
      <c r="AX216" s="2">
        <v>344384.45</v>
      </c>
      <c r="AY216" s="2">
        <v>36596</v>
      </c>
      <c r="AZ216" s="2">
        <v>6149.72</v>
      </c>
      <c r="BA216" s="2">
        <v>653.5</v>
      </c>
      <c r="BB216" s="5">
        <v>3401.61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11429.41</v>
      </c>
      <c r="BI216" s="12">
        <v>10204.83</v>
      </c>
      <c r="BJ216" s="2">
        <v>204.1</v>
      </c>
      <c r="BL216" s="1" t="s">
        <v>90</v>
      </c>
    </row>
    <row r="217" spans="1:64" x14ac:dyDescent="0.3">
      <c r="A217" t="s">
        <v>1300</v>
      </c>
      <c r="B217" s="1" t="s">
        <v>1302</v>
      </c>
      <c r="C217" s="9" t="s">
        <v>1303</v>
      </c>
      <c r="D217" s="1" t="s">
        <v>43</v>
      </c>
      <c r="E217" s="1" t="s">
        <v>88</v>
      </c>
      <c r="F217" s="10" t="s">
        <v>639</v>
      </c>
      <c r="G217" s="1">
        <v>0</v>
      </c>
      <c r="H217" s="1">
        <v>0.02</v>
      </c>
      <c r="I217" s="8">
        <v>45389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145947.76</v>
      </c>
      <c r="AJ217" s="2">
        <v>0</v>
      </c>
      <c r="AK217" s="2">
        <v>2606.21</v>
      </c>
      <c r="AL217" s="2">
        <v>0</v>
      </c>
      <c r="AM217" s="5">
        <v>1303.1099999999999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4378.4399999999996</v>
      </c>
      <c r="AT217" s="12">
        <v>3909.3199999999997</v>
      </c>
      <c r="AU217" s="2">
        <v>78.19</v>
      </c>
      <c r="AV217" s="5">
        <v>0</v>
      </c>
      <c r="AX217" s="2">
        <v>145947.76</v>
      </c>
      <c r="AY217" s="2">
        <v>0</v>
      </c>
      <c r="AZ217" s="2">
        <v>2606.21</v>
      </c>
      <c r="BA217" s="2">
        <v>0</v>
      </c>
      <c r="BB217" s="5">
        <v>1303.1099999999999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4378.4399999999996</v>
      </c>
      <c r="BI217" s="12">
        <v>3909.3199999999997</v>
      </c>
      <c r="BJ217" s="2">
        <v>78.19</v>
      </c>
      <c r="BL217" s="1" t="s">
        <v>90</v>
      </c>
    </row>
    <row r="218" spans="1:64" x14ac:dyDescent="0.3">
      <c r="A218" t="s">
        <v>1334</v>
      </c>
      <c r="B218" s="1" t="s">
        <v>1334</v>
      </c>
      <c r="C218" s="9" t="s">
        <v>1335</v>
      </c>
      <c r="D218" s="1" t="s">
        <v>43</v>
      </c>
      <c r="E218" s="1" t="s">
        <v>135</v>
      </c>
      <c r="F218" s="10" t="s">
        <v>144</v>
      </c>
      <c r="G218" s="1">
        <v>0</v>
      </c>
      <c r="H218" s="1">
        <v>0.02</v>
      </c>
      <c r="I218" s="8">
        <v>45252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306851</v>
      </c>
      <c r="AJ218" s="2">
        <v>54782</v>
      </c>
      <c r="AK218" s="2">
        <v>5479.48</v>
      </c>
      <c r="AL218" s="2">
        <v>978.25</v>
      </c>
      <c r="AM218" s="5">
        <v>3228.87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10848.99</v>
      </c>
      <c r="AT218" s="12">
        <v>9686.5999999999985</v>
      </c>
      <c r="AU218" s="2">
        <v>193.73</v>
      </c>
      <c r="AV218" s="5">
        <v>0</v>
      </c>
      <c r="AX218" s="2">
        <v>306851</v>
      </c>
      <c r="AY218" s="2">
        <v>54782</v>
      </c>
      <c r="AZ218" s="2">
        <v>5479.48</v>
      </c>
      <c r="BA218" s="2">
        <v>978.25</v>
      </c>
      <c r="BB218" s="5">
        <v>3228.87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10848.99</v>
      </c>
      <c r="BI218" s="12">
        <v>9686.5999999999985</v>
      </c>
      <c r="BJ218" s="2">
        <v>193.73</v>
      </c>
      <c r="BL218" s="1" t="s">
        <v>436</v>
      </c>
    </row>
    <row r="219" spans="1:64" x14ac:dyDescent="0.3">
      <c r="A219" t="s">
        <v>1336</v>
      </c>
      <c r="B219" s="1" t="s">
        <v>1336</v>
      </c>
      <c r="C219" s="9" t="s">
        <v>1337</v>
      </c>
      <c r="D219" s="1" t="s">
        <v>43</v>
      </c>
      <c r="E219" s="1" t="s">
        <v>135</v>
      </c>
      <c r="F219" s="10" t="s">
        <v>316</v>
      </c>
      <c r="G219" s="1">
        <v>0</v>
      </c>
      <c r="H219" s="1">
        <v>0.02</v>
      </c>
      <c r="I219" s="8">
        <v>45296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324816.23</v>
      </c>
      <c r="AJ219" s="2">
        <v>58650</v>
      </c>
      <c r="AK219" s="2">
        <v>5800.29</v>
      </c>
      <c r="AL219" s="2">
        <v>1047.32</v>
      </c>
      <c r="AM219" s="5">
        <v>3423.8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11503.98</v>
      </c>
      <c r="AT219" s="12">
        <v>10271.41</v>
      </c>
      <c r="AU219" s="2">
        <v>205.43</v>
      </c>
      <c r="AV219" s="5">
        <v>0</v>
      </c>
      <c r="AX219" s="2">
        <v>324816.23</v>
      </c>
      <c r="AY219" s="2">
        <v>58650</v>
      </c>
      <c r="AZ219" s="2">
        <v>5800.29</v>
      </c>
      <c r="BA219" s="2">
        <v>1047.32</v>
      </c>
      <c r="BB219" s="5">
        <v>3423.8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11503.98</v>
      </c>
      <c r="BI219" s="12">
        <v>10271.41</v>
      </c>
      <c r="BJ219" s="2">
        <v>205.43</v>
      </c>
      <c r="BL219" s="1" t="s">
        <v>302</v>
      </c>
    </row>
    <row r="220" spans="1:64" x14ac:dyDescent="0.3">
      <c r="A220" t="s">
        <v>1351</v>
      </c>
      <c r="B220" s="1" t="s">
        <v>1351</v>
      </c>
      <c r="C220" s="9" t="s">
        <v>1352</v>
      </c>
      <c r="D220" s="1" t="s">
        <v>43</v>
      </c>
      <c r="E220" s="1" t="s">
        <v>135</v>
      </c>
      <c r="F220" s="10" t="s">
        <v>144</v>
      </c>
      <c r="G220" s="1">
        <v>0</v>
      </c>
      <c r="H220" s="1">
        <v>0.02</v>
      </c>
      <c r="I220" s="8">
        <v>45311</v>
      </c>
      <c r="J220" s="6">
        <v>43972</v>
      </c>
      <c r="K220" s="6">
        <v>6882</v>
      </c>
      <c r="L220" s="6">
        <v>785.22000000000116</v>
      </c>
      <c r="M220" s="6">
        <v>122.88999999999987</v>
      </c>
      <c r="N220" s="7">
        <v>454.05000000000018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1525.6200000000026</v>
      </c>
      <c r="U220" s="6">
        <v>1362.1599999999999</v>
      </c>
      <c r="V220" s="6">
        <v>27.25</v>
      </c>
      <c r="W220" s="6">
        <v>0</v>
      </c>
      <c r="AI220" s="2">
        <v>572074</v>
      </c>
      <c r="AJ220" s="2">
        <v>82506</v>
      </c>
      <c r="AK220" s="2">
        <v>10215.61</v>
      </c>
      <c r="AL220" s="2">
        <v>1473.32</v>
      </c>
      <c r="AM220" s="5">
        <v>5844.46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19637.400000000001</v>
      </c>
      <c r="AT220" s="12">
        <v>17533.39</v>
      </c>
      <c r="AU220" s="2">
        <v>350.67</v>
      </c>
      <c r="AV220" s="5">
        <v>0</v>
      </c>
      <c r="AX220" s="2">
        <v>528102</v>
      </c>
      <c r="AY220" s="2">
        <v>75624</v>
      </c>
      <c r="AZ220" s="2">
        <v>9430.39</v>
      </c>
      <c r="BA220" s="2">
        <v>1350.43</v>
      </c>
      <c r="BB220" s="5">
        <v>5390.41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18111.78</v>
      </c>
      <c r="BI220" s="12">
        <v>16171.23</v>
      </c>
      <c r="BJ220" s="2">
        <v>323.42</v>
      </c>
      <c r="BL220" s="1" t="s">
        <v>137</v>
      </c>
    </row>
    <row r="221" spans="1:64" x14ac:dyDescent="0.3">
      <c r="A221" t="s">
        <v>1353</v>
      </c>
      <c r="B221" s="1" t="s">
        <v>1353</v>
      </c>
      <c r="C221" s="9" t="s">
        <v>1354</v>
      </c>
      <c r="D221" s="1" t="s">
        <v>43</v>
      </c>
      <c r="E221" s="1" t="s">
        <v>135</v>
      </c>
      <c r="F221" s="10" t="s">
        <v>583</v>
      </c>
      <c r="G221" s="1">
        <v>0</v>
      </c>
      <c r="H221" s="1">
        <v>0.02</v>
      </c>
      <c r="I221" s="8">
        <v>45297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315610</v>
      </c>
      <c r="AJ221" s="2">
        <v>29305</v>
      </c>
      <c r="AK221" s="2">
        <v>5635.89</v>
      </c>
      <c r="AL221" s="2">
        <v>523.29999999999995</v>
      </c>
      <c r="AM221" s="5">
        <v>3079.6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10347.44</v>
      </c>
      <c r="AT221" s="12">
        <v>9238.7900000000009</v>
      </c>
      <c r="AU221" s="2">
        <v>184.78</v>
      </c>
      <c r="AV221" s="5">
        <v>0</v>
      </c>
      <c r="AX221" s="2">
        <v>315610</v>
      </c>
      <c r="AY221" s="2">
        <v>29305</v>
      </c>
      <c r="AZ221" s="2">
        <v>5635.89</v>
      </c>
      <c r="BA221" s="2">
        <v>523.29999999999995</v>
      </c>
      <c r="BB221" s="5">
        <v>3079.6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10347.44</v>
      </c>
      <c r="BI221" s="12">
        <v>9238.7900000000009</v>
      </c>
      <c r="BJ221" s="2">
        <v>184.78</v>
      </c>
      <c r="BL221" s="1" t="s">
        <v>137</v>
      </c>
    </row>
    <row r="222" spans="1:64" x14ac:dyDescent="0.3">
      <c r="A222" t="s">
        <v>1379</v>
      </c>
      <c r="B222" s="1" t="s">
        <v>1380</v>
      </c>
      <c r="C222" s="9" t="s">
        <v>1381</v>
      </c>
      <c r="D222" s="1" t="s">
        <v>43</v>
      </c>
      <c r="E222" s="1" t="s">
        <v>135</v>
      </c>
      <c r="F222" s="10" t="s">
        <v>144</v>
      </c>
      <c r="G222" s="1">
        <v>0</v>
      </c>
      <c r="H222" s="1">
        <v>0.02</v>
      </c>
      <c r="I222" s="8">
        <v>45198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573602.85</v>
      </c>
      <c r="AJ222" s="2">
        <v>13425</v>
      </c>
      <c r="AK222" s="2">
        <v>10242.91</v>
      </c>
      <c r="AL222" s="2">
        <v>239.73</v>
      </c>
      <c r="AM222" s="5">
        <v>5241.32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17610.84</v>
      </c>
      <c r="AT222" s="12">
        <v>15723.96</v>
      </c>
      <c r="AU222" s="2">
        <v>314.48</v>
      </c>
      <c r="AV222" s="5">
        <v>0</v>
      </c>
      <c r="AX222" s="2">
        <v>573602.85</v>
      </c>
      <c r="AY222" s="2">
        <v>13425</v>
      </c>
      <c r="AZ222" s="2">
        <v>10242.91</v>
      </c>
      <c r="BA222" s="2">
        <v>239.73</v>
      </c>
      <c r="BB222" s="5">
        <v>5241.32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17610.84</v>
      </c>
      <c r="BI222" s="12">
        <v>15723.96</v>
      </c>
      <c r="BJ222" s="2">
        <v>314.48</v>
      </c>
      <c r="BL222" s="1" t="s">
        <v>137</v>
      </c>
    </row>
    <row r="223" spans="1:64" x14ac:dyDescent="0.3">
      <c r="A223" t="s">
        <v>1379</v>
      </c>
      <c r="B223" s="1" t="s">
        <v>1382</v>
      </c>
      <c r="C223" s="9" t="s">
        <v>1383</v>
      </c>
      <c r="D223" s="1" t="s">
        <v>43</v>
      </c>
      <c r="E223" s="1" t="s">
        <v>135</v>
      </c>
      <c r="F223" s="10" t="s">
        <v>144</v>
      </c>
      <c r="G223" s="1">
        <v>0</v>
      </c>
      <c r="H223" s="1">
        <v>0.02</v>
      </c>
      <c r="I223" s="8">
        <v>45204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200583.85</v>
      </c>
      <c r="AJ223" s="2">
        <v>20555</v>
      </c>
      <c r="AK223" s="2">
        <v>3581.86</v>
      </c>
      <c r="AL223" s="2">
        <v>367.05</v>
      </c>
      <c r="AM223" s="5">
        <v>1974.46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6634.17</v>
      </c>
      <c r="AT223" s="12">
        <v>5923.3700000000008</v>
      </c>
      <c r="AU223" s="2">
        <v>118.47</v>
      </c>
      <c r="AV223" s="5">
        <v>0</v>
      </c>
      <c r="AX223" s="2">
        <v>200583.85</v>
      </c>
      <c r="AY223" s="2">
        <v>20555</v>
      </c>
      <c r="AZ223" s="2">
        <v>3581.86</v>
      </c>
      <c r="BA223" s="2">
        <v>367.05</v>
      </c>
      <c r="BB223" s="5">
        <v>1974.46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6634.17</v>
      </c>
      <c r="BI223" s="12">
        <v>5923.3700000000008</v>
      </c>
      <c r="BJ223" s="2">
        <v>118.47</v>
      </c>
      <c r="BL223" s="1" t="s">
        <v>137</v>
      </c>
    </row>
    <row r="224" spans="1:64" x14ac:dyDescent="0.3">
      <c r="A224" t="s">
        <v>1379</v>
      </c>
      <c r="B224" s="1" t="s">
        <v>1379</v>
      </c>
      <c r="C224" s="9" t="s">
        <v>1384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45373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247281.2</v>
      </c>
      <c r="AJ224" s="2">
        <v>56050</v>
      </c>
      <c r="AK224" s="2">
        <v>4415.7299999999996</v>
      </c>
      <c r="AL224" s="2">
        <v>1000.89</v>
      </c>
      <c r="AM224" s="5">
        <v>2708.31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9099.92</v>
      </c>
      <c r="AT224" s="12">
        <v>8124.93</v>
      </c>
      <c r="AU224" s="2">
        <v>162.5</v>
      </c>
      <c r="AV224" s="5">
        <v>0</v>
      </c>
      <c r="AX224" s="2">
        <v>247281.2</v>
      </c>
      <c r="AY224" s="2">
        <v>56050</v>
      </c>
      <c r="AZ224" s="2">
        <v>4415.7299999999996</v>
      </c>
      <c r="BA224" s="2">
        <v>1000.89</v>
      </c>
      <c r="BB224" s="5">
        <v>2708.31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9099.92</v>
      </c>
      <c r="BI224" s="12">
        <v>8124.93</v>
      </c>
      <c r="BJ224" s="2">
        <v>162.5</v>
      </c>
      <c r="BL224" s="1" t="s">
        <v>137</v>
      </c>
    </row>
    <row r="225" spans="1:64" x14ac:dyDescent="0.3">
      <c r="A225" t="s">
        <v>86</v>
      </c>
      <c r="B225" s="1" t="s">
        <v>86</v>
      </c>
      <c r="C225" s="9" t="s">
        <v>87</v>
      </c>
      <c r="D225" s="1" t="s">
        <v>44</v>
      </c>
      <c r="E225" s="1" t="s">
        <v>88</v>
      </c>
      <c r="F225" s="10" t="s">
        <v>89</v>
      </c>
      <c r="G225" s="1">
        <v>0</v>
      </c>
      <c r="H225" s="1">
        <v>0.02</v>
      </c>
      <c r="I225" s="8">
        <v>44328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379032.95999999996</v>
      </c>
      <c r="AJ225" s="2">
        <v>95706</v>
      </c>
      <c r="AK225" s="2">
        <v>6768.45</v>
      </c>
      <c r="AL225" s="2">
        <v>1709.04</v>
      </c>
      <c r="AM225" s="5">
        <v>4238.74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14242.18</v>
      </c>
      <c r="AT225" s="12">
        <v>12716.23</v>
      </c>
      <c r="AU225" s="2">
        <v>254.32</v>
      </c>
      <c r="AV225" s="5">
        <v>0</v>
      </c>
      <c r="AX225" s="2">
        <v>379032.95999999996</v>
      </c>
      <c r="AY225" s="2">
        <v>95706</v>
      </c>
      <c r="AZ225" s="2">
        <v>6768.45</v>
      </c>
      <c r="BA225" s="2">
        <v>1709.04</v>
      </c>
      <c r="BB225" s="5">
        <v>4238.74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14242.18</v>
      </c>
      <c r="BI225" s="12">
        <v>12716.23</v>
      </c>
      <c r="BJ225" s="2">
        <v>254.32</v>
      </c>
      <c r="BL225" s="1" t="s">
        <v>90</v>
      </c>
    </row>
    <row r="226" spans="1:64" x14ac:dyDescent="0.3">
      <c r="A226" t="s">
        <v>86</v>
      </c>
      <c r="B226" s="1" t="s">
        <v>91</v>
      </c>
      <c r="C226" s="9" t="s">
        <v>92</v>
      </c>
      <c r="D226" s="1" t="s">
        <v>44</v>
      </c>
      <c r="E226" s="1" t="s">
        <v>88</v>
      </c>
      <c r="F226" s="10" t="s">
        <v>89</v>
      </c>
      <c r="G226" s="1">
        <v>0</v>
      </c>
      <c r="H226" s="1">
        <v>0.02</v>
      </c>
      <c r="I226" s="8">
        <v>44365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306968</v>
      </c>
      <c r="AJ226" s="2">
        <v>41837</v>
      </c>
      <c r="AK226" s="2">
        <v>5481.57</v>
      </c>
      <c r="AL226" s="2">
        <v>747.09</v>
      </c>
      <c r="AM226" s="5">
        <v>3114.33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10464.15</v>
      </c>
      <c r="AT226" s="12">
        <v>9342.99</v>
      </c>
      <c r="AU226" s="2">
        <v>186.86</v>
      </c>
      <c r="AV226" s="5">
        <v>0</v>
      </c>
      <c r="AX226" s="2">
        <v>306968</v>
      </c>
      <c r="AY226" s="2">
        <v>41837</v>
      </c>
      <c r="AZ226" s="2">
        <v>5481.57</v>
      </c>
      <c r="BA226" s="2">
        <v>747.09</v>
      </c>
      <c r="BB226" s="5">
        <v>3114.33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10464.15</v>
      </c>
      <c r="BI226" s="12">
        <v>9342.99</v>
      </c>
      <c r="BJ226" s="2">
        <v>186.86</v>
      </c>
      <c r="BL226" s="1" t="s">
        <v>90</v>
      </c>
    </row>
    <row r="227" spans="1:64" x14ac:dyDescent="0.3">
      <c r="A227" t="s">
        <v>99</v>
      </c>
      <c r="B227" s="1" t="s">
        <v>99</v>
      </c>
      <c r="C227" s="9" t="s">
        <v>100</v>
      </c>
      <c r="D227" s="1" t="s">
        <v>44</v>
      </c>
      <c r="E227" s="1" t="s">
        <v>88</v>
      </c>
      <c r="F227" s="10" t="s">
        <v>101</v>
      </c>
      <c r="G227" s="1">
        <v>2.5000000000000001E-2</v>
      </c>
      <c r="H227" s="1">
        <v>0.02</v>
      </c>
      <c r="I227" s="8">
        <v>45725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0</v>
      </c>
      <c r="AJ227" s="2">
        <v>0</v>
      </c>
      <c r="AK227" s="2">
        <v>0</v>
      </c>
      <c r="AL227" s="2">
        <v>0</v>
      </c>
      <c r="AM227" s="5">
        <v>0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0</v>
      </c>
      <c r="AT227" s="12">
        <v>0</v>
      </c>
      <c r="AU227" s="2">
        <v>0</v>
      </c>
      <c r="AV227" s="5">
        <v>0</v>
      </c>
      <c r="AX227" s="2">
        <v>0</v>
      </c>
      <c r="AY227" s="2">
        <v>0</v>
      </c>
      <c r="AZ227" s="2">
        <v>0</v>
      </c>
      <c r="BA227" s="2">
        <v>0</v>
      </c>
      <c r="BB227" s="5">
        <v>0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0</v>
      </c>
      <c r="BI227" s="12">
        <v>0</v>
      </c>
      <c r="BJ227" s="2">
        <v>0</v>
      </c>
      <c r="BL227" s="1" t="s">
        <v>90</v>
      </c>
    </row>
    <row r="228" spans="1:64" x14ac:dyDescent="0.3">
      <c r="A228" t="s">
        <v>102</v>
      </c>
      <c r="B228" s="1" t="s">
        <v>102</v>
      </c>
      <c r="C228" s="9" t="s">
        <v>103</v>
      </c>
      <c r="D228" s="1" t="s">
        <v>44</v>
      </c>
      <c r="E228" s="1" t="s">
        <v>88</v>
      </c>
      <c r="F228" s="10" t="s">
        <v>104</v>
      </c>
      <c r="G228" s="1">
        <v>2.5000000000000001E-2</v>
      </c>
      <c r="H228" s="1">
        <v>0.02</v>
      </c>
      <c r="I228" s="8">
        <v>44009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501089</v>
      </c>
      <c r="AJ228" s="2">
        <v>147476</v>
      </c>
      <c r="AK228" s="2">
        <v>8948.02</v>
      </c>
      <c r="AL228" s="2">
        <v>2633.5</v>
      </c>
      <c r="AM228" s="5">
        <v>5790.76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19456.95</v>
      </c>
      <c r="AT228" s="12">
        <v>17372.28</v>
      </c>
      <c r="AU228" s="2">
        <v>347.45</v>
      </c>
      <c r="AV228" s="5">
        <v>0</v>
      </c>
      <c r="AX228" s="2">
        <v>501089</v>
      </c>
      <c r="AY228" s="2">
        <v>147476</v>
      </c>
      <c r="AZ228" s="2">
        <v>8948.02</v>
      </c>
      <c r="BA228" s="2">
        <v>2633.5</v>
      </c>
      <c r="BB228" s="5">
        <v>5790.76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19456.95</v>
      </c>
      <c r="BI228" s="12">
        <v>17372.28</v>
      </c>
      <c r="BJ228" s="2">
        <v>347.45</v>
      </c>
      <c r="BL228" s="1" t="s">
        <v>90</v>
      </c>
    </row>
    <row r="229" spans="1:64" x14ac:dyDescent="0.3">
      <c r="A229" t="s">
        <v>112</v>
      </c>
      <c r="B229" s="1" t="s">
        <v>112</v>
      </c>
      <c r="C229" s="9" t="s">
        <v>113</v>
      </c>
      <c r="D229" s="1" t="s">
        <v>44</v>
      </c>
      <c r="E229" s="1" t="s">
        <v>88</v>
      </c>
      <c r="F229" s="10" t="s">
        <v>114</v>
      </c>
      <c r="G229" s="1">
        <v>2.5000000000000001E-2</v>
      </c>
      <c r="H229" s="1">
        <v>0.02</v>
      </c>
      <c r="I229" s="8">
        <v>45657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492066.38</v>
      </c>
      <c r="AJ229" s="2">
        <v>122615.23</v>
      </c>
      <c r="AK229" s="2">
        <v>8786.9</v>
      </c>
      <c r="AL229" s="2">
        <v>2189.5500000000002</v>
      </c>
      <c r="AM229" s="5">
        <v>5488.23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18440.439999999999</v>
      </c>
      <c r="AT229" s="12">
        <v>16464.68</v>
      </c>
      <c r="AU229" s="2">
        <v>329.29</v>
      </c>
      <c r="AV229" s="5">
        <v>0</v>
      </c>
      <c r="AX229" s="2">
        <v>492066.38</v>
      </c>
      <c r="AY229" s="2">
        <v>122615.23</v>
      </c>
      <c r="AZ229" s="2">
        <v>8786.9</v>
      </c>
      <c r="BA229" s="2">
        <v>2189.5500000000002</v>
      </c>
      <c r="BB229" s="5">
        <v>5488.23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18440.439999999999</v>
      </c>
      <c r="BI229" s="12">
        <v>16464.68</v>
      </c>
      <c r="BJ229" s="2">
        <v>329.29</v>
      </c>
      <c r="BL229" s="1" t="s">
        <v>90</v>
      </c>
    </row>
    <row r="230" spans="1:64" x14ac:dyDescent="0.3">
      <c r="A230" t="s">
        <v>118</v>
      </c>
      <c r="B230" s="1" t="s">
        <v>118</v>
      </c>
      <c r="C230" s="9" t="s">
        <v>119</v>
      </c>
      <c r="D230" s="1" t="s">
        <v>44</v>
      </c>
      <c r="E230" s="1" t="s">
        <v>88</v>
      </c>
      <c r="F230" s="10" t="s">
        <v>114</v>
      </c>
      <c r="G230" s="1">
        <v>2.5000000000000001E-2</v>
      </c>
      <c r="H230" s="1">
        <v>0.02</v>
      </c>
      <c r="I230" s="8">
        <v>44009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738405.79</v>
      </c>
      <c r="AJ230" s="2">
        <v>151545</v>
      </c>
      <c r="AK230" s="2">
        <v>13185.82</v>
      </c>
      <c r="AL230" s="2">
        <v>2706.16</v>
      </c>
      <c r="AM230" s="5">
        <v>7945.99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26698.53</v>
      </c>
      <c r="AT230" s="12">
        <v>23837.97</v>
      </c>
      <c r="AU230" s="2">
        <v>476.76</v>
      </c>
      <c r="AV230" s="5">
        <v>0</v>
      </c>
      <c r="AX230" s="2">
        <v>738405.79</v>
      </c>
      <c r="AY230" s="2">
        <v>151545</v>
      </c>
      <c r="AZ230" s="2">
        <v>13185.82</v>
      </c>
      <c r="BA230" s="2">
        <v>2706.16</v>
      </c>
      <c r="BB230" s="5">
        <v>7945.99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26698.53</v>
      </c>
      <c r="BI230" s="12">
        <v>23837.97</v>
      </c>
      <c r="BJ230" s="2">
        <v>476.76</v>
      </c>
      <c r="BL230" s="1" t="s">
        <v>90</v>
      </c>
    </row>
    <row r="231" spans="1:64" x14ac:dyDescent="0.3">
      <c r="A231" t="s">
        <v>156</v>
      </c>
      <c r="B231" s="1" t="s">
        <v>156</v>
      </c>
      <c r="C231" s="9" t="s">
        <v>157</v>
      </c>
      <c r="D231" s="1" t="s">
        <v>44</v>
      </c>
      <c r="E231" s="1" t="s">
        <v>88</v>
      </c>
      <c r="F231" s="10" t="s">
        <v>101</v>
      </c>
      <c r="G231" s="1">
        <v>2.5000000000000001E-2</v>
      </c>
      <c r="H231" s="1">
        <v>0.02</v>
      </c>
      <c r="I231" s="8">
        <v>45716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257922.99000000002</v>
      </c>
      <c r="AJ231" s="2">
        <v>90327.91</v>
      </c>
      <c r="AK231" s="2">
        <v>4605.7700000000004</v>
      </c>
      <c r="AL231" s="2">
        <v>1613</v>
      </c>
      <c r="AM231" s="5">
        <v>3109.38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10447.530000000001</v>
      </c>
      <c r="AT231" s="12">
        <v>9328.1500000000015</v>
      </c>
      <c r="AU231" s="2">
        <v>186.56</v>
      </c>
      <c r="AV231" s="5">
        <v>0</v>
      </c>
      <c r="AX231" s="2">
        <v>257922.99000000002</v>
      </c>
      <c r="AY231" s="2">
        <v>90327.91</v>
      </c>
      <c r="AZ231" s="2">
        <v>4605.7700000000004</v>
      </c>
      <c r="BA231" s="2">
        <v>1613</v>
      </c>
      <c r="BB231" s="5">
        <v>3109.38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10447.530000000001</v>
      </c>
      <c r="BI231" s="12">
        <v>9328.1500000000015</v>
      </c>
      <c r="BJ231" s="2">
        <v>186.56</v>
      </c>
      <c r="BL231" s="1" t="s">
        <v>90</v>
      </c>
    </row>
    <row r="232" spans="1:64" x14ac:dyDescent="0.3">
      <c r="A232" t="s">
        <v>164</v>
      </c>
      <c r="B232" s="1" t="s">
        <v>164</v>
      </c>
      <c r="C232" s="9" t="s">
        <v>165</v>
      </c>
      <c r="D232" s="1" t="s">
        <v>44</v>
      </c>
      <c r="E232" s="1" t="s">
        <v>88</v>
      </c>
      <c r="F232" s="10" t="s">
        <v>89</v>
      </c>
      <c r="G232" s="1">
        <v>2.5000000000000001E-2</v>
      </c>
      <c r="H232" s="1">
        <v>0.02</v>
      </c>
      <c r="I232" s="8">
        <v>45657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588592</v>
      </c>
      <c r="AJ232" s="2">
        <v>143717</v>
      </c>
      <c r="AK232" s="2">
        <v>10510.57</v>
      </c>
      <c r="AL232" s="2">
        <v>2566.38</v>
      </c>
      <c r="AM232" s="5">
        <v>6538.47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21969.27</v>
      </c>
      <c r="AT232" s="12">
        <v>19615.420000000002</v>
      </c>
      <c r="AU232" s="2">
        <v>392.31</v>
      </c>
      <c r="AV232" s="5">
        <v>0</v>
      </c>
      <c r="AX232" s="2">
        <v>588592</v>
      </c>
      <c r="AY232" s="2">
        <v>143717</v>
      </c>
      <c r="AZ232" s="2">
        <v>10510.57</v>
      </c>
      <c r="BA232" s="2">
        <v>2566.38</v>
      </c>
      <c r="BB232" s="5">
        <v>6538.47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21969.27</v>
      </c>
      <c r="BI232" s="12">
        <v>19615.420000000002</v>
      </c>
      <c r="BJ232" s="2">
        <v>392.31</v>
      </c>
      <c r="BL232" s="1" t="s">
        <v>90</v>
      </c>
    </row>
    <row r="233" spans="1:64" x14ac:dyDescent="0.3">
      <c r="A233" t="s">
        <v>164</v>
      </c>
      <c r="B233" s="1" t="s">
        <v>166</v>
      </c>
      <c r="C233" s="9" t="s">
        <v>167</v>
      </c>
      <c r="D233" s="1" t="s">
        <v>44</v>
      </c>
      <c r="E233" s="1" t="s">
        <v>88</v>
      </c>
      <c r="F233" s="10" t="s">
        <v>89</v>
      </c>
      <c r="G233" s="1">
        <v>2.5000000000000001E-2</v>
      </c>
      <c r="H233" s="1">
        <v>0.02</v>
      </c>
      <c r="I233" s="8">
        <v>45657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314334</v>
      </c>
      <c r="AJ233" s="2">
        <v>60487</v>
      </c>
      <c r="AK233" s="2">
        <v>5613.11</v>
      </c>
      <c r="AL233" s="2">
        <v>1080.1199999999999</v>
      </c>
      <c r="AM233" s="5">
        <v>3346.62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11244.63</v>
      </c>
      <c r="AT233" s="12">
        <v>10039.849999999999</v>
      </c>
      <c r="AU233" s="2">
        <v>200.8</v>
      </c>
      <c r="AV233" s="5">
        <v>0</v>
      </c>
      <c r="AX233" s="2">
        <v>314334</v>
      </c>
      <c r="AY233" s="2">
        <v>60487</v>
      </c>
      <c r="AZ233" s="2">
        <v>5613.11</v>
      </c>
      <c r="BA233" s="2">
        <v>1080.1199999999999</v>
      </c>
      <c r="BB233" s="5">
        <v>3346.62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11244.63</v>
      </c>
      <c r="BI233" s="12">
        <v>10039.849999999999</v>
      </c>
      <c r="BJ233" s="2">
        <v>200.8</v>
      </c>
      <c r="BL233" s="1" t="s">
        <v>90</v>
      </c>
    </row>
    <row r="234" spans="1:64" x14ac:dyDescent="0.3">
      <c r="A234" t="s">
        <v>164</v>
      </c>
      <c r="B234" s="1" t="s">
        <v>168</v>
      </c>
      <c r="C234" s="9" t="s">
        <v>169</v>
      </c>
      <c r="D234" s="1" t="s">
        <v>44</v>
      </c>
      <c r="E234" s="1" t="s">
        <v>88</v>
      </c>
      <c r="F234" s="10" t="s">
        <v>89</v>
      </c>
      <c r="G234" s="1">
        <v>0</v>
      </c>
      <c r="H234" s="1">
        <v>0.02</v>
      </c>
      <c r="I234" s="8">
        <v>45657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244663</v>
      </c>
      <c r="AJ234" s="2">
        <v>88285</v>
      </c>
      <c r="AK234" s="2">
        <v>4368.9799999999996</v>
      </c>
      <c r="AL234" s="2">
        <v>1576.52</v>
      </c>
      <c r="AM234" s="5">
        <v>2972.75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9988.44</v>
      </c>
      <c r="AT234" s="12">
        <v>8918.25</v>
      </c>
      <c r="AU234" s="2">
        <v>178.36</v>
      </c>
      <c r="AV234" s="5">
        <v>0</v>
      </c>
      <c r="AX234" s="2">
        <v>244663</v>
      </c>
      <c r="AY234" s="2">
        <v>88285</v>
      </c>
      <c r="AZ234" s="2">
        <v>4368.9799999999996</v>
      </c>
      <c r="BA234" s="2">
        <v>1576.52</v>
      </c>
      <c r="BB234" s="5">
        <v>2972.75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9988.44</v>
      </c>
      <c r="BI234" s="12">
        <v>8918.25</v>
      </c>
      <c r="BJ234" s="2">
        <v>178.36</v>
      </c>
      <c r="BL234" s="1" t="s">
        <v>90</v>
      </c>
    </row>
    <row r="235" spans="1:64" x14ac:dyDescent="0.3">
      <c r="A235" t="s">
        <v>170</v>
      </c>
      <c r="B235" s="1" t="s">
        <v>170</v>
      </c>
      <c r="C235" s="9" t="s">
        <v>171</v>
      </c>
      <c r="D235" s="1" t="s">
        <v>44</v>
      </c>
      <c r="E235" s="1" t="s">
        <v>88</v>
      </c>
      <c r="F235" s="10" t="s">
        <v>89</v>
      </c>
      <c r="G235" s="1">
        <v>2.5000000000000001E-2</v>
      </c>
      <c r="H235" s="1">
        <v>0.02</v>
      </c>
      <c r="I235" s="8">
        <v>45657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397675.52999999997</v>
      </c>
      <c r="AJ235" s="2">
        <v>96991.169999999984</v>
      </c>
      <c r="AK235" s="2">
        <v>7101.35</v>
      </c>
      <c r="AL235" s="2">
        <v>1731.98</v>
      </c>
      <c r="AM235" s="5">
        <v>4416.67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14840</v>
      </c>
      <c r="AT235" s="12">
        <v>13250</v>
      </c>
      <c r="AU235" s="2">
        <v>265</v>
      </c>
      <c r="AV235" s="5">
        <v>0</v>
      </c>
      <c r="AX235" s="2">
        <v>397675.52999999997</v>
      </c>
      <c r="AY235" s="2">
        <v>96991.169999999984</v>
      </c>
      <c r="AZ235" s="2">
        <v>7101.35</v>
      </c>
      <c r="BA235" s="2">
        <v>1731.98</v>
      </c>
      <c r="BB235" s="5">
        <v>4416.67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14840</v>
      </c>
      <c r="BI235" s="12">
        <v>13250</v>
      </c>
      <c r="BJ235" s="2">
        <v>265</v>
      </c>
      <c r="BL235" s="1" t="s">
        <v>90</v>
      </c>
    </row>
    <row r="236" spans="1:64" x14ac:dyDescent="0.3">
      <c r="A236" t="s">
        <v>170</v>
      </c>
      <c r="B236" s="1" t="s">
        <v>172</v>
      </c>
      <c r="C236" s="9" t="s">
        <v>173</v>
      </c>
      <c r="D236" s="1" t="s">
        <v>44</v>
      </c>
      <c r="E236" s="1" t="s">
        <v>88</v>
      </c>
      <c r="F236" s="10" t="s">
        <v>89</v>
      </c>
      <c r="G236" s="1">
        <v>0</v>
      </c>
      <c r="H236" s="1">
        <v>0.02</v>
      </c>
      <c r="I236" s="8">
        <v>45657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66799</v>
      </c>
      <c r="AJ236" s="2">
        <v>45265</v>
      </c>
      <c r="AK236" s="2">
        <v>1192.8399999999999</v>
      </c>
      <c r="AL236" s="2">
        <v>808.3</v>
      </c>
      <c r="AM236" s="5">
        <v>1000.57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3361.92</v>
      </c>
      <c r="AT236" s="12">
        <v>3001.71</v>
      </c>
      <c r="AU236" s="2">
        <v>60.03</v>
      </c>
      <c r="AV236" s="5">
        <v>0</v>
      </c>
      <c r="AX236" s="2">
        <v>66799</v>
      </c>
      <c r="AY236" s="2">
        <v>45265</v>
      </c>
      <c r="AZ236" s="2">
        <v>1192.8399999999999</v>
      </c>
      <c r="BA236" s="2">
        <v>808.3</v>
      </c>
      <c r="BB236" s="5">
        <v>1000.57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3361.92</v>
      </c>
      <c r="BI236" s="12">
        <v>3001.71</v>
      </c>
      <c r="BJ236" s="2">
        <v>60.03</v>
      </c>
      <c r="BL236" s="1" t="s">
        <v>90</v>
      </c>
    </row>
    <row r="237" spans="1:64" x14ac:dyDescent="0.3">
      <c r="A237" t="s">
        <v>174</v>
      </c>
      <c r="B237" s="1" t="s">
        <v>174</v>
      </c>
      <c r="C237" s="9" t="s">
        <v>175</v>
      </c>
      <c r="D237" s="1" t="s">
        <v>44</v>
      </c>
      <c r="E237" s="1" t="s">
        <v>88</v>
      </c>
      <c r="F237" s="10" t="s">
        <v>104</v>
      </c>
      <c r="G237" s="1">
        <v>2.5000000000000001E-2</v>
      </c>
      <c r="H237" s="1">
        <v>0.02</v>
      </c>
      <c r="I237" s="8">
        <v>44051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584693</v>
      </c>
      <c r="AJ237" s="2">
        <v>153868.75</v>
      </c>
      <c r="AK237" s="2">
        <v>10440.950000000001</v>
      </c>
      <c r="AL237" s="2">
        <v>2747.66</v>
      </c>
      <c r="AM237" s="5">
        <v>6594.3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22156.86</v>
      </c>
      <c r="AT237" s="12">
        <v>19782.91</v>
      </c>
      <c r="AU237" s="2">
        <v>395.66</v>
      </c>
      <c r="AV237" s="5">
        <v>0</v>
      </c>
      <c r="AX237" s="2">
        <v>584693</v>
      </c>
      <c r="AY237" s="2">
        <v>153868.75</v>
      </c>
      <c r="AZ237" s="2">
        <v>10440.950000000001</v>
      </c>
      <c r="BA237" s="2">
        <v>2747.66</v>
      </c>
      <c r="BB237" s="5">
        <v>6594.3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22156.86</v>
      </c>
      <c r="BI237" s="12">
        <v>19782.91</v>
      </c>
      <c r="BJ237" s="2">
        <v>395.66</v>
      </c>
      <c r="BL237" s="1" t="s">
        <v>90</v>
      </c>
    </row>
    <row r="238" spans="1:64" x14ac:dyDescent="0.3">
      <c r="A238" t="s">
        <v>176</v>
      </c>
      <c r="B238" s="1" t="s">
        <v>176</v>
      </c>
      <c r="C238" s="9" t="s">
        <v>177</v>
      </c>
      <c r="D238" s="1" t="s">
        <v>44</v>
      </c>
      <c r="E238" s="1" t="s">
        <v>88</v>
      </c>
      <c r="F238" s="10" t="s">
        <v>178</v>
      </c>
      <c r="G238" s="1">
        <v>2.5000000000000001E-2</v>
      </c>
      <c r="H238" s="1">
        <v>0.02</v>
      </c>
      <c r="I238" s="8">
        <v>44358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506334.08</v>
      </c>
      <c r="AJ238" s="2">
        <v>98633.97</v>
      </c>
      <c r="AK238" s="2">
        <v>9041.68</v>
      </c>
      <c r="AL238" s="2">
        <v>1761.32</v>
      </c>
      <c r="AM238" s="5">
        <v>5401.5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18149.04</v>
      </c>
      <c r="AT238" s="12">
        <v>16204.5</v>
      </c>
      <c r="AU238" s="2">
        <v>324.08999999999997</v>
      </c>
      <c r="AV238" s="5">
        <v>0</v>
      </c>
      <c r="AX238" s="2">
        <v>506334.08</v>
      </c>
      <c r="AY238" s="2">
        <v>98633.97</v>
      </c>
      <c r="AZ238" s="2">
        <v>9041.68</v>
      </c>
      <c r="BA238" s="2">
        <v>1761.32</v>
      </c>
      <c r="BB238" s="5">
        <v>5401.5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18149.04</v>
      </c>
      <c r="BI238" s="12">
        <v>16204.5</v>
      </c>
      <c r="BJ238" s="2">
        <v>324.08999999999997</v>
      </c>
      <c r="BL238" s="1" t="s">
        <v>90</v>
      </c>
    </row>
    <row r="239" spans="1:64" x14ac:dyDescent="0.3">
      <c r="A239" t="s">
        <v>179</v>
      </c>
      <c r="B239" s="1" t="s">
        <v>179</v>
      </c>
      <c r="C239" s="9" t="s">
        <v>180</v>
      </c>
      <c r="D239" s="1" t="s">
        <v>44</v>
      </c>
      <c r="E239" s="1" t="s">
        <v>88</v>
      </c>
      <c r="F239" s="10" t="s">
        <v>181</v>
      </c>
      <c r="G239" s="1">
        <v>2.5000000000000001E-2</v>
      </c>
      <c r="H239" s="1">
        <v>0.02</v>
      </c>
      <c r="I239" s="8">
        <v>45657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368292.25</v>
      </c>
      <c r="AJ239" s="2">
        <v>89831</v>
      </c>
      <c r="AK239" s="2">
        <v>6576.64</v>
      </c>
      <c r="AL239" s="2">
        <v>1604.12</v>
      </c>
      <c r="AM239" s="5">
        <v>4090.38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13743.68</v>
      </c>
      <c r="AT239" s="12">
        <v>12271.14</v>
      </c>
      <c r="AU239" s="2">
        <v>245.42</v>
      </c>
      <c r="AV239" s="5">
        <v>0</v>
      </c>
      <c r="AX239" s="2">
        <v>368292.25</v>
      </c>
      <c r="AY239" s="2">
        <v>89831</v>
      </c>
      <c r="AZ239" s="2">
        <v>6576.64</v>
      </c>
      <c r="BA239" s="2">
        <v>1604.12</v>
      </c>
      <c r="BB239" s="5">
        <v>4090.38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13743.68</v>
      </c>
      <c r="BI239" s="12">
        <v>12271.14</v>
      </c>
      <c r="BJ239" s="2">
        <v>245.42</v>
      </c>
      <c r="BL239" s="1" t="s">
        <v>90</v>
      </c>
    </row>
    <row r="240" spans="1:64" x14ac:dyDescent="0.3">
      <c r="A240" t="s">
        <v>179</v>
      </c>
      <c r="B240" s="1" t="s">
        <v>182</v>
      </c>
      <c r="C240" s="9" t="s">
        <v>183</v>
      </c>
      <c r="D240" s="1" t="s">
        <v>44</v>
      </c>
      <c r="E240" s="1" t="s">
        <v>88</v>
      </c>
      <c r="F240" s="10" t="s">
        <v>181</v>
      </c>
      <c r="G240" s="1">
        <v>3.5000000000000003E-2</v>
      </c>
      <c r="H240" s="1">
        <v>0.02</v>
      </c>
      <c r="I240" s="8">
        <v>45657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86096</v>
      </c>
      <c r="AJ240" s="2">
        <v>69450</v>
      </c>
      <c r="AK240" s="2">
        <v>1537.43</v>
      </c>
      <c r="AL240" s="2">
        <v>1240.18</v>
      </c>
      <c r="AM240" s="5">
        <v>1388.8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4666.38</v>
      </c>
      <c r="AT240" s="12">
        <v>4166.41</v>
      </c>
      <c r="AU240" s="2">
        <v>83.33</v>
      </c>
      <c r="AV240" s="5">
        <v>0</v>
      </c>
      <c r="AX240" s="2">
        <v>86096</v>
      </c>
      <c r="AY240" s="2">
        <v>69450</v>
      </c>
      <c r="AZ240" s="2">
        <v>1537.43</v>
      </c>
      <c r="BA240" s="2">
        <v>1240.18</v>
      </c>
      <c r="BB240" s="5">
        <v>1388.8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4666.38</v>
      </c>
      <c r="BI240" s="12">
        <v>4166.41</v>
      </c>
      <c r="BJ240" s="2">
        <v>83.33</v>
      </c>
      <c r="BL240" s="1" t="s">
        <v>90</v>
      </c>
    </row>
    <row r="241" spans="1:64" x14ac:dyDescent="0.3">
      <c r="A241" t="s">
        <v>179</v>
      </c>
      <c r="B241" s="1" t="s">
        <v>184</v>
      </c>
      <c r="C241" s="9" t="s">
        <v>185</v>
      </c>
      <c r="D241" s="1" t="s">
        <v>44</v>
      </c>
      <c r="E241" s="1" t="s">
        <v>88</v>
      </c>
      <c r="F241" s="10" t="s">
        <v>181</v>
      </c>
      <c r="G241" s="1">
        <v>2.5000000000000001E-2</v>
      </c>
      <c r="H241" s="1">
        <v>0.02</v>
      </c>
      <c r="I241" s="8">
        <v>45657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107387</v>
      </c>
      <c r="AJ241" s="2">
        <v>52537</v>
      </c>
      <c r="AK241" s="2">
        <v>1917.62</v>
      </c>
      <c r="AL241" s="2">
        <v>938.16</v>
      </c>
      <c r="AM241" s="5">
        <v>1427.89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4797.71</v>
      </c>
      <c r="AT241" s="12">
        <v>4283.67</v>
      </c>
      <c r="AU241" s="2">
        <v>85.67</v>
      </c>
      <c r="AV241" s="5">
        <v>0</v>
      </c>
      <c r="AX241" s="2">
        <v>107387</v>
      </c>
      <c r="AY241" s="2">
        <v>52537</v>
      </c>
      <c r="AZ241" s="2">
        <v>1917.62</v>
      </c>
      <c r="BA241" s="2">
        <v>938.16</v>
      </c>
      <c r="BB241" s="5">
        <v>1427.89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4797.71</v>
      </c>
      <c r="BI241" s="12">
        <v>4283.67</v>
      </c>
      <c r="BJ241" s="2">
        <v>85.67</v>
      </c>
      <c r="BL241" s="1" t="s">
        <v>90</v>
      </c>
    </row>
    <row r="242" spans="1:64" x14ac:dyDescent="0.3">
      <c r="A242" t="s">
        <v>186</v>
      </c>
      <c r="B242" s="1" t="s">
        <v>186</v>
      </c>
      <c r="C242" s="9" t="s">
        <v>187</v>
      </c>
      <c r="D242" s="1" t="s">
        <v>44</v>
      </c>
      <c r="E242" s="1" t="s">
        <v>88</v>
      </c>
      <c r="F242" s="10" t="s">
        <v>188</v>
      </c>
      <c r="G242" s="1">
        <v>2.5000000000000001E-2</v>
      </c>
      <c r="H242" s="1">
        <v>0.02</v>
      </c>
      <c r="I242" s="8">
        <v>44396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436215.1</v>
      </c>
      <c r="AJ242" s="2">
        <v>82121.5</v>
      </c>
      <c r="AK242" s="2">
        <v>7789.55</v>
      </c>
      <c r="AL242" s="2">
        <v>1466.46</v>
      </c>
      <c r="AM242" s="5">
        <v>4628.01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15550.1</v>
      </c>
      <c r="AT242" s="12">
        <v>13884.02</v>
      </c>
      <c r="AU242" s="2">
        <v>277.68</v>
      </c>
      <c r="AV242" s="5">
        <v>0</v>
      </c>
      <c r="AX242" s="2">
        <v>436215.1</v>
      </c>
      <c r="AY242" s="2">
        <v>82121.5</v>
      </c>
      <c r="AZ242" s="2">
        <v>7789.55</v>
      </c>
      <c r="BA242" s="2">
        <v>1466.46</v>
      </c>
      <c r="BB242" s="5">
        <v>4628.01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15550.1</v>
      </c>
      <c r="BI242" s="12">
        <v>13884.02</v>
      </c>
      <c r="BJ242" s="2">
        <v>277.68</v>
      </c>
      <c r="BL242" s="1" t="s">
        <v>90</v>
      </c>
    </row>
    <row r="243" spans="1:64" x14ac:dyDescent="0.3">
      <c r="A243" t="s">
        <v>186</v>
      </c>
      <c r="B243" s="1" t="s">
        <v>189</v>
      </c>
      <c r="C243" s="9" t="s">
        <v>190</v>
      </c>
      <c r="D243" s="1" t="s">
        <v>44</v>
      </c>
      <c r="E243" s="1" t="s">
        <v>88</v>
      </c>
      <c r="F243" s="10" t="s">
        <v>188</v>
      </c>
      <c r="G243" s="1">
        <v>2.5000000000000001E-2</v>
      </c>
      <c r="H243" s="1">
        <v>0.02</v>
      </c>
      <c r="I243" s="8">
        <v>44396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253887.57</v>
      </c>
      <c r="AJ243" s="2">
        <v>65592</v>
      </c>
      <c r="AK243" s="2">
        <v>4533.71</v>
      </c>
      <c r="AL243" s="2">
        <v>1171.29</v>
      </c>
      <c r="AM243" s="5">
        <v>2852.5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9584.4</v>
      </c>
      <c r="AT243" s="12">
        <v>8557.5</v>
      </c>
      <c r="AU243" s="2">
        <v>171.15</v>
      </c>
      <c r="AV243" s="5">
        <v>0</v>
      </c>
      <c r="AX243" s="2">
        <v>253887.57</v>
      </c>
      <c r="AY243" s="2">
        <v>65592</v>
      </c>
      <c r="AZ243" s="2">
        <v>4533.71</v>
      </c>
      <c r="BA243" s="2">
        <v>1171.29</v>
      </c>
      <c r="BB243" s="5">
        <v>2852.5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9584.4</v>
      </c>
      <c r="BI243" s="12">
        <v>8557.5</v>
      </c>
      <c r="BJ243" s="2">
        <v>171.15</v>
      </c>
      <c r="BL243" s="1" t="s">
        <v>90</v>
      </c>
    </row>
    <row r="244" spans="1:64" x14ac:dyDescent="0.3">
      <c r="A244" t="s">
        <v>204</v>
      </c>
      <c r="B244" s="1" t="s">
        <v>204</v>
      </c>
      <c r="C244" s="9" t="s">
        <v>205</v>
      </c>
      <c r="D244" s="1" t="s">
        <v>44</v>
      </c>
      <c r="E244" s="1" t="s">
        <v>88</v>
      </c>
      <c r="F244" s="10" t="s">
        <v>181</v>
      </c>
      <c r="G244" s="1">
        <v>2.5000000000000001E-2</v>
      </c>
      <c r="H244" s="1">
        <v>0.02</v>
      </c>
      <c r="I244" s="8">
        <v>45657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507918.8</v>
      </c>
      <c r="AJ244" s="2">
        <v>121774</v>
      </c>
      <c r="AK244" s="2">
        <v>9069.98</v>
      </c>
      <c r="AL244" s="2">
        <v>2174.54</v>
      </c>
      <c r="AM244" s="5">
        <v>5622.26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18890.79</v>
      </c>
      <c r="AT244" s="12">
        <v>16866.78</v>
      </c>
      <c r="AU244" s="2">
        <v>337.34</v>
      </c>
      <c r="AV244" s="5">
        <v>0</v>
      </c>
      <c r="AX244" s="2">
        <v>507918.8</v>
      </c>
      <c r="AY244" s="2">
        <v>121774</v>
      </c>
      <c r="AZ244" s="2">
        <v>9069.98</v>
      </c>
      <c r="BA244" s="2">
        <v>2174.54</v>
      </c>
      <c r="BB244" s="5">
        <v>5622.26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18890.79</v>
      </c>
      <c r="BI244" s="12">
        <v>16866.78</v>
      </c>
      <c r="BJ244" s="2">
        <v>337.34</v>
      </c>
      <c r="BL244" s="1" t="s">
        <v>90</v>
      </c>
    </row>
    <row r="245" spans="1:64" x14ac:dyDescent="0.3">
      <c r="A245" t="s">
        <v>204</v>
      </c>
      <c r="B245" s="1" t="s">
        <v>206</v>
      </c>
      <c r="C245" s="9" t="s">
        <v>207</v>
      </c>
      <c r="D245" s="1" t="s">
        <v>44</v>
      </c>
      <c r="E245" s="1" t="s">
        <v>88</v>
      </c>
      <c r="F245" s="10" t="s">
        <v>181</v>
      </c>
      <c r="G245" s="1">
        <v>3.5000000000000003E-2</v>
      </c>
      <c r="H245" s="1">
        <v>0.02</v>
      </c>
      <c r="I245" s="8">
        <v>45657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182593</v>
      </c>
      <c r="AJ245" s="2">
        <v>62918</v>
      </c>
      <c r="AK245" s="2">
        <v>3260.59</v>
      </c>
      <c r="AL245" s="2">
        <v>1123.54</v>
      </c>
      <c r="AM245" s="5">
        <v>2192.06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7365.33</v>
      </c>
      <c r="AT245" s="12">
        <v>6576.1900000000005</v>
      </c>
      <c r="AU245" s="2">
        <v>131.52000000000001</v>
      </c>
      <c r="AV245" s="5">
        <v>0</v>
      </c>
      <c r="AX245" s="2">
        <v>182593</v>
      </c>
      <c r="AY245" s="2">
        <v>62918</v>
      </c>
      <c r="AZ245" s="2">
        <v>3260.59</v>
      </c>
      <c r="BA245" s="2">
        <v>1123.54</v>
      </c>
      <c r="BB245" s="5">
        <v>2192.06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7365.33</v>
      </c>
      <c r="BI245" s="12">
        <v>6576.1900000000005</v>
      </c>
      <c r="BJ245" s="2">
        <v>131.52000000000001</v>
      </c>
      <c r="BL245" s="1" t="s">
        <v>90</v>
      </c>
    </row>
    <row r="246" spans="1:64" x14ac:dyDescent="0.3">
      <c r="A246" t="s">
        <v>208</v>
      </c>
      <c r="B246" s="1" t="s">
        <v>208</v>
      </c>
      <c r="C246" s="9" t="s">
        <v>209</v>
      </c>
      <c r="D246" s="1" t="s">
        <v>44</v>
      </c>
      <c r="E246" s="1" t="s">
        <v>88</v>
      </c>
      <c r="F246" s="10" t="s">
        <v>181</v>
      </c>
      <c r="G246" s="1">
        <v>2.5000000000000001E-2</v>
      </c>
      <c r="H246" s="1">
        <v>0.02</v>
      </c>
      <c r="I246" s="8">
        <v>45752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384476.15</v>
      </c>
      <c r="AJ246" s="2">
        <v>76869</v>
      </c>
      <c r="AK246" s="2">
        <v>7094.5</v>
      </c>
      <c r="AL246" s="2">
        <v>1418.42</v>
      </c>
      <c r="AM246" s="5">
        <v>4119.1499999999996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14147.92</v>
      </c>
      <c r="AT246" s="12">
        <v>12632.07</v>
      </c>
      <c r="AU246" s="2">
        <v>252.64</v>
      </c>
      <c r="AV246" s="5">
        <v>0</v>
      </c>
      <c r="AX246" s="2">
        <v>384476.15</v>
      </c>
      <c r="AY246" s="2">
        <v>76869</v>
      </c>
      <c r="AZ246" s="2">
        <v>7094.5</v>
      </c>
      <c r="BA246" s="2">
        <v>1418.42</v>
      </c>
      <c r="BB246" s="5">
        <v>4119.1499999999996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14147.92</v>
      </c>
      <c r="BI246" s="12">
        <v>12632.07</v>
      </c>
      <c r="BJ246" s="2">
        <v>252.64</v>
      </c>
      <c r="BL246" s="1" t="s">
        <v>90</v>
      </c>
    </row>
    <row r="247" spans="1:64" x14ac:dyDescent="0.3">
      <c r="A247" t="s">
        <v>208</v>
      </c>
      <c r="B247" s="1" t="s">
        <v>210</v>
      </c>
      <c r="C247" s="9" t="s">
        <v>211</v>
      </c>
      <c r="D247" s="1" t="s">
        <v>44</v>
      </c>
      <c r="E247" s="1" t="s">
        <v>88</v>
      </c>
      <c r="F247" s="10" t="s">
        <v>181</v>
      </c>
      <c r="G247" s="1">
        <v>2.5000000000000001E-2</v>
      </c>
      <c r="H247" s="1">
        <v>0.02</v>
      </c>
      <c r="I247" s="8">
        <v>45752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85978</v>
      </c>
      <c r="AJ247" s="2">
        <v>43478</v>
      </c>
      <c r="AK247" s="2">
        <v>1586.5</v>
      </c>
      <c r="AL247" s="2">
        <v>802.28</v>
      </c>
      <c r="AM247" s="5">
        <v>1155.8599999999999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3970</v>
      </c>
      <c r="AT247" s="12">
        <v>3544.6399999999994</v>
      </c>
      <c r="AU247" s="2">
        <v>70.89</v>
      </c>
      <c r="AV247" s="5">
        <v>0</v>
      </c>
      <c r="AX247" s="2">
        <v>85978</v>
      </c>
      <c r="AY247" s="2">
        <v>43478</v>
      </c>
      <c r="AZ247" s="2">
        <v>1586.5</v>
      </c>
      <c r="BA247" s="2">
        <v>802.28</v>
      </c>
      <c r="BB247" s="5">
        <v>1155.8599999999999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3970</v>
      </c>
      <c r="BI247" s="12">
        <v>3544.6399999999994</v>
      </c>
      <c r="BJ247" s="2">
        <v>70.89</v>
      </c>
      <c r="BL247" s="1" t="s">
        <v>90</v>
      </c>
    </row>
    <row r="248" spans="1:64" x14ac:dyDescent="0.3">
      <c r="A248" t="s">
        <v>208</v>
      </c>
      <c r="B248" s="1" t="s">
        <v>212</v>
      </c>
      <c r="C248" s="9" t="s">
        <v>213</v>
      </c>
      <c r="D248" s="1" t="s">
        <v>44</v>
      </c>
      <c r="E248" s="1" t="s">
        <v>88</v>
      </c>
      <c r="F248" s="10" t="s">
        <v>181</v>
      </c>
      <c r="G248" s="1">
        <v>0</v>
      </c>
      <c r="H248" s="1">
        <v>0.02</v>
      </c>
      <c r="I248" s="8">
        <v>44710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91743</v>
      </c>
      <c r="AJ248" s="2">
        <v>34780</v>
      </c>
      <c r="AK248" s="2">
        <v>1638.27</v>
      </c>
      <c r="AL248" s="2">
        <v>621.07000000000005</v>
      </c>
      <c r="AM248" s="5">
        <v>1129.67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3795.69</v>
      </c>
      <c r="AT248" s="12">
        <v>3389.01</v>
      </c>
      <c r="AU248" s="2">
        <v>67.78</v>
      </c>
      <c r="AV248" s="5">
        <v>0</v>
      </c>
      <c r="AX248" s="2">
        <v>91743</v>
      </c>
      <c r="AY248" s="2">
        <v>34780</v>
      </c>
      <c r="AZ248" s="2">
        <v>1638.27</v>
      </c>
      <c r="BA248" s="2">
        <v>621.07000000000005</v>
      </c>
      <c r="BB248" s="5">
        <v>1129.67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3795.69</v>
      </c>
      <c r="BI248" s="12">
        <v>3389.01</v>
      </c>
      <c r="BJ248" s="2">
        <v>67.78</v>
      </c>
      <c r="BL248" s="1" t="s">
        <v>90</v>
      </c>
    </row>
    <row r="249" spans="1:64" x14ac:dyDescent="0.3">
      <c r="A249" t="s">
        <v>214</v>
      </c>
      <c r="B249" s="1" t="s">
        <v>214</v>
      </c>
      <c r="C249" s="9" t="s">
        <v>215</v>
      </c>
      <c r="D249" s="1" t="s">
        <v>44</v>
      </c>
      <c r="E249" s="1" t="s">
        <v>88</v>
      </c>
      <c r="F249" s="10" t="s">
        <v>104</v>
      </c>
      <c r="G249" s="1">
        <v>2.5000000000000001E-2</v>
      </c>
      <c r="H249" s="1">
        <v>0.02</v>
      </c>
      <c r="I249" s="8">
        <v>44009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590822</v>
      </c>
      <c r="AJ249" s="2">
        <v>165050</v>
      </c>
      <c r="AK249" s="2">
        <v>10550.39</v>
      </c>
      <c r="AL249" s="2">
        <v>2947.32</v>
      </c>
      <c r="AM249" s="5">
        <v>6748.86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22676.16</v>
      </c>
      <c r="AT249" s="12">
        <v>20246.57</v>
      </c>
      <c r="AU249" s="2">
        <v>404.93</v>
      </c>
      <c r="AV249" s="5">
        <v>0</v>
      </c>
      <c r="AX249" s="2">
        <v>590822</v>
      </c>
      <c r="AY249" s="2">
        <v>165050</v>
      </c>
      <c r="AZ249" s="2">
        <v>10550.39</v>
      </c>
      <c r="BA249" s="2">
        <v>2947.32</v>
      </c>
      <c r="BB249" s="5">
        <v>6748.86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22676.16</v>
      </c>
      <c r="BI249" s="12">
        <v>20246.57</v>
      </c>
      <c r="BJ249" s="2">
        <v>404.93</v>
      </c>
      <c r="BL249" s="1" t="s">
        <v>90</v>
      </c>
    </row>
    <row r="250" spans="1:64" x14ac:dyDescent="0.3">
      <c r="A250" t="s">
        <v>229</v>
      </c>
      <c r="B250" s="1" t="s">
        <v>229</v>
      </c>
      <c r="C250" s="9" t="s">
        <v>230</v>
      </c>
      <c r="D250" s="1" t="s">
        <v>44</v>
      </c>
      <c r="E250" s="1" t="s">
        <v>88</v>
      </c>
      <c r="F250" s="10" t="s">
        <v>104</v>
      </c>
      <c r="G250" s="1">
        <v>2.5000000000000001E-2</v>
      </c>
      <c r="H250" s="1">
        <v>0.02</v>
      </c>
      <c r="I250" s="8">
        <v>44009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688493.75000000012</v>
      </c>
      <c r="AJ250" s="2">
        <v>154765</v>
      </c>
      <c r="AK250" s="2">
        <v>12294.54</v>
      </c>
      <c r="AL250" s="2">
        <v>2763.66</v>
      </c>
      <c r="AM250" s="5">
        <v>7529.1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25297.78</v>
      </c>
      <c r="AT250" s="12">
        <v>22587.300000000003</v>
      </c>
      <c r="AU250" s="2">
        <v>451.75</v>
      </c>
      <c r="AV250" s="5">
        <v>0</v>
      </c>
      <c r="AX250" s="2">
        <v>688493.75000000012</v>
      </c>
      <c r="AY250" s="2">
        <v>154765</v>
      </c>
      <c r="AZ250" s="2">
        <v>12294.54</v>
      </c>
      <c r="BA250" s="2">
        <v>2763.66</v>
      </c>
      <c r="BB250" s="5">
        <v>7529.1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25297.78</v>
      </c>
      <c r="BI250" s="12">
        <v>22587.300000000003</v>
      </c>
      <c r="BJ250" s="2">
        <v>451.75</v>
      </c>
      <c r="BL250" s="1" t="s">
        <v>90</v>
      </c>
    </row>
    <row r="251" spans="1:64" x14ac:dyDescent="0.3">
      <c r="A251" t="s">
        <v>231</v>
      </c>
      <c r="B251" s="1" t="s">
        <v>231</v>
      </c>
      <c r="C251" s="9" t="s">
        <v>232</v>
      </c>
      <c r="D251" s="1" t="s">
        <v>44</v>
      </c>
      <c r="E251" s="1" t="s">
        <v>88</v>
      </c>
      <c r="F251" s="10" t="s">
        <v>188</v>
      </c>
      <c r="G251" s="1">
        <v>2.5000000000000001E-2</v>
      </c>
      <c r="H251" s="1">
        <v>0.02</v>
      </c>
      <c r="I251" s="8">
        <v>45657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707584.81</v>
      </c>
      <c r="AJ251" s="2">
        <v>222189.41000000003</v>
      </c>
      <c r="AK251" s="2">
        <v>12635.45</v>
      </c>
      <c r="AL251" s="2">
        <v>3967.67</v>
      </c>
      <c r="AM251" s="5">
        <v>8301.5499999999993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27893.23</v>
      </c>
      <c r="AT251" s="12">
        <v>24904.670000000002</v>
      </c>
      <c r="AU251" s="2">
        <v>498.09</v>
      </c>
      <c r="AV251" s="5">
        <v>0</v>
      </c>
      <c r="AX251" s="2">
        <v>707584.81</v>
      </c>
      <c r="AY251" s="2">
        <v>222189.41000000003</v>
      </c>
      <c r="AZ251" s="2">
        <v>12635.45</v>
      </c>
      <c r="BA251" s="2">
        <v>3967.67</v>
      </c>
      <c r="BB251" s="5">
        <v>8301.5499999999993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27893.23</v>
      </c>
      <c r="BI251" s="12">
        <v>24904.670000000002</v>
      </c>
      <c r="BJ251" s="2">
        <v>498.09</v>
      </c>
      <c r="BL251" s="1" t="s">
        <v>90</v>
      </c>
    </row>
    <row r="252" spans="1:64" x14ac:dyDescent="0.3">
      <c r="A252" t="s">
        <v>233</v>
      </c>
      <c r="B252" s="1" t="s">
        <v>233</v>
      </c>
      <c r="C252" s="9" t="s">
        <v>234</v>
      </c>
      <c r="D252" s="1" t="s">
        <v>44</v>
      </c>
      <c r="E252" s="1" t="s">
        <v>88</v>
      </c>
      <c r="F252" s="10" t="s">
        <v>101</v>
      </c>
      <c r="G252" s="1">
        <v>2.5000000000000001E-2</v>
      </c>
      <c r="H252" s="1">
        <v>0.02</v>
      </c>
      <c r="I252" s="8">
        <v>44204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418567</v>
      </c>
      <c r="AJ252" s="2">
        <v>66592</v>
      </c>
      <c r="AK252" s="2">
        <v>7474.41</v>
      </c>
      <c r="AL252" s="2">
        <v>1189.1400000000001</v>
      </c>
      <c r="AM252" s="5">
        <v>4331.78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14554.77</v>
      </c>
      <c r="AT252" s="12">
        <v>12995.329999999998</v>
      </c>
      <c r="AU252" s="2">
        <v>259.91000000000003</v>
      </c>
      <c r="AV252" s="5">
        <v>0</v>
      </c>
      <c r="AX252" s="2">
        <v>418567</v>
      </c>
      <c r="AY252" s="2">
        <v>66592</v>
      </c>
      <c r="AZ252" s="2">
        <v>7474.41</v>
      </c>
      <c r="BA252" s="2">
        <v>1189.1400000000001</v>
      </c>
      <c r="BB252" s="5">
        <v>4331.78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14554.77</v>
      </c>
      <c r="BI252" s="12">
        <v>12995.329999999998</v>
      </c>
      <c r="BJ252" s="2">
        <v>259.91000000000003</v>
      </c>
      <c r="BL252" s="1" t="s">
        <v>90</v>
      </c>
    </row>
    <row r="253" spans="1:64" x14ac:dyDescent="0.3">
      <c r="A253" t="s">
        <v>235</v>
      </c>
      <c r="B253" s="1" t="s">
        <v>235</v>
      </c>
      <c r="C253" s="9" t="s">
        <v>236</v>
      </c>
      <c r="D253" s="1" t="s">
        <v>44</v>
      </c>
      <c r="E253" s="1" t="s">
        <v>88</v>
      </c>
      <c r="F253" s="10" t="s">
        <v>101</v>
      </c>
      <c r="G253" s="1">
        <v>2.5000000000000001E-2</v>
      </c>
      <c r="H253" s="1">
        <v>0.02</v>
      </c>
      <c r="I253" s="8">
        <v>44009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239293.2</v>
      </c>
      <c r="AJ253" s="2">
        <v>173480</v>
      </c>
      <c r="AK253" s="2">
        <v>4273.09</v>
      </c>
      <c r="AL253" s="2">
        <v>3097.86</v>
      </c>
      <c r="AM253" s="5">
        <v>3685.47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12383.19</v>
      </c>
      <c r="AT253" s="12">
        <v>11056.42</v>
      </c>
      <c r="AU253" s="2">
        <v>221.13</v>
      </c>
      <c r="AV253" s="5">
        <v>0</v>
      </c>
      <c r="AX253" s="2">
        <v>239293.2</v>
      </c>
      <c r="AY253" s="2">
        <v>173480</v>
      </c>
      <c r="AZ253" s="2">
        <v>4273.09</v>
      </c>
      <c r="BA253" s="2">
        <v>3097.86</v>
      </c>
      <c r="BB253" s="5">
        <v>3685.47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12383.19</v>
      </c>
      <c r="BI253" s="12">
        <v>11056.42</v>
      </c>
      <c r="BJ253" s="2">
        <v>221.13</v>
      </c>
      <c r="BL253" s="1" t="s">
        <v>90</v>
      </c>
    </row>
    <row r="254" spans="1:64" x14ac:dyDescent="0.3">
      <c r="A254" t="s">
        <v>247</v>
      </c>
      <c r="B254" s="1" t="s">
        <v>247</v>
      </c>
      <c r="C254" s="9" t="s">
        <v>248</v>
      </c>
      <c r="D254" s="1" t="s">
        <v>44</v>
      </c>
      <c r="E254" s="1" t="s">
        <v>88</v>
      </c>
      <c r="F254" s="10" t="s">
        <v>114</v>
      </c>
      <c r="G254" s="1">
        <v>2.5000000000000001E-2</v>
      </c>
      <c r="H254" s="1">
        <v>0.02</v>
      </c>
      <c r="I254" s="8">
        <v>45657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600128.78</v>
      </c>
      <c r="AJ254" s="2">
        <v>141990.66</v>
      </c>
      <c r="AK254" s="2">
        <v>10716.59</v>
      </c>
      <c r="AL254" s="2">
        <v>2535.54</v>
      </c>
      <c r="AM254" s="5">
        <v>6626.06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22263.57</v>
      </c>
      <c r="AT254" s="12">
        <v>19878.190000000002</v>
      </c>
      <c r="AU254" s="2">
        <v>397.56</v>
      </c>
      <c r="AV254" s="5">
        <v>0</v>
      </c>
      <c r="AX254" s="2">
        <v>600128.78</v>
      </c>
      <c r="AY254" s="2">
        <v>141990.66</v>
      </c>
      <c r="AZ254" s="2">
        <v>10716.59</v>
      </c>
      <c r="BA254" s="2">
        <v>2535.54</v>
      </c>
      <c r="BB254" s="5">
        <v>6626.06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22263.57</v>
      </c>
      <c r="BI254" s="12">
        <v>19878.190000000002</v>
      </c>
      <c r="BJ254" s="2">
        <v>397.56</v>
      </c>
      <c r="BL254" s="1" t="s">
        <v>90</v>
      </c>
    </row>
    <row r="255" spans="1:64" x14ac:dyDescent="0.3">
      <c r="A255" t="s">
        <v>253</v>
      </c>
      <c r="B255" s="1" t="s">
        <v>253</v>
      </c>
      <c r="C255" s="9" t="s">
        <v>254</v>
      </c>
      <c r="D255" s="1" t="s">
        <v>44</v>
      </c>
      <c r="E255" s="1" t="s">
        <v>88</v>
      </c>
      <c r="F255" s="10" t="s">
        <v>114</v>
      </c>
      <c r="G255" s="1">
        <v>2.5000000000000001E-2</v>
      </c>
      <c r="H255" s="1">
        <v>0.02</v>
      </c>
      <c r="I255" s="8">
        <v>45657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534136</v>
      </c>
      <c r="AJ255" s="2">
        <v>98312</v>
      </c>
      <c r="AK255" s="2">
        <v>9538.14</v>
      </c>
      <c r="AL255" s="2">
        <v>1755.57</v>
      </c>
      <c r="AM255" s="5">
        <v>5646.86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18973.439999999999</v>
      </c>
      <c r="AT255" s="12">
        <v>16940.57</v>
      </c>
      <c r="AU255" s="2">
        <v>338.81</v>
      </c>
      <c r="AV255" s="5">
        <v>0</v>
      </c>
      <c r="AX255" s="2">
        <v>534136</v>
      </c>
      <c r="AY255" s="2">
        <v>98312</v>
      </c>
      <c r="AZ255" s="2">
        <v>9538.14</v>
      </c>
      <c r="BA255" s="2">
        <v>1755.57</v>
      </c>
      <c r="BB255" s="5">
        <v>5646.86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18973.439999999999</v>
      </c>
      <c r="BI255" s="12">
        <v>16940.57</v>
      </c>
      <c r="BJ255" s="2">
        <v>338.81</v>
      </c>
      <c r="BL255" s="1" t="s">
        <v>90</v>
      </c>
    </row>
    <row r="256" spans="1:64" x14ac:dyDescent="0.3">
      <c r="A256" t="s">
        <v>270</v>
      </c>
      <c r="B256" s="1" t="s">
        <v>270</v>
      </c>
      <c r="C256" s="9" t="s">
        <v>271</v>
      </c>
      <c r="D256" s="1" t="s">
        <v>44</v>
      </c>
      <c r="E256" s="1" t="s">
        <v>88</v>
      </c>
      <c r="F256" s="10" t="s">
        <v>104</v>
      </c>
      <c r="G256" s="1">
        <v>2.5000000000000001E-2</v>
      </c>
      <c r="H256" s="1">
        <v>0.02</v>
      </c>
      <c r="I256" s="8">
        <v>45585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421276</v>
      </c>
      <c r="AJ256" s="2">
        <v>136211</v>
      </c>
      <c r="AK256" s="2">
        <v>7522.79</v>
      </c>
      <c r="AL256" s="2">
        <v>2432.34</v>
      </c>
      <c r="AM256" s="5">
        <v>4977.5600000000004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16724.61</v>
      </c>
      <c r="AT256" s="12">
        <v>14932.690000000002</v>
      </c>
      <c r="AU256" s="2">
        <v>298.64999999999998</v>
      </c>
      <c r="AV256" s="5">
        <v>0</v>
      </c>
      <c r="AX256" s="2">
        <v>421276</v>
      </c>
      <c r="AY256" s="2">
        <v>136211</v>
      </c>
      <c r="AZ256" s="2">
        <v>7522.79</v>
      </c>
      <c r="BA256" s="2">
        <v>2432.34</v>
      </c>
      <c r="BB256" s="5">
        <v>4977.5600000000004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16724.61</v>
      </c>
      <c r="BI256" s="12">
        <v>14932.690000000002</v>
      </c>
      <c r="BJ256" s="2">
        <v>298.64999999999998</v>
      </c>
      <c r="BL256" s="1" t="s">
        <v>90</v>
      </c>
    </row>
    <row r="257" spans="1:64" x14ac:dyDescent="0.3">
      <c r="A257" t="s">
        <v>272</v>
      </c>
      <c r="B257" s="1" t="s">
        <v>272</v>
      </c>
      <c r="C257" s="9" t="s">
        <v>273</v>
      </c>
      <c r="D257" s="1" t="s">
        <v>44</v>
      </c>
      <c r="E257" s="1" t="s">
        <v>88</v>
      </c>
      <c r="F257" s="10" t="s">
        <v>101</v>
      </c>
      <c r="G257" s="1">
        <v>2.5000000000000001E-2</v>
      </c>
      <c r="H257" s="1">
        <v>0.02</v>
      </c>
      <c r="I257" s="8">
        <v>44416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325750.5</v>
      </c>
      <c r="AJ257" s="2">
        <v>99924.75</v>
      </c>
      <c r="AK257" s="2">
        <v>5816.97</v>
      </c>
      <c r="AL257" s="2">
        <v>1784.37</v>
      </c>
      <c r="AM257" s="5">
        <v>3800.67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12770.25</v>
      </c>
      <c r="AT257" s="12">
        <v>11402.01</v>
      </c>
      <c r="AU257" s="2">
        <v>228.04</v>
      </c>
      <c r="AV257" s="5">
        <v>0</v>
      </c>
      <c r="AX257" s="2">
        <v>325750.5</v>
      </c>
      <c r="AY257" s="2">
        <v>99924.75</v>
      </c>
      <c r="AZ257" s="2">
        <v>5816.97</v>
      </c>
      <c r="BA257" s="2">
        <v>1784.37</v>
      </c>
      <c r="BB257" s="5">
        <v>3800.67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12770.25</v>
      </c>
      <c r="BI257" s="12">
        <v>11402.01</v>
      </c>
      <c r="BJ257" s="2">
        <v>228.04</v>
      </c>
      <c r="BL257" s="1" t="s">
        <v>90</v>
      </c>
    </row>
    <row r="258" spans="1:64" x14ac:dyDescent="0.3">
      <c r="A258" t="s">
        <v>280</v>
      </c>
      <c r="B258" s="1" t="s">
        <v>280</v>
      </c>
      <c r="C258" s="9" t="s">
        <v>281</v>
      </c>
      <c r="D258" s="1" t="s">
        <v>44</v>
      </c>
      <c r="E258" s="1" t="s">
        <v>88</v>
      </c>
      <c r="F258" s="10" t="s">
        <v>188</v>
      </c>
      <c r="G258" s="1">
        <v>2.5000000000000001E-2</v>
      </c>
      <c r="H258" s="1">
        <v>0.02</v>
      </c>
      <c r="I258" s="8">
        <v>45657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776203.63</v>
      </c>
      <c r="AJ258" s="2">
        <v>177157.52000000002</v>
      </c>
      <c r="AK258" s="2">
        <v>13860.78</v>
      </c>
      <c r="AL258" s="2">
        <v>3163.53</v>
      </c>
      <c r="AM258" s="5">
        <v>8512.15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28600.84</v>
      </c>
      <c r="AT258" s="12">
        <v>25536.46</v>
      </c>
      <c r="AU258" s="2">
        <v>510.73</v>
      </c>
      <c r="AV258" s="5">
        <v>0</v>
      </c>
      <c r="AX258" s="2">
        <v>776203.63</v>
      </c>
      <c r="AY258" s="2">
        <v>177157.52000000002</v>
      </c>
      <c r="AZ258" s="2">
        <v>13860.78</v>
      </c>
      <c r="BA258" s="2">
        <v>3163.53</v>
      </c>
      <c r="BB258" s="5">
        <v>8512.15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28600.84</v>
      </c>
      <c r="BI258" s="12">
        <v>25536.46</v>
      </c>
      <c r="BJ258" s="2">
        <v>510.73</v>
      </c>
      <c r="BL258" s="1" t="s">
        <v>90</v>
      </c>
    </row>
    <row r="259" spans="1:64" x14ac:dyDescent="0.3">
      <c r="A259" t="s">
        <v>288</v>
      </c>
      <c r="B259" s="1" t="s">
        <v>288</v>
      </c>
      <c r="C259" s="9" t="s">
        <v>289</v>
      </c>
      <c r="D259" s="1" t="s">
        <v>44</v>
      </c>
      <c r="E259" s="1" t="s">
        <v>88</v>
      </c>
      <c r="F259" s="10" t="s">
        <v>114</v>
      </c>
      <c r="G259" s="1">
        <v>2.5000000000000001E-2</v>
      </c>
      <c r="H259" s="1">
        <v>0.02</v>
      </c>
      <c r="I259" s="8">
        <v>45657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382259</v>
      </c>
      <c r="AJ259" s="2">
        <v>53362</v>
      </c>
      <c r="AK259" s="2">
        <v>6826.05</v>
      </c>
      <c r="AL259" s="2">
        <v>952.89</v>
      </c>
      <c r="AM259" s="5">
        <v>3889.47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13068.62</v>
      </c>
      <c r="AT259" s="12">
        <v>11668.41</v>
      </c>
      <c r="AU259" s="2">
        <v>233.37</v>
      </c>
      <c r="AV259" s="5">
        <v>0</v>
      </c>
      <c r="AX259" s="2">
        <v>382259</v>
      </c>
      <c r="AY259" s="2">
        <v>53362</v>
      </c>
      <c r="AZ259" s="2">
        <v>6826.05</v>
      </c>
      <c r="BA259" s="2">
        <v>952.89</v>
      </c>
      <c r="BB259" s="5">
        <v>3889.47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13068.62</v>
      </c>
      <c r="BI259" s="12">
        <v>11668.41</v>
      </c>
      <c r="BJ259" s="2">
        <v>233.37</v>
      </c>
      <c r="BL259" s="1" t="s">
        <v>90</v>
      </c>
    </row>
    <row r="260" spans="1:64" x14ac:dyDescent="0.3">
      <c r="A260" t="s">
        <v>290</v>
      </c>
      <c r="B260" s="1" t="s">
        <v>290</v>
      </c>
      <c r="C260" s="9" t="s">
        <v>291</v>
      </c>
      <c r="D260" s="1" t="s">
        <v>44</v>
      </c>
      <c r="E260" s="1" t="s">
        <v>88</v>
      </c>
      <c r="F260" s="10" t="s">
        <v>114</v>
      </c>
      <c r="G260" s="1">
        <v>2.5000000000000001E-2</v>
      </c>
      <c r="H260" s="1">
        <v>0.02</v>
      </c>
      <c r="I260" s="8">
        <v>44487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391689.95</v>
      </c>
      <c r="AJ260" s="2">
        <v>90521</v>
      </c>
      <c r="AK260" s="2">
        <v>6994.46</v>
      </c>
      <c r="AL260" s="2">
        <v>1616.45</v>
      </c>
      <c r="AM260" s="5">
        <v>4305.46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14466.33</v>
      </c>
      <c r="AT260" s="12">
        <v>12916.369999999999</v>
      </c>
      <c r="AU260" s="2">
        <v>258.33</v>
      </c>
      <c r="AV260" s="5">
        <v>0</v>
      </c>
      <c r="AX260" s="2">
        <v>391689.95</v>
      </c>
      <c r="AY260" s="2">
        <v>90521</v>
      </c>
      <c r="AZ260" s="2">
        <v>6994.46</v>
      </c>
      <c r="BA260" s="2">
        <v>1616.45</v>
      </c>
      <c r="BB260" s="5">
        <v>4305.46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14466.33</v>
      </c>
      <c r="BI260" s="12">
        <v>12916.369999999999</v>
      </c>
      <c r="BJ260" s="2">
        <v>258.33</v>
      </c>
      <c r="BL260" s="1" t="s">
        <v>90</v>
      </c>
    </row>
    <row r="261" spans="1:64" x14ac:dyDescent="0.3">
      <c r="A261" t="s">
        <v>312</v>
      </c>
      <c r="B261" s="1" t="s">
        <v>312</v>
      </c>
      <c r="C261" s="9" t="s">
        <v>313</v>
      </c>
      <c r="D261" s="1" t="s">
        <v>44</v>
      </c>
      <c r="E261" s="1" t="s">
        <v>88</v>
      </c>
      <c r="F261" s="10" t="s">
        <v>178</v>
      </c>
      <c r="G261" s="1">
        <v>2.5000000000000001E-2</v>
      </c>
      <c r="H261" s="1">
        <v>0.02</v>
      </c>
      <c r="I261" s="8">
        <v>44068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247151</v>
      </c>
      <c r="AJ261" s="2">
        <v>65736</v>
      </c>
      <c r="AK261" s="2">
        <v>4413.41</v>
      </c>
      <c r="AL261" s="2">
        <v>1173.8599999999999</v>
      </c>
      <c r="AM261" s="5">
        <v>2793.63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9386.61</v>
      </c>
      <c r="AT261" s="12">
        <v>8380.9</v>
      </c>
      <c r="AU261" s="2">
        <v>167.62</v>
      </c>
      <c r="AV261" s="5">
        <v>0</v>
      </c>
      <c r="AX261" s="2">
        <v>247151</v>
      </c>
      <c r="AY261" s="2">
        <v>65736</v>
      </c>
      <c r="AZ261" s="2">
        <v>4413.41</v>
      </c>
      <c r="BA261" s="2">
        <v>1173.8599999999999</v>
      </c>
      <c r="BB261" s="5">
        <v>2793.63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9386.61</v>
      </c>
      <c r="BI261" s="12">
        <v>8380.9</v>
      </c>
      <c r="BJ261" s="2">
        <v>167.62</v>
      </c>
      <c r="BL261" s="1" t="s">
        <v>90</v>
      </c>
    </row>
    <row r="262" spans="1:64" x14ac:dyDescent="0.3">
      <c r="A262" t="s">
        <v>319</v>
      </c>
      <c r="B262" s="1" t="s">
        <v>319</v>
      </c>
      <c r="C262" s="9" t="s">
        <v>320</v>
      </c>
      <c r="D262" s="1" t="s">
        <v>44</v>
      </c>
      <c r="E262" s="1" t="s">
        <v>88</v>
      </c>
      <c r="F262" s="10" t="s">
        <v>188</v>
      </c>
      <c r="G262" s="1">
        <v>2.5000000000000001E-2</v>
      </c>
      <c r="H262" s="1">
        <v>0.02</v>
      </c>
      <c r="I262" s="8">
        <v>45657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822083.47000000009</v>
      </c>
      <c r="AJ262" s="2">
        <v>134558.29</v>
      </c>
      <c r="AK262" s="2">
        <v>14680.06</v>
      </c>
      <c r="AL262" s="2">
        <v>2402.83</v>
      </c>
      <c r="AM262" s="5">
        <v>8541.4500000000007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28699.26</v>
      </c>
      <c r="AT262" s="12">
        <v>25624.34</v>
      </c>
      <c r="AU262" s="2">
        <v>512.49</v>
      </c>
      <c r="AV262" s="5">
        <v>0</v>
      </c>
      <c r="AX262" s="2">
        <v>822083.47000000009</v>
      </c>
      <c r="AY262" s="2">
        <v>134558.29</v>
      </c>
      <c r="AZ262" s="2">
        <v>14680.06</v>
      </c>
      <c r="BA262" s="2">
        <v>2402.83</v>
      </c>
      <c r="BB262" s="5">
        <v>8541.4500000000007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28699.26</v>
      </c>
      <c r="BI262" s="12">
        <v>25624.34</v>
      </c>
      <c r="BJ262" s="2">
        <v>512.49</v>
      </c>
      <c r="BL262" s="1" t="s">
        <v>90</v>
      </c>
    </row>
    <row r="263" spans="1:64" x14ac:dyDescent="0.3">
      <c r="A263" t="s">
        <v>319</v>
      </c>
      <c r="B263" s="1" t="s">
        <v>321</v>
      </c>
      <c r="C263" s="9" t="s">
        <v>322</v>
      </c>
      <c r="D263" s="1" t="s">
        <v>44</v>
      </c>
      <c r="E263" s="1" t="s">
        <v>88</v>
      </c>
      <c r="F263" s="10" t="s">
        <v>188</v>
      </c>
      <c r="G263" s="1">
        <v>0</v>
      </c>
      <c r="H263" s="1">
        <v>0.02</v>
      </c>
      <c r="I263" s="8">
        <v>45657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184177</v>
      </c>
      <c r="AJ263" s="2">
        <v>56138</v>
      </c>
      <c r="AK263" s="2">
        <v>3288.87</v>
      </c>
      <c r="AL263" s="2">
        <v>1002.46</v>
      </c>
      <c r="AM263" s="5">
        <v>2145.67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7209.44</v>
      </c>
      <c r="AT263" s="12">
        <v>6437</v>
      </c>
      <c r="AU263" s="2">
        <v>128.74</v>
      </c>
      <c r="AV263" s="5">
        <v>0</v>
      </c>
      <c r="AX263" s="2">
        <v>184177</v>
      </c>
      <c r="AY263" s="2">
        <v>56138</v>
      </c>
      <c r="AZ263" s="2">
        <v>3288.87</v>
      </c>
      <c r="BA263" s="2">
        <v>1002.46</v>
      </c>
      <c r="BB263" s="5">
        <v>2145.67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7209.44</v>
      </c>
      <c r="BI263" s="12">
        <v>6437</v>
      </c>
      <c r="BJ263" s="2">
        <v>128.74</v>
      </c>
      <c r="BL263" s="1" t="s">
        <v>90</v>
      </c>
    </row>
    <row r="264" spans="1:64" x14ac:dyDescent="0.3">
      <c r="A264" t="s">
        <v>327</v>
      </c>
      <c r="B264" s="1" t="s">
        <v>327</v>
      </c>
      <c r="C264" s="9" t="s">
        <v>328</v>
      </c>
      <c r="D264" s="1" t="s">
        <v>44</v>
      </c>
      <c r="E264" s="1" t="s">
        <v>88</v>
      </c>
      <c r="F264" s="10" t="s">
        <v>178</v>
      </c>
      <c r="G264" s="1">
        <v>2.5000000000000001E-2</v>
      </c>
      <c r="H264" s="1">
        <v>0.02</v>
      </c>
      <c r="I264" s="8">
        <v>44499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369056.69</v>
      </c>
      <c r="AJ264" s="2">
        <v>108115.41</v>
      </c>
      <c r="AK264" s="2">
        <v>6590.29</v>
      </c>
      <c r="AL264" s="2">
        <v>1930.63</v>
      </c>
      <c r="AM264" s="5">
        <v>4260.46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14315.15</v>
      </c>
      <c r="AT264" s="12">
        <v>12781.380000000001</v>
      </c>
      <c r="AU264" s="2">
        <v>255.63</v>
      </c>
      <c r="AV264" s="5">
        <v>0</v>
      </c>
      <c r="AX264" s="2">
        <v>369056.69</v>
      </c>
      <c r="AY264" s="2">
        <v>108115.41</v>
      </c>
      <c r="AZ264" s="2">
        <v>6590.29</v>
      </c>
      <c r="BA264" s="2">
        <v>1930.63</v>
      </c>
      <c r="BB264" s="5">
        <v>4260.46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14315.15</v>
      </c>
      <c r="BI264" s="12">
        <v>12781.380000000001</v>
      </c>
      <c r="BJ264" s="2">
        <v>255.63</v>
      </c>
      <c r="BL264" s="1" t="s">
        <v>90</v>
      </c>
    </row>
    <row r="265" spans="1:64" x14ac:dyDescent="0.3">
      <c r="A265" t="s">
        <v>334</v>
      </c>
      <c r="B265" s="1" t="s">
        <v>334</v>
      </c>
      <c r="C265" s="9" t="s">
        <v>335</v>
      </c>
      <c r="D265" s="1" t="s">
        <v>44</v>
      </c>
      <c r="E265" s="1" t="s">
        <v>88</v>
      </c>
      <c r="F265" s="10" t="s">
        <v>188</v>
      </c>
      <c r="G265" s="1">
        <v>3.5000000000000003E-2</v>
      </c>
      <c r="H265" s="1">
        <v>0.02</v>
      </c>
      <c r="I265" s="8">
        <v>44607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997244.46000000008</v>
      </c>
      <c r="AJ265" s="2">
        <v>188642.72</v>
      </c>
      <c r="AK265" s="2">
        <v>17807.939999999999</v>
      </c>
      <c r="AL265" s="2">
        <v>3368.62</v>
      </c>
      <c r="AM265" s="5">
        <v>10588.28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35576.620000000003</v>
      </c>
      <c r="AT265" s="12">
        <v>31764.839999999997</v>
      </c>
      <c r="AU265" s="2">
        <v>635.29999999999995</v>
      </c>
      <c r="AV265" s="5">
        <v>0</v>
      </c>
      <c r="AX265" s="2">
        <v>997244.46000000008</v>
      </c>
      <c r="AY265" s="2">
        <v>188642.72</v>
      </c>
      <c r="AZ265" s="2">
        <v>17807.939999999999</v>
      </c>
      <c r="BA265" s="2">
        <v>3368.62</v>
      </c>
      <c r="BB265" s="5">
        <v>10588.28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35576.620000000003</v>
      </c>
      <c r="BI265" s="12">
        <v>31764.839999999997</v>
      </c>
      <c r="BJ265" s="2">
        <v>635.29999999999995</v>
      </c>
      <c r="BL265" s="1" t="s">
        <v>90</v>
      </c>
    </row>
    <row r="266" spans="1:64" x14ac:dyDescent="0.3">
      <c r="A266" t="s">
        <v>334</v>
      </c>
      <c r="B266" s="1" t="s">
        <v>336</v>
      </c>
      <c r="C266" s="9" t="s">
        <v>337</v>
      </c>
      <c r="D266" s="1" t="s">
        <v>44</v>
      </c>
      <c r="E266" s="1" t="s">
        <v>88</v>
      </c>
      <c r="F266" s="10" t="s">
        <v>188</v>
      </c>
      <c r="G266" s="1">
        <v>3.5000000000000003E-2</v>
      </c>
      <c r="H266" s="1">
        <v>0.02</v>
      </c>
      <c r="I266" s="8">
        <v>44607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134291.25</v>
      </c>
      <c r="AJ266" s="2">
        <v>31338</v>
      </c>
      <c r="AK266" s="2">
        <v>2398.0500000000002</v>
      </c>
      <c r="AL266" s="2">
        <v>559.61</v>
      </c>
      <c r="AM266" s="5">
        <v>1478.83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4968.87</v>
      </c>
      <c r="AT266" s="12">
        <v>4436.49</v>
      </c>
      <c r="AU266" s="2">
        <v>88.73</v>
      </c>
      <c r="AV266" s="5">
        <v>0</v>
      </c>
      <c r="AX266" s="2">
        <v>134291.25</v>
      </c>
      <c r="AY266" s="2">
        <v>31338</v>
      </c>
      <c r="AZ266" s="2">
        <v>2398.0500000000002</v>
      </c>
      <c r="BA266" s="2">
        <v>559.61</v>
      </c>
      <c r="BB266" s="5">
        <v>1478.83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4968.87</v>
      </c>
      <c r="BI266" s="12">
        <v>4436.49</v>
      </c>
      <c r="BJ266" s="2">
        <v>88.73</v>
      </c>
      <c r="BL266" s="1" t="s">
        <v>90</v>
      </c>
    </row>
    <row r="267" spans="1:64" x14ac:dyDescent="0.3">
      <c r="A267" t="s">
        <v>334</v>
      </c>
      <c r="B267" s="1" t="s">
        <v>338</v>
      </c>
      <c r="C267" s="9" t="s">
        <v>339</v>
      </c>
      <c r="D267" s="1" t="s">
        <v>44</v>
      </c>
      <c r="E267" s="1" t="s">
        <v>88</v>
      </c>
      <c r="F267" s="10" t="s">
        <v>188</v>
      </c>
      <c r="G267" s="1">
        <v>3.5000000000000003E-2</v>
      </c>
      <c r="H267" s="1">
        <v>0.02</v>
      </c>
      <c r="I267" s="8">
        <v>44607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63837</v>
      </c>
      <c r="AJ267" s="2">
        <v>36006</v>
      </c>
      <c r="AK267" s="2">
        <v>1139.95</v>
      </c>
      <c r="AL267" s="2">
        <v>642.96</v>
      </c>
      <c r="AM267" s="5">
        <v>891.46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2995.29</v>
      </c>
      <c r="AT267" s="12">
        <v>2674.37</v>
      </c>
      <c r="AU267" s="2">
        <v>53.49</v>
      </c>
      <c r="AV267" s="5">
        <v>0</v>
      </c>
      <c r="AX267" s="2">
        <v>63837</v>
      </c>
      <c r="AY267" s="2">
        <v>36006</v>
      </c>
      <c r="AZ267" s="2">
        <v>1139.95</v>
      </c>
      <c r="BA267" s="2">
        <v>642.96</v>
      </c>
      <c r="BB267" s="5">
        <v>891.46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2995.29</v>
      </c>
      <c r="BI267" s="12">
        <v>2674.37</v>
      </c>
      <c r="BJ267" s="2">
        <v>53.49</v>
      </c>
      <c r="BL267" s="1" t="s">
        <v>90</v>
      </c>
    </row>
    <row r="268" spans="1:64" x14ac:dyDescent="0.3">
      <c r="A268" t="s">
        <v>334</v>
      </c>
      <c r="B268" s="1" t="s">
        <v>340</v>
      </c>
      <c r="C268" s="9" t="s">
        <v>341</v>
      </c>
      <c r="D268" s="1" t="s">
        <v>44</v>
      </c>
      <c r="E268" s="1" t="s">
        <v>88</v>
      </c>
      <c r="F268" s="10" t="s">
        <v>188</v>
      </c>
      <c r="G268" s="1">
        <v>0</v>
      </c>
      <c r="H268" s="1">
        <v>0.02</v>
      </c>
      <c r="I268" s="8">
        <v>44824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125550</v>
      </c>
      <c r="AJ268" s="2">
        <v>32799</v>
      </c>
      <c r="AK268" s="2">
        <v>2241.96</v>
      </c>
      <c r="AL268" s="2">
        <v>585.70000000000005</v>
      </c>
      <c r="AM268" s="5">
        <v>1413.83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4750.47</v>
      </c>
      <c r="AT268" s="12">
        <v>4241.49</v>
      </c>
      <c r="AU268" s="2">
        <v>84.83</v>
      </c>
      <c r="AV268" s="5">
        <v>0</v>
      </c>
      <c r="AX268" s="2">
        <v>125550</v>
      </c>
      <c r="AY268" s="2">
        <v>32799</v>
      </c>
      <c r="AZ268" s="2">
        <v>2241.96</v>
      </c>
      <c r="BA268" s="2">
        <v>585.70000000000005</v>
      </c>
      <c r="BB268" s="5">
        <v>1413.83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4750.47</v>
      </c>
      <c r="BI268" s="12">
        <v>4241.49</v>
      </c>
      <c r="BJ268" s="2">
        <v>84.83</v>
      </c>
      <c r="BL268" s="1" t="s">
        <v>90</v>
      </c>
    </row>
    <row r="269" spans="1:64" x14ac:dyDescent="0.3">
      <c r="A269" t="s">
        <v>351</v>
      </c>
      <c r="B269" s="1" t="s">
        <v>351</v>
      </c>
      <c r="C269" s="9" t="s">
        <v>352</v>
      </c>
      <c r="D269" s="1" t="s">
        <v>44</v>
      </c>
      <c r="E269" s="1" t="s">
        <v>88</v>
      </c>
      <c r="F269" s="10" t="s">
        <v>178</v>
      </c>
      <c r="G269" s="1">
        <v>3.5000000000000003E-2</v>
      </c>
      <c r="H269" s="1">
        <v>0.02</v>
      </c>
      <c r="I269" s="8">
        <v>44661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312349.7</v>
      </c>
      <c r="AJ269" s="2">
        <v>51157.75</v>
      </c>
      <c r="AK269" s="2">
        <v>5577.67</v>
      </c>
      <c r="AL269" s="2">
        <v>913.54</v>
      </c>
      <c r="AM269" s="5">
        <v>3245.6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10905.23</v>
      </c>
      <c r="AT269" s="12">
        <v>9736.81</v>
      </c>
      <c r="AU269" s="2">
        <v>194.74</v>
      </c>
      <c r="AV269" s="5">
        <v>0</v>
      </c>
      <c r="AX269" s="2">
        <v>312349.7</v>
      </c>
      <c r="AY269" s="2">
        <v>51157.75</v>
      </c>
      <c r="AZ269" s="2">
        <v>5577.67</v>
      </c>
      <c r="BA269" s="2">
        <v>913.54</v>
      </c>
      <c r="BB269" s="5">
        <v>3245.6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10905.23</v>
      </c>
      <c r="BI269" s="12">
        <v>9736.81</v>
      </c>
      <c r="BJ269" s="2">
        <v>194.74</v>
      </c>
      <c r="BL269" s="1" t="s">
        <v>90</v>
      </c>
    </row>
    <row r="270" spans="1:64" x14ac:dyDescent="0.3">
      <c r="A270" t="s">
        <v>379</v>
      </c>
      <c r="B270" s="1" t="s">
        <v>379</v>
      </c>
      <c r="C270" s="9" t="s">
        <v>380</v>
      </c>
      <c r="D270" s="1" t="s">
        <v>44</v>
      </c>
      <c r="E270" s="1" t="s">
        <v>88</v>
      </c>
      <c r="F270" s="10" t="s">
        <v>188</v>
      </c>
      <c r="G270" s="1">
        <v>3.5000000000000003E-2</v>
      </c>
      <c r="H270" s="1">
        <v>0.02</v>
      </c>
      <c r="I270" s="8">
        <v>44755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1037753.61</v>
      </c>
      <c r="AJ270" s="2">
        <v>202004.13999999996</v>
      </c>
      <c r="AK270" s="2">
        <v>18531.310000000001</v>
      </c>
      <c r="AL270" s="2">
        <v>3607.21</v>
      </c>
      <c r="AM270" s="5">
        <v>11069.27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37192.720000000001</v>
      </c>
      <c r="AT270" s="12">
        <v>33207.79</v>
      </c>
      <c r="AU270" s="2">
        <v>664.16</v>
      </c>
      <c r="AV270" s="5">
        <v>0</v>
      </c>
      <c r="AX270" s="2">
        <v>1037753.61</v>
      </c>
      <c r="AY270" s="2">
        <v>202004.13999999996</v>
      </c>
      <c r="AZ270" s="2">
        <v>18531.310000000001</v>
      </c>
      <c r="BA270" s="2">
        <v>3607.21</v>
      </c>
      <c r="BB270" s="5">
        <v>11069.27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37192.720000000001</v>
      </c>
      <c r="BI270" s="12">
        <v>33207.79</v>
      </c>
      <c r="BJ270" s="2">
        <v>664.16</v>
      </c>
      <c r="BL270" s="1" t="s">
        <v>90</v>
      </c>
    </row>
    <row r="271" spans="1:64" x14ac:dyDescent="0.3">
      <c r="A271" t="s">
        <v>381</v>
      </c>
      <c r="B271" s="1" t="s">
        <v>381</v>
      </c>
      <c r="C271" s="9" t="s">
        <v>382</v>
      </c>
      <c r="D271" s="1" t="s">
        <v>44</v>
      </c>
      <c r="E271" s="1" t="s">
        <v>88</v>
      </c>
      <c r="F271" s="10" t="s">
        <v>114</v>
      </c>
      <c r="G271" s="1">
        <v>3.5000000000000003E-2</v>
      </c>
      <c r="H271" s="1">
        <v>0.02</v>
      </c>
      <c r="I271" s="8">
        <v>44885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830878.42</v>
      </c>
      <c r="AJ271" s="2">
        <v>128764.01999999999</v>
      </c>
      <c r="AK271" s="2">
        <v>14837.12</v>
      </c>
      <c r="AL271" s="2">
        <v>2299.36</v>
      </c>
      <c r="AM271" s="5">
        <v>8568.23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28789.279999999999</v>
      </c>
      <c r="AT271" s="12">
        <v>25704.71</v>
      </c>
      <c r="AU271" s="2">
        <v>514.09</v>
      </c>
      <c r="AV271" s="5">
        <v>0</v>
      </c>
      <c r="AX271" s="2">
        <v>830878.42</v>
      </c>
      <c r="AY271" s="2">
        <v>128764.01999999999</v>
      </c>
      <c r="AZ271" s="2">
        <v>14837.12</v>
      </c>
      <c r="BA271" s="2">
        <v>2299.36</v>
      </c>
      <c r="BB271" s="5">
        <v>8568.23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28789.279999999999</v>
      </c>
      <c r="BI271" s="12">
        <v>25704.71</v>
      </c>
      <c r="BJ271" s="2">
        <v>514.09</v>
      </c>
      <c r="BL271" s="1" t="s">
        <v>90</v>
      </c>
    </row>
    <row r="272" spans="1:64" x14ac:dyDescent="0.3">
      <c r="A272" t="s">
        <v>418</v>
      </c>
      <c r="B272" s="1" t="s">
        <v>418</v>
      </c>
      <c r="C272" s="9" t="s">
        <v>419</v>
      </c>
      <c r="D272" s="1" t="s">
        <v>44</v>
      </c>
      <c r="E272" s="1" t="s">
        <v>88</v>
      </c>
      <c r="F272" s="10" t="s">
        <v>188</v>
      </c>
      <c r="G272" s="1">
        <v>2.5000000000000001E-2</v>
      </c>
      <c r="H272" s="1">
        <v>0.02</v>
      </c>
      <c r="I272" s="8">
        <v>45440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556796.74</v>
      </c>
      <c r="AJ272" s="2">
        <v>195709.41</v>
      </c>
      <c r="AK272" s="2">
        <v>9942.7900000000009</v>
      </c>
      <c r="AL272" s="2">
        <v>3494.81</v>
      </c>
      <c r="AM272" s="5">
        <v>6718.8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22575.17</v>
      </c>
      <c r="AT272" s="12">
        <v>20156.400000000001</v>
      </c>
      <c r="AU272" s="2">
        <v>403.13</v>
      </c>
      <c r="AV272" s="5">
        <v>0</v>
      </c>
      <c r="AX272" s="2">
        <v>556796.74</v>
      </c>
      <c r="AY272" s="2">
        <v>195709.41</v>
      </c>
      <c r="AZ272" s="2">
        <v>9942.7900000000009</v>
      </c>
      <c r="BA272" s="2">
        <v>3494.81</v>
      </c>
      <c r="BB272" s="5">
        <v>6718.8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22575.17</v>
      </c>
      <c r="BI272" s="12">
        <v>20156.400000000001</v>
      </c>
      <c r="BJ272" s="2">
        <v>403.13</v>
      </c>
      <c r="BL272" s="1" t="s">
        <v>90</v>
      </c>
    </row>
    <row r="273" spans="1:64" x14ac:dyDescent="0.3">
      <c r="A273" t="s">
        <v>418</v>
      </c>
      <c r="B273" s="1" t="s">
        <v>420</v>
      </c>
      <c r="C273" s="9" t="s">
        <v>421</v>
      </c>
      <c r="D273" s="1" t="s">
        <v>44</v>
      </c>
      <c r="E273" s="1" t="s">
        <v>88</v>
      </c>
      <c r="F273" s="10" t="s">
        <v>188</v>
      </c>
      <c r="G273" s="1">
        <v>0</v>
      </c>
      <c r="H273" s="1">
        <v>0.02</v>
      </c>
      <c r="I273" s="8">
        <v>45440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124159</v>
      </c>
      <c r="AJ273" s="2">
        <v>58559</v>
      </c>
      <c r="AK273" s="2">
        <v>2217.12</v>
      </c>
      <c r="AL273" s="2">
        <v>1045.7</v>
      </c>
      <c r="AM273" s="5">
        <v>1631.41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5481.54</v>
      </c>
      <c r="AT273" s="12">
        <v>4894.2299999999996</v>
      </c>
      <c r="AU273" s="2">
        <v>97.88</v>
      </c>
      <c r="AV273" s="5">
        <v>0</v>
      </c>
      <c r="AX273" s="2">
        <v>124159</v>
      </c>
      <c r="AY273" s="2">
        <v>58559</v>
      </c>
      <c r="AZ273" s="2">
        <v>2217.12</v>
      </c>
      <c r="BA273" s="2">
        <v>1045.7</v>
      </c>
      <c r="BB273" s="5">
        <v>1631.41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5481.54</v>
      </c>
      <c r="BI273" s="12">
        <v>4894.2299999999996</v>
      </c>
      <c r="BJ273" s="2">
        <v>97.88</v>
      </c>
      <c r="BL273" s="1" t="s">
        <v>90</v>
      </c>
    </row>
    <row r="274" spans="1:64" x14ac:dyDescent="0.3">
      <c r="A274" t="s">
        <v>446</v>
      </c>
      <c r="B274" s="1" t="s">
        <v>446</v>
      </c>
      <c r="C274" s="9" t="s">
        <v>447</v>
      </c>
      <c r="D274" s="1" t="s">
        <v>44</v>
      </c>
      <c r="E274" s="1" t="s">
        <v>88</v>
      </c>
      <c r="F274" s="10" t="s">
        <v>178</v>
      </c>
      <c r="G274" s="1">
        <v>2.5000000000000001E-2</v>
      </c>
      <c r="H274" s="1">
        <v>0.02</v>
      </c>
      <c r="I274" s="8">
        <v>44092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366391.82999999996</v>
      </c>
      <c r="AJ274" s="2">
        <v>79584.97</v>
      </c>
      <c r="AK274" s="2">
        <v>6542.71</v>
      </c>
      <c r="AL274" s="2">
        <v>1421.16</v>
      </c>
      <c r="AM274" s="5">
        <v>3981.94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13379.31</v>
      </c>
      <c r="AT274" s="12">
        <v>11945.81</v>
      </c>
      <c r="AU274" s="2">
        <v>238.92</v>
      </c>
      <c r="AV274" s="5">
        <v>0</v>
      </c>
      <c r="AX274" s="2">
        <v>366391.82999999996</v>
      </c>
      <c r="AY274" s="2">
        <v>79584.97</v>
      </c>
      <c r="AZ274" s="2">
        <v>6542.71</v>
      </c>
      <c r="BA274" s="2">
        <v>1421.16</v>
      </c>
      <c r="BB274" s="5">
        <v>3981.94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13379.31</v>
      </c>
      <c r="BI274" s="12">
        <v>11945.81</v>
      </c>
      <c r="BJ274" s="2">
        <v>238.92</v>
      </c>
      <c r="BL274" s="1" t="s">
        <v>90</v>
      </c>
    </row>
    <row r="275" spans="1:64" x14ac:dyDescent="0.3">
      <c r="A275" t="s">
        <v>454</v>
      </c>
      <c r="B275" s="1" t="s">
        <v>454</v>
      </c>
      <c r="C275" s="9" t="s">
        <v>455</v>
      </c>
      <c r="D275" s="1" t="s">
        <v>44</v>
      </c>
      <c r="E275" s="1" t="s">
        <v>88</v>
      </c>
      <c r="F275" s="10" t="s">
        <v>188</v>
      </c>
      <c r="G275" s="1">
        <v>2.5000000000000001E-2</v>
      </c>
      <c r="H275" s="1">
        <v>0.02</v>
      </c>
      <c r="I275" s="8">
        <v>44272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329233.25000000006</v>
      </c>
      <c r="AJ275" s="2">
        <v>57881</v>
      </c>
      <c r="AK275" s="2">
        <v>5879.17</v>
      </c>
      <c r="AL275" s="2">
        <v>1033.5899999999999</v>
      </c>
      <c r="AM275" s="5">
        <v>3456.37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11613.43</v>
      </c>
      <c r="AT275" s="12">
        <v>10369.130000000001</v>
      </c>
      <c r="AU275" s="2">
        <v>207.38</v>
      </c>
      <c r="AV275" s="5">
        <v>0</v>
      </c>
      <c r="AX275" s="2">
        <v>329233.25000000006</v>
      </c>
      <c r="AY275" s="2">
        <v>57881</v>
      </c>
      <c r="AZ275" s="2">
        <v>5879.17</v>
      </c>
      <c r="BA275" s="2">
        <v>1033.5899999999999</v>
      </c>
      <c r="BB275" s="5">
        <v>3456.37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11613.43</v>
      </c>
      <c r="BI275" s="12">
        <v>10369.130000000001</v>
      </c>
      <c r="BJ275" s="2">
        <v>207.38</v>
      </c>
      <c r="BL275" s="1" t="s">
        <v>90</v>
      </c>
    </row>
    <row r="276" spans="1:64" x14ac:dyDescent="0.3">
      <c r="A276" t="s">
        <v>454</v>
      </c>
      <c r="B276" s="1" t="s">
        <v>456</v>
      </c>
      <c r="C276" s="9" t="s">
        <v>457</v>
      </c>
      <c r="D276" s="1" t="s">
        <v>44</v>
      </c>
      <c r="E276" s="1" t="s">
        <v>88</v>
      </c>
      <c r="F276" s="10" t="s">
        <v>188</v>
      </c>
      <c r="G276" s="1">
        <v>0</v>
      </c>
      <c r="H276" s="1">
        <v>0.02</v>
      </c>
      <c r="I276" s="8">
        <v>44272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126437</v>
      </c>
      <c r="AJ276" s="2">
        <v>39548</v>
      </c>
      <c r="AK276" s="2">
        <v>2257.8000000000002</v>
      </c>
      <c r="AL276" s="2">
        <v>706.21</v>
      </c>
      <c r="AM276" s="5">
        <v>1482.01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4979.54</v>
      </c>
      <c r="AT276" s="12">
        <v>4446.0200000000004</v>
      </c>
      <c r="AU276" s="2">
        <v>88.92</v>
      </c>
      <c r="AV276" s="5">
        <v>0</v>
      </c>
      <c r="AX276" s="2">
        <v>126437</v>
      </c>
      <c r="AY276" s="2">
        <v>39548</v>
      </c>
      <c r="AZ276" s="2">
        <v>2257.8000000000002</v>
      </c>
      <c r="BA276" s="2">
        <v>706.21</v>
      </c>
      <c r="BB276" s="5">
        <v>1482.01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4979.54</v>
      </c>
      <c r="BI276" s="12">
        <v>4446.0200000000004</v>
      </c>
      <c r="BJ276" s="2">
        <v>88.92</v>
      </c>
      <c r="BL276" s="1" t="s">
        <v>90</v>
      </c>
    </row>
    <row r="277" spans="1:64" x14ac:dyDescent="0.3">
      <c r="A277" t="s">
        <v>454</v>
      </c>
      <c r="B277" s="1" t="s">
        <v>458</v>
      </c>
      <c r="C277" s="9" t="s">
        <v>459</v>
      </c>
      <c r="D277" s="1" t="s">
        <v>44</v>
      </c>
      <c r="E277" s="1" t="s">
        <v>88</v>
      </c>
      <c r="F277" s="10" t="s">
        <v>188</v>
      </c>
      <c r="G277" s="1">
        <v>0</v>
      </c>
      <c r="H277" s="1">
        <v>0.02</v>
      </c>
      <c r="I277" s="8">
        <v>45227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61535</v>
      </c>
      <c r="AJ277" s="2">
        <v>17321</v>
      </c>
      <c r="AK277" s="2">
        <v>1098.8399999999999</v>
      </c>
      <c r="AL277" s="2">
        <v>309.3</v>
      </c>
      <c r="AM277" s="5">
        <v>704.07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2365.6799999999998</v>
      </c>
      <c r="AT277" s="12">
        <v>2112.21</v>
      </c>
      <c r="AU277" s="2">
        <v>42.24</v>
      </c>
      <c r="AV277" s="5">
        <v>0</v>
      </c>
      <c r="AX277" s="2">
        <v>61535</v>
      </c>
      <c r="AY277" s="2">
        <v>17321</v>
      </c>
      <c r="AZ277" s="2">
        <v>1098.8399999999999</v>
      </c>
      <c r="BA277" s="2">
        <v>309.3</v>
      </c>
      <c r="BB277" s="5">
        <v>704.07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2365.6799999999998</v>
      </c>
      <c r="BI277" s="12">
        <v>2112.21</v>
      </c>
      <c r="BJ277" s="2">
        <v>42.24</v>
      </c>
      <c r="BL277" s="1" t="s">
        <v>90</v>
      </c>
    </row>
    <row r="278" spans="1:64" x14ac:dyDescent="0.3">
      <c r="A278" t="s">
        <v>498</v>
      </c>
      <c r="B278" s="1" t="s">
        <v>498</v>
      </c>
      <c r="C278" s="9" t="s">
        <v>499</v>
      </c>
      <c r="D278" s="1" t="s">
        <v>44</v>
      </c>
      <c r="E278" s="1" t="s">
        <v>88</v>
      </c>
      <c r="F278" s="10" t="s">
        <v>178</v>
      </c>
      <c r="G278" s="1">
        <v>3.5000000000000003E-2</v>
      </c>
      <c r="H278" s="1">
        <v>0.02</v>
      </c>
      <c r="I278" s="8">
        <v>45069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391286</v>
      </c>
      <c r="AJ278" s="2">
        <v>78281</v>
      </c>
      <c r="AK278" s="2">
        <v>6987.25</v>
      </c>
      <c r="AL278" s="2">
        <v>1397.87</v>
      </c>
      <c r="AM278" s="5">
        <v>4192.5600000000004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14087</v>
      </c>
      <c r="AT278" s="12">
        <v>12577.68</v>
      </c>
      <c r="AU278" s="2">
        <v>251.55</v>
      </c>
      <c r="AV278" s="5">
        <v>0</v>
      </c>
      <c r="AX278" s="2">
        <v>391286</v>
      </c>
      <c r="AY278" s="2">
        <v>78281</v>
      </c>
      <c r="AZ278" s="2">
        <v>6987.25</v>
      </c>
      <c r="BA278" s="2">
        <v>1397.87</v>
      </c>
      <c r="BB278" s="5">
        <v>4192.5600000000004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14087</v>
      </c>
      <c r="BI278" s="12">
        <v>12577.68</v>
      </c>
      <c r="BJ278" s="2">
        <v>251.55</v>
      </c>
      <c r="BL278" s="1" t="s">
        <v>90</v>
      </c>
    </row>
    <row r="279" spans="1:64" x14ac:dyDescent="0.3">
      <c r="A279" t="s">
        <v>518</v>
      </c>
      <c r="B279" s="1" t="s">
        <v>518</v>
      </c>
      <c r="C279" s="9" t="s">
        <v>519</v>
      </c>
      <c r="D279" s="1" t="s">
        <v>44</v>
      </c>
      <c r="E279" s="1" t="s">
        <v>88</v>
      </c>
      <c r="F279" s="10" t="s">
        <v>89</v>
      </c>
      <c r="G279" s="1">
        <v>2.5000000000000001E-2</v>
      </c>
      <c r="H279" s="1">
        <v>0.02</v>
      </c>
      <c r="I279" s="8">
        <v>45437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387905</v>
      </c>
      <c r="AJ279" s="2">
        <v>109791</v>
      </c>
      <c r="AK279" s="2">
        <v>6926.88</v>
      </c>
      <c r="AL279" s="2">
        <v>1960.55</v>
      </c>
      <c r="AM279" s="5">
        <v>4443.71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14930.88</v>
      </c>
      <c r="AT279" s="12">
        <v>13331.14</v>
      </c>
      <c r="AU279" s="2">
        <v>266.62</v>
      </c>
      <c r="AV279" s="5">
        <v>0</v>
      </c>
      <c r="AX279" s="2">
        <v>387905</v>
      </c>
      <c r="AY279" s="2">
        <v>109791</v>
      </c>
      <c r="AZ279" s="2">
        <v>6926.88</v>
      </c>
      <c r="BA279" s="2">
        <v>1960.55</v>
      </c>
      <c r="BB279" s="5">
        <v>4443.71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14930.88</v>
      </c>
      <c r="BI279" s="12">
        <v>13331.14</v>
      </c>
      <c r="BJ279" s="2">
        <v>266.62</v>
      </c>
      <c r="BL279" s="1" t="s">
        <v>90</v>
      </c>
    </row>
    <row r="280" spans="1:64" x14ac:dyDescent="0.3">
      <c r="A280" t="s">
        <v>518</v>
      </c>
      <c r="B280" s="1" t="s">
        <v>520</v>
      </c>
      <c r="C280" s="9" t="s">
        <v>521</v>
      </c>
      <c r="D280" s="1" t="s">
        <v>44</v>
      </c>
      <c r="E280" s="1" t="s">
        <v>88</v>
      </c>
      <c r="F280" s="10" t="s">
        <v>89</v>
      </c>
      <c r="G280" s="1">
        <v>2.5000000000000001E-2</v>
      </c>
      <c r="H280" s="1">
        <v>0.02</v>
      </c>
      <c r="I280" s="8">
        <v>45437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99313</v>
      </c>
      <c r="AJ280" s="2">
        <v>40939</v>
      </c>
      <c r="AK280" s="2">
        <v>1773.45</v>
      </c>
      <c r="AL280" s="2">
        <v>731.05</v>
      </c>
      <c r="AM280" s="5">
        <v>1252.25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4207.5600000000004</v>
      </c>
      <c r="AT280" s="12">
        <v>3756.75</v>
      </c>
      <c r="AU280" s="2">
        <v>75.14</v>
      </c>
      <c r="AV280" s="5">
        <v>0</v>
      </c>
      <c r="AX280" s="2">
        <v>99313</v>
      </c>
      <c r="AY280" s="2">
        <v>40939</v>
      </c>
      <c r="AZ280" s="2">
        <v>1773.45</v>
      </c>
      <c r="BA280" s="2">
        <v>731.05</v>
      </c>
      <c r="BB280" s="5">
        <v>1252.25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4207.5600000000004</v>
      </c>
      <c r="BI280" s="12">
        <v>3756.75</v>
      </c>
      <c r="BJ280" s="2">
        <v>75.14</v>
      </c>
      <c r="BL280" s="1" t="s">
        <v>90</v>
      </c>
    </row>
    <row r="281" spans="1:64" x14ac:dyDescent="0.3">
      <c r="A281" t="s">
        <v>518</v>
      </c>
      <c r="B281" s="1" t="s">
        <v>522</v>
      </c>
      <c r="C281" s="9" t="s">
        <v>523</v>
      </c>
      <c r="D281" s="1" t="s">
        <v>44</v>
      </c>
      <c r="E281" s="1" t="s">
        <v>88</v>
      </c>
      <c r="F281" s="10" t="s">
        <v>89</v>
      </c>
      <c r="G281" s="1">
        <v>0</v>
      </c>
      <c r="H281" s="1">
        <v>0.02</v>
      </c>
      <c r="I281" s="8">
        <v>45157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74062</v>
      </c>
      <c r="AJ281" s="2">
        <v>9807</v>
      </c>
      <c r="AK281" s="2">
        <v>1322.54</v>
      </c>
      <c r="AL281" s="2">
        <v>175.12</v>
      </c>
      <c r="AM281" s="5">
        <v>748.83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2516.0700000000002</v>
      </c>
      <c r="AT281" s="12">
        <v>2246.4899999999998</v>
      </c>
      <c r="AU281" s="2">
        <v>44.93</v>
      </c>
      <c r="AV281" s="5">
        <v>0</v>
      </c>
      <c r="AX281" s="2">
        <v>74062</v>
      </c>
      <c r="AY281" s="2">
        <v>9807</v>
      </c>
      <c r="AZ281" s="2">
        <v>1322.54</v>
      </c>
      <c r="BA281" s="2">
        <v>175.12</v>
      </c>
      <c r="BB281" s="5">
        <v>748.83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2516.0700000000002</v>
      </c>
      <c r="BI281" s="12">
        <v>2246.4899999999998</v>
      </c>
      <c r="BJ281" s="2">
        <v>44.93</v>
      </c>
      <c r="BL281" s="1" t="s">
        <v>90</v>
      </c>
    </row>
    <row r="282" spans="1:64" x14ac:dyDescent="0.3">
      <c r="A282" t="s">
        <v>569</v>
      </c>
      <c r="B282" s="1" t="s">
        <v>569</v>
      </c>
      <c r="C282" s="9" t="s">
        <v>570</v>
      </c>
      <c r="D282" s="1" t="s">
        <v>44</v>
      </c>
      <c r="E282" s="1" t="s">
        <v>88</v>
      </c>
      <c r="F282" s="10" t="s">
        <v>104</v>
      </c>
      <c r="G282" s="1">
        <v>2.5000000000000001E-2</v>
      </c>
      <c r="H282" s="1">
        <v>0.02</v>
      </c>
      <c r="I282" s="8">
        <v>44228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1143488</v>
      </c>
      <c r="AJ282" s="2">
        <v>267557.25</v>
      </c>
      <c r="AK282" s="2">
        <v>20419.43</v>
      </c>
      <c r="AL282" s="2">
        <v>4777.8</v>
      </c>
      <c r="AM282" s="5">
        <v>12598.62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42331.35</v>
      </c>
      <c r="AT282" s="12">
        <v>37795.85</v>
      </c>
      <c r="AU282" s="2">
        <v>755.92</v>
      </c>
      <c r="AV282" s="5">
        <v>0</v>
      </c>
      <c r="AX282" s="2">
        <v>1143488</v>
      </c>
      <c r="AY282" s="2">
        <v>267557.25</v>
      </c>
      <c r="AZ282" s="2">
        <v>20419.43</v>
      </c>
      <c r="BA282" s="2">
        <v>4777.8</v>
      </c>
      <c r="BB282" s="5">
        <v>12598.62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42331.35</v>
      </c>
      <c r="BI282" s="12">
        <v>37795.85</v>
      </c>
      <c r="BJ282" s="2">
        <v>755.92</v>
      </c>
      <c r="BL282" s="1" t="s">
        <v>90</v>
      </c>
    </row>
    <row r="283" spans="1:64" x14ac:dyDescent="0.3">
      <c r="A283" t="s">
        <v>586</v>
      </c>
      <c r="B283" s="1" t="s">
        <v>586</v>
      </c>
      <c r="C283" s="9" t="s">
        <v>587</v>
      </c>
      <c r="D283" s="1" t="s">
        <v>44</v>
      </c>
      <c r="E283" s="1" t="s">
        <v>88</v>
      </c>
      <c r="F283" s="10" t="s">
        <v>104</v>
      </c>
      <c r="G283" s="1">
        <v>2.5000000000000001E-2</v>
      </c>
      <c r="H283" s="1">
        <v>0.02</v>
      </c>
      <c r="I283" s="8">
        <v>44520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716839.05</v>
      </c>
      <c r="AJ283" s="2">
        <v>286641.05</v>
      </c>
      <c r="AK283" s="2">
        <v>12800.7</v>
      </c>
      <c r="AL283" s="2">
        <v>5118.59</v>
      </c>
      <c r="AM283" s="5">
        <v>8959.64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30104.400000000001</v>
      </c>
      <c r="AT283" s="12">
        <v>26878.93</v>
      </c>
      <c r="AU283" s="2">
        <v>537.58000000000004</v>
      </c>
      <c r="AV283" s="5">
        <v>0</v>
      </c>
      <c r="AX283" s="2">
        <v>716839.05</v>
      </c>
      <c r="AY283" s="2">
        <v>286641.05</v>
      </c>
      <c r="AZ283" s="2">
        <v>12800.7</v>
      </c>
      <c r="BA283" s="2">
        <v>5118.59</v>
      </c>
      <c r="BB283" s="5">
        <v>8959.64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30104.400000000001</v>
      </c>
      <c r="BI283" s="12">
        <v>26878.93</v>
      </c>
      <c r="BJ283" s="2">
        <v>537.58000000000004</v>
      </c>
      <c r="BL283" s="1" t="s">
        <v>90</v>
      </c>
    </row>
    <row r="284" spans="1:64" x14ac:dyDescent="0.3">
      <c r="A284" t="s">
        <v>624</v>
      </c>
      <c r="B284" s="1" t="s">
        <v>625</v>
      </c>
      <c r="C284" s="9" t="s">
        <v>626</v>
      </c>
      <c r="D284" s="1" t="s">
        <v>44</v>
      </c>
      <c r="E284" s="1" t="s">
        <v>88</v>
      </c>
      <c r="F284" s="10" t="s">
        <v>181</v>
      </c>
      <c r="G284" s="1">
        <v>3.5000000000000003E-2</v>
      </c>
      <c r="H284" s="1">
        <v>0.02</v>
      </c>
      <c r="I284" s="8">
        <v>44805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0</v>
      </c>
      <c r="AJ284" s="2">
        <v>0</v>
      </c>
      <c r="AK284" s="2">
        <v>0</v>
      </c>
      <c r="AL284" s="2">
        <v>0</v>
      </c>
      <c r="AM284" s="5">
        <v>0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0</v>
      </c>
      <c r="AT284" s="12">
        <v>0</v>
      </c>
      <c r="AU284" s="2">
        <v>0</v>
      </c>
      <c r="AV284" s="5">
        <v>0</v>
      </c>
      <c r="AX284" s="2">
        <v>0</v>
      </c>
      <c r="AY284" s="2">
        <v>0</v>
      </c>
      <c r="AZ284" s="2">
        <v>0</v>
      </c>
      <c r="BA284" s="2">
        <v>0</v>
      </c>
      <c r="BB284" s="5">
        <v>0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0</v>
      </c>
      <c r="BI284" s="12">
        <v>0</v>
      </c>
      <c r="BJ284" s="2">
        <v>0</v>
      </c>
      <c r="BL284" s="1" t="s">
        <v>90</v>
      </c>
    </row>
    <row r="285" spans="1:64" x14ac:dyDescent="0.3">
      <c r="A285" t="s">
        <v>629</v>
      </c>
      <c r="B285" s="1" t="s">
        <v>629</v>
      </c>
      <c r="C285" s="9" t="s">
        <v>630</v>
      </c>
      <c r="D285" s="1" t="s">
        <v>44</v>
      </c>
      <c r="E285" s="1" t="s">
        <v>88</v>
      </c>
      <c r="F285" s="10" t="s">
        <v>89</v>
      </c>
      <c r="G285" s="1">
        <v>3.5000000000000003E-2</v>
      </c>
      <c r="H285" s="1">
        <v>0.02</v>
      </c>
      <c r="I285" s="8">
        <v>45046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500397.55</v>
      </c>
      <c r="AJ285" s="2">
        <v>90936.1</v>
      </c>
      <c r="AK285" s="2">
        <v>8935.67</v>
      </c>
      <c r="AL285" s="2">
        <v>1623.86</v>
      </c>
      <c r="AM285" s="5">
        <v>5279.77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17740.02</v>
      </c>
      <c r="AT285" s="12">
        <v>15839.300000000001</v>
      </c>
      <c r="AU285" s="2">
        <v>316.79000000000002</v>
      </c>
      <c r="AV285" s="5">
        <v>0</v>
      </c>
      <c r="AX285" s="2">
        <v>500397.55</v>
      </c>
      <c r="AY285" s="2">
        <v>90936.1</v>
      </c>
      <c r="AZ285" s="2">
        <v>8935.67</v>
      </c>
      <c r="BA285" s="2">
        <v>1623.86</v>
      </c>
      <c r="BB285" s="5">
        <v>5279.77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17740.02</v>
      </c>
      <c r="BI285" s="12">
        <v>15839.300000000001</v>
      </c>
      <c r="BJ285" s="2">
        <v>316.79000000000002</v>
      </c>
      <c r="BL285" s="1" t="s">
        <v>90</v>
      </c>
    </row>
    <row r="286" spans="1:64" x14ac:dyDescent="0.3">
      <c r="A286" t="s">
        <v>629</v>
      </c>
      <c r="B286" s="1" t="s">
        <v>631</v>
      </c>
      <c r="C286" s="9" t="s">
        <v>632</v>
      </c>
      <c r="D286" s="1" t="s">
        <v>44</v>
      </c>
      <c r="E286" s="1" t="s">
        <v>88</v>
      </c>
      <c r="F286" s="10" t="s">
        <v>89</v>
      </c>
      <c r="G286" s="1">
        <v>3.5000000000000003E-2</v>
      </c>
      <c r="H286" s="1">
        <v>0.02</v>
      </c>
      <c r="I286" s="8">
        <v>45046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136908</v>
      </c>
      <c r="AJ286" s="2">
        <v>40233</v>
      </c>
      <c r="AK286" s="2">
        <v>2444.79</v>
      </c>
      <c r="AL286" s="2">
        <v>718.45</v>
      </c>
      <c r="AM286" s="5">
        <v>1581.62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5314.24</v>
      </c>
      <c r="AT286" s="12">
        <v>4744.8599999999997</v>
      </c>
      <c r="AU286" s="2">
        <v>94.9</v>
      </c>
      <c r="AV286" s="5">
        <v>0</v>
      </c>
      <c r="AX286" s="2">
        <v>136908</v>
      </c>
      <c r="AY286" s="2">
        <v>40233</v>
      </c>
      <c r="AZ286" s="2">
        <v>2444.79</v>
      </c>
      <c r="BA286" s="2">
        <v>718.45</v>
      </c>
      <c r="BB286" s="5">
        <v>1581.62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5314.24</v>
      </c>
      <c r="BI286" s="12">
        <v>4744.8599999999997</v>
      </c>
      <c r="BJ286" s="2">
        <v>94.9</v>
      </c>
      <c r="BL286" s="1" t="s">
        <v>90</v>
      </c>
    </row>
    <row r="287" spans="1:64" x14ac:dyDescent="0.3">
      <c r="A287" t="s">
        <v>629</v>
      </c>
      <c r="B287" s="1" t="s">
        <v>633</v>
      </c>
      <c r="C287" s="9" t="s">
        <v>634</v>
      </c>
      <c r="D287" s="1" t="s">
        <v>44</v>
      </c>
      <c r="E287" s="1" t="s">
        <v>88</v>
      </c>
      <c r="F287" s="10" t="s">
        <v>89</v>
      </c>
      <c r="G287" s="1">
        <v>0</v>
      </c>
      <c r="H287" s="1">
        <v>0.02</v>
      </c>
      <c r="I287" s="8">
        <v>45254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47116</v>
      </c>
      <c r="AJ287" s="2">
        <v>22022</v>
      </c>
      <c r="AK287" s="2">
        <v>841.36</v>
      </c>
      <c r="AL287" s="2">
        <v>393.25</v>
      </c>
      <c r="AM287" s="5">
        <v>617.29999999999995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2074.14</v>
      </c>
      <c r="AT287" s="12">
        <v>1851.91</v>
      </c>
      <c r="AU287" s="2">
        <v>37.04</v>
      </c>
      <c r="AV287" s="5">
        <v>0</v>
      </c>
      <c r="AX287" s="2">
        <v>47116</v>
      </c>
      <c r="AY287" s="2">
        <v>22022</v>
      </c>
      <c r="AZ287" s="2">
        <v>841.36</v>
      </c>
      <c r="BA287" s="2">
        <v>393.25</v>
      </c>
      <c r="BB287" s="5">
        <v>617.29999999999995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2074.14</v>
      </c>
      <c r="BI287" s="12">
        <v>1851.91</v>
      </c>
      <c r="BJ287" s="2">
        <v>37.04</v>
      </c>
      <c r="BL287" s="1" t="s">
        <v>90</v>
      </c>
    </row>
    <row r="288" spans="1:64" x14ac:dyDescent="0.3">
      <c r="A288" t="s">
        <v>644</v>
      </c>
      <c r="B288" s="1" t="s">
        <v>644</v>
      </c>
      <c r="C288" s="9" t="s">
        <v>645</v>
      </c>
      <c r="D288" s="1" t="s">
        <v>44</v>
      </c>
      <c r="E288" s="1" t="s">
        <v>88</v>
      </c>
      <c r="F288" s="10" t="s">
        <v>188</v>
      </c>
      <c r="G288" s="1">
        <v>0</v>
      </c>
      <c r="H288" s="1">
        <v>0.02</v>
      </c>
      <c r="I288" s="8">
        <v>45153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563609.97</v>
      </c>
      <c r="AJ288" s="2">
        <v>104185.37</v>
      </c>
      <c r="AK288" s="2">
        <v>10064.459999999999</v>
      </c>
      <c r="AL288" s="2">
        <v>1860.46</v>
      </c>
      <c r="AM288" s="5">
        <v>5962.46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20033.87</v>
      </c>
      <c r="AT288" s="12">
        <v>17887.379999999997</v>
      </c>
      <c r="AU288" s="2">
        <v>357.75</v>
      </c>
      <c r="AV288" s="5">
        <v>0</v>
      </c>
      <c r="AX288" s="2">
        <v>563609.97</v>
      </c>
      <c r="AY288" s="2">
        <v>104185.37</v>
      </c>
      <c r="AZ288" s="2">
        <v>10064.459999999999</v>
      </c>
      <c r="BA288" s="2">
        <v>1860.46</v>
      </c>
      <c r="BB288" s="5">
        <v>5962.46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20033.87</v>
      </c>
      <c r="BI288" s="12">
        <v>17887.379999999997</v>
      </c>
      <c r="BJ288" s="2">
        <v>357.75</v>
      </c>
      <c r="BL288" s="1" t="s">
        <v>90</v>
      </c>
    </row>
    <row r="289" spans="1:64" x14ac:dyDescent="0.3">
      <c r="A289" t="s">
        <v>644</v>
      </c>
      <c r="B289" s="1" t="s">
        <v>646</v>
      </c>
      <c r="C289" s="9" t="s">
        <v>647</v>
      </c>
      <c r="D289" s="1" t="s">
        <v>44</v>
      </c>
      <c r="E289" s="1" t="s">
        <v>88</v>
      </c>
      <c r="F289" s="10" t="s">
        <v>188</v>
      </c>
      <c r="G289" s="1">
        <v>0</v>
      </c>
      <c r="H289" s="1">
        <v>0.02</v>
      </c>
      <c r="I289" s="8">
        <v>45153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115229</v>
      </c>
      <c r="AJ289" s="2">
        <v>32830</v>
      </c>
      <c r="AK289" s="2">
        <v>2057.66</v>
      </c>
      <c r="AL289" s="2">
        <v>586.25</v>
      </c>
      <c r="AM289" s="5">
        <v>1321.96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4441.7700000000004</v>
      </c>
      <c r="AT289" s="12">
        <v>3965.87</v>
      </c>
      <c r="AU289" s="2">
        <v>79.319999999999993</v>
      </c>
      <c r="AV289" s="5">
        <v>0</v>
      </c>
      <c r="AX289" s="2">
        <v>115229</v>
      </c>
      <c r="AY289" s="2">
        <v>32830</v>
      </c>
      <c r="AZ289" s="2">
        <v>2057.66</v>
      </c>
      <c r="BA289" s="2">
        <v>586.25</v>
      </c>
      <c r="BB289" s="5">
        <v>1321.96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4441.7700000000004</v>
      </c>
      <c r="BI289" s="12">
        <v>3965.87</v>
      </c>
      <c r="BJ289" s="2">
        <v>79.319999999999993</v>
      </c>
      <c r="BL289" s="1" t="s">
        <v>90</v>
      </c>
    </row>
    <row r="290" spans="1:64" x14ac:dyDescent="0.3">
      <c r="A290" t="s">
        <v>648</v>
      </c>
      <c r="B290" s="1" t="s">
        <v>648</v>
      </c>
      <c r="C290" s="9" t="s">
        <v>649</v>
      </c>
      <c r="D290" s="1" t="s">
        <v>44</v>
      </c>
      <c r="E290" s="1" t="s">
        <v>88</v>
      </c>
      <c r="F290" s="10" t="s">
        <v>178</v>
      </c>
      <c r="G290" s="1">
        <v>3.5000000000000003E-2</v>
      </c>
      <c r="H290" s="1">
        <v>0.02</v>
      </c>
      <c r="I290" s="8">
        <v>45201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215305</v>
      </c>
      <c r="AJ290" s="2">
        <v>42509</v>
      </c>
      <c r="AK290" s="2">
        <v>3844.73</v>
      </c>
      <c r="AL290" s="2">
        <v>759.09</v>
      </c>
      <c r="AM290" s="5">
        <v>2301.91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7734.42</v>
      </c>
      <c r="AT290" s="12">
        <v>6905.73</v>
      </c>
      <c r="AU290" s="2">
        <v>138.11000000000001</v>
      </c>
      <c r="AV290" s="5">
        <v>0</v>
      </c>
      <c r="AX290" s="2">
        <v>215305</v>
      </c>
      <c r="AY290" s="2">
        <v>42509</v>
      </c>
      <c r="AZ290" s="2">
        <v>3844.73</v>
      </c>
      <c r="BA290" s="2">
        <v>759.09</v>
      </c>
      <c r="BB290" s="5">
        <v>2301.91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7734.42</v>
      </c>
      <c r="BI290" s="12">
        <v>6905.73</v>
      </c>
      <c r="BJ290" s="2">
        <v>138.11000000000001</v>
      </c>
      <c r="BL290" s="1" t="s">
        <v>90</v>
      </c>
    </row>
    <row r="291" spans="1:64" x14ac:dyDescent="0.3">
      <c r="A291" t="s">
        <v>702</v>
      </c>
      <c r="B291" s="1" t="s">
        <v>702</v>
      </c>
      <c r="C291" s="9" t="s">
        <v>703</v>
      </c>
      <c r="D291" s="1" t="s">
        <v>44</v>
      </c>
      <c r="E291" s="1" t="s">
        <v>88</v>
      </c>
      <c r="F291" s="10" t="s">
        <v>104</v>
      </c>
      <c r="G291" s="1">
        <v>0</v>
      </c>
      <c r="H291" s="1">
        <v>0.02</v>
      </c>
      <c r="I291" s="8">
        <v>45777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302085.55000000005</v>
      </c>
      <c r="AJ291" s="2">
        <v>119694.75</v>
      </c>
      <c r="AK291" s="2">
        <v>179.81</v>
      </c>
      <c r="AL291" s="2">
        <v>71.25</v>
      </c>
      <c r="AM291" s="5">
        <v>3765.89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4498.9799999999996</v>
      </c>
      <c r="AT291" s="12">
        <v>4016.95</v>
      </c>
      <c r="AU291" s="2">
        <v>80.34</v>
      </c>
      <c r="AV291" s="5">
        <v>0</v>
      </c>
      <c r="AX291" s="2">
        <v>302085.55000000005</v>
      </c>
      <c r="AY291" s="2">
        <v>119694.75</v>
      </c>
      <c r="AZ291" s="2">
        <v>179.81</v>
      </c>
      <c r="BA291" s="2">
        <v>71.25</v>
      </c>
      <c r="BB291" s="5">
        <v>3765.89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4498.9799999999996</v>
      </c>
      <c r="BI291" s="12">
        <v>4016.95</v>
      </c>
      <c r="BJ291" s="2">
        <v>80.34</v>
      </c>
      <c r="BL291" s="1" t="s">
        <v>90</v>
      </c>
    </row>
    <row r="292" spans="1:64" x14ac:dyDescent="0.3">
      <c r="A292" t="s">
        <v>740</v>
      </c>
      <c r="B292" s="1" t="s">
        <v>740</v>
      </c>
      <c r="C292" s="9" t="s">
        <v>741</v>
      </c>
      <c r="D292" s="1" t="s">
        <v>44</v>
      </c>
      <c r="E292" s="1" t="s">
        <v>88</v>
      </c>
      <c r="F292" s="10" t="s">
        <v>101</v>
      </c>
      <c r="G292" s="1">
        <v>0</v>
      </c>
      <c r="H292" s="1">
        <v>0.02</v>
      </c>
      <c r="I292" s="8">
        <v>44009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298424.75000000006</v>
      </c>
      <c r="AJ292" s="2">
        <v>73293.850000000006</v>
      </c>
      <c r="AK292" s="2">
        <v>5329.02</v>
      </c>
      <c r="AL292" s="2">
        <v>1308.82</v>
      </c>
      <c r="AM292" s="5">
        <v>3318.92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11151.57</v>
      </c>
      <c r="AT292" s="12">
        <v>9956.76</v>
      </c>
      <c r="AU292" s="2">
        <v>199.14</v>
      </c>
      <c r="AV292" s="5">
        <v>0</v>
      </c>
      <c r="AX292" s="2">
        <v>298424.75000000006</v>
      </c>
      <c r="AY292" s="2">
        <v>73293.850000000006</v>
      </c>
      <c r="AZ292" s="2">
        <v>5329.02</v>
      </c>
      <c r="BA292" s="2">
        <v>1308.82</v>
      </c>
      <c r="BB292" s="5">
        <v>3318.92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11151.57</v>
      </c>
      <c r="BI292" s="12">
        <v>9956.76</v>
      </c>
      <c r="BJ292" s="2">
        <v>199.14</v>
      </c>
      <c r="BL292" s="1" t="s">
        <v>90</v>
      </c>
    </row>
    <row r="293" spans="1:64" x14ac:dyDescent="0.3">
      <c r="A293" t="s">
        <v>742</v>
      </c>
      <c r="B293" s="1" t="s">
        <v>742</v>
      </c>
      <c r="C293" s="9" t="s">
        <v>743</v>
      </c>
      <c r="D293" s="1" t="s">
        <v>44</v>
      </c>
      <c r="E293" s="1" t="s">
        <v>88</v>
      </c>
      <c r="F293" s="10" t="s">
        <v>114</v>
      </c>
      <c r="G293" s="1">
        <v>3.5000000000000003E-2</v>
      </c>
      <c r="H293" s="1">
        <v>0.02</v>
      </c>
      <c r="I293" s="8">
        <v>45083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353621.69</v>
      </c>
      <c r="AJ293" s="2">
        <v>106777.74</v>
      </c>
      <c r="AK293" s="2">
        <v>6314.67</v>
      </c>
      <c r="AL293" s="2">
        <v>1906.74</v>
      </c>
      <c r="AM293" s="5">
        <v>4110.71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13811.97</v>
      </c>
      <c r="AT293" s="12">
        <v>12332.119999999999</v>
      </c>
      <c r="AU293" s="2">
        <v>246.64</v>
      </c>
      <c r="AV293" s="5">
        <v>0</v>
      </c>
      <c r="AX293" s="2">
        <v>353621.69</v>
      </c>
      <c r="AY293" s="2">
        <v>106777.74</v>
      </c>
      <c r="AZ293" s="2">
        <v>6314.67</v>
      </c>
      <c r="BA293" s="2">
        <v>1906.74</v>
      </c>
      <c r="BB293" s="5">
        <v>4110.71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13811.97</v>
      </c>
      <c r="BI293" s="12">
        <v>12332.119999999999</v>
      </c>
      <c r="BJ293" s="2">
        <v>246.64</v>
      </c>
      <c r="BL293" s="1" t="s">
        <v>90</v>
      </c>
    </row>
    <row r="294" spans="1:64" x14ac:dyDescent="0.3">
      <c r="A294" t="s">
        <v>755</v>
      </c>
      <c r="B294" s="1" t="s">
        <v>755</v>
      </c>
      <c r="C294" s="9" t="s">
        <v>756</v>
      </c>
      <c r="D294" s="1" t="s">
        <v>44</v>
      </c>
      <c r="E294" s="1" t="s">
        <v>88</v>
      </c>
      <c r="F294" s="10" t="s">
        <v>104</v>
      </c>
      <c r="G294" s="1">
        <v>0</v>
      </c>
      <c r="H294" s="1">
        <v>0.02</v>
      </c>
      <c r="I294" s="8">
        <v>44612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498460</v>
      </c>
      <c r="AJ294" s="2">
        <v>130457</v>
      </c>
      <c r="AK294" s="2">
        <v>8901.07</v>
      </c>
      <c r="AL294" s="2">
        <v>2329.59</v>
      </c>
      <c r="AM294" s="5">
        <v>5615.33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18867.509999999998</v>
      </c>
      <c r="AT294" s="12">
        <v>16845.989999999998</v>
      </c>
      <c r="AU294" s="2">
        <v>336.92</v>
      </c>
      <c r="AV294" s="5">
        <v>0</v>
      </c>
      <c r="AX294" s="2">
        <v>498460</v>
      </c>
      <c r="AY294" s="2">
        <v>130457</v>
      </c>
      <c r="AZ294" s="2">
        <v>8901.07</v>
      </c>
      <c r="BA294" s="2">
        <v>2329.59</v>
      </c>
      <c r="BB294" s="5">
        <v>5615.33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18867.509999999998</v>
      </c>
      <c r="BI294" s="12">
        <v>16845.989999999998</v>
      </c>
      <c r="BJ294" s="2">
        <v>336.92</v>
      </c>
      <c r="BL294" s="1" t="s">
        <v>90</v>
      </c>
    </row>
    <row r="295" spans="1:64" x14ac:dyDescent="0.3">
      <c r="A295" t="s">
        <v>765</v>
      </c>
      <c r="B295" s="1" t="s">
        <v>765</v>
      </c>
      <c r="C295" s="9" t="s">
        <v>766</v>
      </c>
      <c r="D295" s="1" t="s">
        <v>44</v>
      </c>
      <c r="E295" s="1" t="s">
        <v>88</v>
      </c>
      <c r="F295" s="10" t="s">
        <v>101</v>
      </c>
      <c r="G295" s="1">
        <v>3.5000000000000003E-2</v>
      </c>
      <c r="H295" s="1">
        <v>0.02</v>
      </c>
      <c r="I295" s="8">
        <v>45003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1047475</v>
      </c>
      <c r="AJ295" s="2">
        <v>227286.31</v>
      </c>
      <c r="AK295" s="2">
        <v>18704.91</v>
      </c>
      <c r="AL295" s="2">
        <v>4058.69</v>
      </c>
      <c r="AM295" s="5">
        <v>11381.79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38242.839999999997</v>
      </c>
      <c r="AT295" s="12">
        <v>34145.39</v>
      </c>
      <c r="AU295" s="2">
        <v>682.91</v>
      </c>
      <c r="AV295" s="5">
        <v>0</v>
      </c>
      <c r="AX295" s="2">
        <v>1047475</v>
      </c>
      <c r="AY295" s="2">
        <v>227286.31</v>
      </c>
      <c r="AZ295" s="2">
        <v>18704.91</v>
      </c>
      <c r="BA295" s="2">
        <v>4058.69</v>
      </c>
      <c r="BB295" s="5">
        <v>11381.79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38242.839999999997</v>
      </c>
      <c r="BI295" s="12">
        <v>34145.39</v>
      </c>
      <c r="BJ295" s="2">
        <v>682.91</v>
      </c>
      <c r="BL295" s="1" t="s">
        <v>90</v>
      </c>
    </row>
    <row r="296" spans="1:64" x14ac:dyDescent="0.3">
      <c r="A296" t="s">
        <v>810</v>
      </c>
      <c r="B296" s="1" t="s">
        <v>810</v>
      </c>
      <c r="C296" s="9" t="s">
        <v>811</v>
      </c>
      <c r="D296" s="1" t="s">
        <v>44</v>
      </c>
      <c r="E296" s="1" t="s">
        <v>88</v>
      </c>
      <c r="F296" s="10" t="s">
        <v>104</v>
      </c>
      <c r="G296" s="1">
        <v>0</v>
      </c>
      <c r="H296" s="1">
        <v>0.02</v>
      </c>
      <c r="I296" s="8">
        <v>44936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165579</v>
      </c>
      <c r="AJ296" s="2">
        <v>56670</v>
      </c>
      <c r="AK296" s="2">
        <v>2956.77</v>
      </c>
      <c r="AL296" s="2">
        <v>1011.96</v>
      </c>
      <c r="AM296" s="5">
        <v>1984.37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6667.47</v>
      </c>
      <c r="AT296" s="12">
        <v>5953.1</v>
      </c>
      <c r="AU296" s="2">
        <v>119.06</v>
      </c>
      <c r="AV296" s="5">
        <v>0</v>
      </c>
      <c r="AX296" s="2">
        <v>165579</v>
      </c>
      <c r="AY296" s="2">
        <v>56670</v>
      </c>
      <c r="AZ296" s="2">
        <v>2956.77</v>
      </c>
      <c r="BA296" s="2">
        <v>1011.96</v>
      </c>
      <c r="BB296" s="5">
        <v>1984.37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6667.47</v>
      </c>
      <c r="BI296" s="12">
        <v>5953.1</v>
      </c>
      <c r="BJ296" s="2">
        <v>119.06</v>
      </c>
      <c r="BL296" s="1" t="s">
        <v>90</v>
      </c>
    </row>
    <row r="297" spans="1:64" x14ac:dyDescent="0.3">
      <c r="A297" t="s">
        <v>836</v>
      </c>
      <c r="B297" s="1" t="s">
        <v>836</v>
      </c>
      <c r="C297" s="9" t="s">
        <v>837</v>
      </c>
      <c r="D297" s="1" t="s">
        <v>44</v>
      </c>
      <c r="E297" s="1" t="s">
        <v>88</v>
      </c>
      <c r="F297" s="10" t="s">
        <v>181</v>
      </c>
      <c r="G297" s="1">
        <v>0</v>
      </c>
      <c r="H297" s="1">
        <v>0.02</v>
      </c>
      <c r="I297" s="8">
        <v>45641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435213.4</v>
      </c>
      <c r="AJ297" s="2">
        <v>135605</v>
      </c>
      <c r="AK297" s="2">
        <v>7771.67</v>
      </c>
      <c r="AL297" s="2">
        <v>2421.52</v>
      </c>
      <c r="AM297" s="5">
        <v>5096.59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17124.55</v>
      </c>
      <c r="AT297" s="12">
        <v>15289.78</v>
      </c>
      <c r="AU297" s="2">
        <v>305.8</v>
      </c>
      <c r="AV297" s="5">
        <v>0</v>
      </c>
      <c r="AX297" s="2">
        <v>435213.4</v>
      </c>
      <c r="AY297" s="2">
        <v>135605</v>
      </c>
      <c r="AZ297" s="2">
        <v>7771.67</v>
      </c>
      <c r="BA297" s="2">
        <v>2421.52</v>
      </c>
      <c r="BB297" s="5">
        <v>5096.59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17124.55</v>
      </c>
      <c r="BI297" s="12">
        <v>15289.78</v>
      </c>
      <c r="BJ297" s="2">
        <v>305.8</v>
      </c>
      <c r="BL297" s="1" t="s">
        <v>90</v>
      </c>
    </row>
    <row r="298" spans="1:64" x14ac:dyDescent="0.3">
      <c r="A298" t="s">
        <v>836</v>
      </c>
      <c r="B298" s="1" t="s">
        <v>838</v>
      </c>
      <c r="C298" s="9" t="s">
        <v>839</v>
      </c>
      <c r="D298" s="1" t="s">
        <v>44</v>
      </c>
      <c r="E298" s="1" t="s">
        <v>88</v>
      </c>
      <c r="F298" s="10" t="s">
        <v>181</v>
      </c>
      <c r="G298" s="1">
        <v>0</v>
      </c>
      <c r="H298" s="1">
        <v>0.02</v>
      </c>
      <c r="I298" s="8">
        <v>45641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344105.75</v>
      </c>
      <c r="AJ298" s="2">
        <v>61649</v>
      </c>
      <c r="AK298" s="2">
        <v>6144.75</v>
      </c>
      <c r="AL298" s="2">
        <v>1100.8800000000001</v>
      </c>
      <c r="AM298" s="5">
        <v>3622.81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12172.65</v>
      </c>
      <c r="AT298" s="12">
        <v>10868.44</v>
      </c>
      <c r="AU298" s="2">
        <v>217.37</v>
      </c>
      <c r="AV298" s="5">
        <v>0</v>
      </c>
      <c r="AX298" s="2">
        <v>344105.75</v>
      </c>
      <c r="AY298" s="2">
        <v>61649</v>
      </c>
      <c r="AZ298" s="2">
        <v>6144.75</v>
      </c>
      <c r="BA298" s="2">
        <v>1100.8800000000001</v>
      </c>
      <c r="BB298" s="5">
        <v>3622.81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12172.65</v>
      </c>
      <c r="BI298" s="12">
        <v>10868.44</v>
      </c>
      <c r="BJ298" s="2">
        <v>217.37</v>
      </c>
      <c r="BL298" s="1" t="s">
        <v>90</v>
      </c>
    </row>
    <row r="299" spans="1:64" x14ac:dyDescent="0.3">
      <c r="A299" t="s">
        <v>836</v>
      </c>
      <c r="B299" s="1" t="s">
        <v>840</v>
      </c>
      <c r="C299" s="9" t="s">
        <v>841</v>
      </c>
      <c r="D299" s="1" t="s">
        <v>44</v>
      </c>
      <c r="E299" s="1" t="s">
        <v>88</v>
      </c>
      <c r="F299" s="10" t="s">
        <v>181</v>
      </c>
      <c r="G299" s="1">
        <v>0</v>
      </c>
      <c r="H299" s="1">
        <v>0.02</v>
      </c>
      <c r="I299" s="8">
        <v>45641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92627</v>
      </c>
      <c r="AJ299" s="2">
        <v>15752</v>
      </c>
      <c r="AK299" s="2">
        <v>1654.05</v>
      </c>
      <c r="AL299" s="2">
        <v>281.29000000000002</v>
      </c>
      <c r="AM299" s="5">
        <v>967.67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3251.37</v>
      </c>
      <c r="AT299" s="12">
        <v>2903.0099999999998</v>
      </c>
      <c r="AU299" s="2">
        <v>58.06</v>
      </c>
      <c r="AV299" s="5">
        <v>0</v>
      </c>
      <c r="AX299" s="2">
        <v>92627</v>
      </c>
      <c r="AY299" s="2">
        <v>15752</v>
      </c>
      <c r="AZ299" s="2">
        <v>1654.05</v>
      </c>
      <c r="BA299" s="2">
        <v>281.29000000000002</v>
      </c>
      <c r="BB299" s="5">
        <v>967.67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3251.37</v>
      </c>
      <c r="BI299" s="12">
        <v>2903.0099999999998</v>
      </c>
      <c r="BJ299" s="2">
        <v>58.06</v>
      </c>
      <c r="BL299" s="1" t="s">
        <v>90</v>
      </c>
    </row>
    <row r="300" spans="1:64" x14ac:dyDescent="0.3">
      <c r="A300" t="s">
        <v>842</v>
      </c>
      <c r="B300" s="1" t="s">
        <v>842</v>
      </c>
      <c r="C300" s="9" t="s">
        <v>843</v>
      </c>
      <c r="D300" s="1" t="s">
        <v>44</v>
      </c>
      <c r="E300" s="1" t="s">
        <v>88</v>
      </c>
      <c r="F300" s="10" t="s">
        <v>178</v>
      </c>
      <c r="G300" s="1">
        <v>0</v>
      </c>
      <c r="H300" s="1">
        <v>0.02</v>
      </c>
      <c r="I300" s="8">
        <v>44878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403820.5</v>
      </c>
      <c r="AJ300" s="2">
        <v>116760</v>
      </c>
      <c r="AK300" s="2">
        <v>7211.08</v>
      </c>
      <c r="AL300" s="2">
        <v>2085</v>
      </c>
      <c r="AM300" s="5">
        <v>4648.04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15617.41</v>
      </c>
      <c r="AT300" s="12">
        <v>13944.119999999999</v>
      </c>
      <c r="AU300" s="2">
        <v>278.88</v>
      </c>
      <c r="AV300" s="5">
        <v>0</v>
      </c>
      <c r="AX300" s="2">
        <v>403820.5</v>
      </c>
      <c r="AY300" s="2">
        <v>116760</v>
      </c>
      <c r="AZ300" s="2">
        <v>7211.08</v>
      </c>
      <c r="BA300" s="2">
        <v>2085</v>
      </c>
      <c r="BB300" s="5">
        <v>4648.04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15617.41</v>
      </c>
      <c r="BI300" s="12">
        <v>13944.119999999999</v>
      </c>
      <c r="BJ300" s="2">
        <v>278.88</v>
      </c>
      <c r="BL300" s="1" t="s">
        <v>90</v>
      </c>
    </row>
    <row r="301" spans="1:64" x14ac:dyDescent="0.3">
      <c r="A301" t="s">
        <v>846</v>
      </c>
      <c r="B301" s="1" t="s">
        <v>846</v>
      </c>
      <c r="C301" s="9" t="s">
        <v>847</v>
      </c>
      <c r="D301" s="1" t="s">
        <v>44</v>
      </c>
      <c r="E301" s="1" t="s">
        <v>88</v>
      </c>
      <c r="F301" s="10" t="s">
        <v>848</v>
      </c>
      <c r="G301" s="1">
        <v>0</v>
      </c>
      <c r="H301" s="1">
        <v>0.02</v>
      </c>
      <c r="I301" s="8">
        <v>44009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212544</v>
      </c>
      <c r="AJ301" s="2">
        <v>42314</v>
      </c>
      <c r="AK301" s="2">
        <v>3795.43</v>
      </c>
      <c r="AL301" s="2">
        <v>755.61</v>
      </c>
      <c r="AM301" s="5">
        <v>2275.52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7645.75</v>
      </c>
      <c r="AT301" s="12">
        <v>6826.5599999999995</v>
      </c>
      <c r="AU301" s="2">
        <v>136.53</v>
      </c>
      <c r="AV301" s="5">
        <v>0</v>
      </c>
      <c r="AX301" s="2">
        <v>212544</v>
      </c>
      <c r="AY301" s="2">
        <v>42314</v>
      </c>
      <c r="AZ301" s="2">
        <v>3795.43</v>
      </c>
      <c r="BA301" s="2">
        <v>755.61</v>
      </c>
      <c r="BB301" s="5">
        <v>2275.52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7645.75</v>
      </c>
      <c r="BI301" s="12">
        <v>6826.5599999999995</v>
      </c>
      <c r="BJ301" s="2">
        <v>136.53</v>
      </c>
      <c r="BL301" s="1" t="s">
        <v>90</v>
      </c>
    </row>
    <row r="302" spans="1:64" x14ac:dyDescent="0.3">
      <c r="A302" t="s">
        <v>851</v>
      </c>
      <c r="B302" s="1" t="s">
        <v>851</v>
      </c>
      <c r="C302" s="9" t="s">
        <v>852</v>
      </c>
      <c r="D302" s="1" t="s">
        <v>44</v>
      </c>
      <c r="E302" s="1" t="s">
        <v>88</v>
      </c>
      <c r="F302" s="10" t="s">
        <v>853</v>
      </c>
      <c r="G302" s="1">
        <v>2.5000000000000001E-2</v>
      </c>
      <c r="H302" s="1">
        <v>0.02</v>
      </c>
      <c r="I302" s="8">
        <v>45716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215923.45</v>
      </c>
      <c r="AJ302" s="2">
        <v>93971</v>
      </c>
      <c r="AK302" s="2">
        <v>3855.78</v>
      </c>
      <c r="AL302" s="2">
        <v>1678.05</v>
      </c>
      <c r="AM302" s="5">
        <v>2766.91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9296.83</v>
      </c>
      <c r="AT302" s="12">
        <v>8300.74</v>
      </c>
      <c r="AU302" s="2">
        <v>166.01</v>
      </c>
      <c r="AV302" s="5">
        <v>0</v>
      </c>
      <c r="AX302" s="2">
        <v>215923.45</v>
      </c>
      <c r="AY302" s="2">
        <v>93971</v>
      </c>
      <c r="AZ302" s="2">
        <v>3855.78</v>
      </c>
      <c r="BA302" s="2">
        <v>1678.05</v>
      </c>
      <c r="BB302" s="5">
        <v>2766.91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9296.83</v>
      </c>
      <c r="BI302" s="12">
        <v>8300.74</v>
      </c>
      <c r="BJ302" s="2">
        <v>166.01</v>
      </c>
      <c r="BL302" s="1" t="s">
        <v>90</v>
      </c>
    </row>
    <row r="303" spans="1:64" x14ac:dyDescent="0.3">
      <c r="A303" t="s">
        <v>854</v>
      </c>
      <c r="B303" s="1" t="s">
        <v>854</v>
      </c>
      <c r="C303" s="9" t="s">
        <v>855</v>
      </c>
      <c r="D303" s="1" t="s">
        <v>44</v>
      </c>
      <c r="E303" s="1" t="s">
        <v>88</v>
      </c>
      <c r="F303" s="10" t="s">
        <v>853</v>
      </c>
      <c r="G303" s="1">
        <v>0</v>
      </c>
      <c r="H303" s="1">
        <v>0.02</v>
      </c>
      <c r="I303" s="8">
        <v>45716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164324</v>
      </c>
      <c r="AJ303" s="2">
        <v>41491</v>
      </c>
      <c r="AK303" s="2">
        <v>2934.36</v>
      </c>
      <c r="AL303" s="2">
        <v>740.91</v>
      </c>
      <c r="AM303" s="5">
        <v>1837.63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6174.45</v>
      </c>
      <c r="AT303" s="12">
        <v>5512.9</v>
      </c>
      <c r="AU303" s="2">
        <v>110.26</v>
      </c>
      <c r="AV303" s="5">
        <v>0</v>
      </c>
      <c r="AX303" s="2">
        <v>164324</v>
      </c>
      <c r="AY303" s="2">
        <v>41491</v>
      </c>
      <c r="AZ303" s="2">
        <v>2934.36</v>
      </c>
      <c r="BA303" s="2">
        <v>740.91</v>
      </c>
      <c r="BB303" s="5">
        <v>1837.63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6174.45</v>
      </c>
      <c r="BI303" s="12">
        <v>5512.9</v>
      </c>
      <c r="BJ303" s="2">
        <v>110.26</v>
      </c>
      <c r="BL303" s="1" t="s">
        <v>90</v>
      </c>
    </row>
    <row r="304" spans="1:64" x14ac:dyDescent="0.3">
      <c r="A304" t="s">
        <v>856</v>
      </c>
      <c r="B304" s="1" t="s">
        <v>856</v>
      </c>
      <c r="C304" s="9" t="s">
        <v>857</v>
      </c>
      <c r="D304" s="1" t="s">
        <v>44</v>
      </c>
      <c r="E304" s="1" t="s">
        <v>88</v>
      </c>
      <c r="F304" s="10" t="s">
        <v>848</v>
      </c>
      <c r="G304" s="1">
        <v>2.5000000000000001E-2</v>
      </c>
      <c r="H304" s="1">
        <v>0.02</v>
      </c>
      <c r="I304" s="8">
        <v>44051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224683</v>
      </c>
      <c r="AJ304" s="2">
        <v>94243</v>
      </c>
      <c r="AK304" s="2">
        <v>4012.2</v>
      </c>
      <c r="AL304" s="2">
        <v>1682.91</v>
      </c>
      <c r="AM304" s="5">
        <v>2847.55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9567.7800000000007</v>
      </c>
      <c r="AT304" s="12">
        <v>8542.66</v>
      </c>
      <c r="AU304" s="2">
        <v>170.85</v>
      </c>
      <c r="AV304" s="5">
        <v>0</v>
      </c>
      <c r="AX304" s="2">
        <v>224683</v>
      </c>
      <c r="AY304" s="2">
        <v>94243</v>
      </c>
      <c r="AZ304" s="2">
        <v>4012.2</v>
      </c>
      <c r="BA304" s="2">
        <v>1682.91</v>
      </c>
      <c r="BB304" s="5">
        <v>2847.55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9567.7800000000007</v>
      </c>
      <c r="BI304" s="12">
        <v>8542.66</v>
      </c>
      <c r="BJ304" s="2">
        <v>170.85</v>
      </c>
      <c r="BL304" s="1" t="s">
        <v>90</v>
      </c>
    </row>
    <row r="305" spans="1:64" x14ac:dyDescent="0.3">
      <c r="A305" t="s">
        <v>858</v>
      </c>
      <c r="B305" s="1" t="s">
        <v>858</v>
      </c>
      <c r="C305" s="9" t="s">
        <v>859</v>
      </c>
      <c r="D305" s="1" t="s">
        <v>44</v>
      </c>
      <c r="E305" s="1" t="s">
        <v>88</v>
      </c>
      <c r="F305" s="10" t="s">
        <v>848</v>
      </c>
      <c r="G305" s="1">
        <v>2.5000000000000001E-2</v>
      </c>
      <c r="H305" s="1">
        <v>0.02</v>
      </c>
      <c r="I305" s="8">
        <v>44054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235271</v>
      </c>
      <c r="AJ305" s="2">
        <v>38111</v>
      </c>
      <c r="AK305" s="2">
        <v>4201.2700000000004</v>
      </c>
      <c r="AL305" s="2">
        <v>680.55</v>
      </c>
      <c r="AM305" s="5">
        <v>2440.91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8201.4599999999991</v>
      </c>
      <c r="AT305" s="12">
        <v>7322.7300000000005</v>
      </c>
      <c r="AU305" s="2">
        <v>146.44999999999999</v>
      </c>
      <c r="AV305" s="5">
        <v>0</v>
      </c>
      <c r="AX305" s="2">
        <v>235271</v>
      </c>
      <c r="AY305" s="2">
        <v>38111</v>
      </c>
      <c r="AZ305" s="2">
        <v>4201.2700000000004</v>
      </c>
      <c r="BA305" s="2">
        <v>680.55</v>
      </c>
      <c r="BB305" s="5">
        <v>2440.91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8201.4599999999991</v>
      </c>
      <c r="BI305" s="12">
        <v>7322.7300000000005</v>
      </c>
      <c r="BJ305" s="2">
        <v>146.44999999999999</v>
      </c>
      <c r="BL305" s="1" t="s">
        <v>90</v>
      </c>
    </row>
    <row r="306" spans="1:64" x14ac:dyDescent="0.3">
      <c r="A306" t="s">
        <v>862</v>
      </c>
      <c r="B306" s="1" t="s">
        <v>862</v>
      </c>
      <c r="C306" s="9" t="s">
        <v>863</v>
      </c>
      <c r="D306" s="1" t="s">
        <v>44</v>
      </c>
      <c r="E306" s="1" t="s">
        <v>88</v>
      </c>
      <c r="F306" s="10" t="s">
        <v>848</v>
      </c>
      <c r="G306" s="1">
        <v>3.5000000000000003E-2</v>
      </c>
      <c r="H306" s="1">
        <v>0.02</v>
      </c>
      <c r="I306" s="8">
        <v>44009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147857</v>
      </c>
      <c r="AJ306" s="2">
        <v>29520</v>
      </c>
      <c r="AK306" s="2">
        <v>2640.3</v>
      </c>
      <c r="AL306" s="2">
        <v>527.14</v>
      </c>
      <c r="AM306" s="5">
        <v>1583.72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5321.3</v>
      </c>
      <c r="AT306" s="12">
        <v>4751.16</v>
      </c>
      <c r="AU306" s="2">
        <v>95.02</v>
      </c>
      <c r="AV306" s="5">
        <v>0</v>
      </c>
      <c r="AX306" s="2">
        <v>147857</v>
      </c>
      <c r="AY306" s="2">
        <v>29520</v>
      </c>
      <c r="AZ306" s="2">
        <v>2640.3</v>
      </c>
      <c r="BA306" s="2">
        <v>527.14</v>
      </c>
      <c r="BB306" s="5">
        <v>1583.72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5321.3</v>
      </c>
      <c r="BI306" s="12">
        <v>4751.16</v>
      </c>
      <c r="BJ306" s="2">
        <v>95.02</v>
      </c>
      <c r="BL306" s="1" t="s">
        <v>90</v>
      </c>
    </row>
    <row r="307" spans="1:64" x14ac:dyDescent="0.3">
      <c r="A307" t="s">
        <v>864</v>
      </c>
      <c r="B307" s="1" t="s">
        <v>864</v>
      </c>
      <c r="C307" s="9" t="s">
        <v>865</v>
      </c>
      <c r="D307" s="1" t="s">
        <v>44</v>
      </c>
      <c r="E307" s="1" t="s">
        <v>88</v>
      </c>
      <c r="F307" s="10" t="s">
        <v>853</v>
      </c>
      <c r="G307" s="1">
        <v>2.5000000000000001E-2</v>
      </c>
      <c r="H307" s="1">
        <v>0.02</v>
      </c>
      <c r="I307" s="8">
        <v>44204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125180</v>
      </c>
      <c r="AJ307" s="2">
        <v>54345</v>
      </c>
      <c r="AK307" s="2">
        <v>2235.36</v>
      </c>
      <c r="AL307" s="2">
        <v>970.45</v>
      </c>
      <c r="AM307" s="5">
        <v>1602.9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5385.76</v>
      </c>
      <c r="AT307" s="12">
        <v>4808.7100000000009</v>
      </c>
      <c r="AU307" s="2">
        <v>96.17</v>
      </c>
      <c r="AV307" s="5">
        <v>0</v>
      </c>
      <c r="AX307" s="2">
        <v>125180</v>
      </c>
      <c r="AY307" s="2">
        <v>54345</v>
      </c>
      <c r="AZ307" s="2">
        <v>2235.36</v>
      </c>
      <c r="BA307" s="2">
        <v>970.45</v>
      </c>
      <c r="BB307" s="5">
        <v>1602.9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5385.76</v>
      </c>
      <c r="BI307" s="12">
        <v>4808.7100000000009</v>
      </c>
      <c r="BJ307" s="2">
        <v>96.17</v>
      </c>
      <c r="BL307" s="1" t="s">
        <v>90</v>
      </c>
    </row>
    <row r="308" spans="1:64" x14ac:dyDescent="0.3">
      <c r="A308" t="s">
        <v>866</v>
      </c>
      <c r="B308" s="1" t="s">
        <v>866</v>
      </c>
      <c r="C308" s="9" t="s">
        <v>867</v>
      </c>
      <c r="D308" s="1" t="s">
        <v>44</v>
      </c>
      <c r="E308" s="1" t="s">
        <v>88</v>
      </c>
      <c r="F308" s="10" t="s">
        <v>853</v>
      </c>
      <c r="G308" s="1">
        <v>3.5000000000000003E-2</v>
      </c>
      <c r="H308" s="1">
        <v>0.02</v>
      </c>
      <c r="I308" s="8">
        <v>44661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153512</v>
      </c>
      <c r="AJ308" s="2">
        <v>41524</v>
      </c>
      <c r="AK308" s="2">
        <v>2741.29</v>
      </c>
      <c r="AL308" s="2">
        <v>741.5</v>
      </c>
      <c r="AM308" s="5">
        <v>1741.39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5851.08</v>
      </c>
      <c r="AT308" s="12">
        <v>5224.18</v>
      </c>
      <c r="AU308" s="2">
        <v>104.48</v>
      </c>
      <c r="AV308" s="5">
        <v>0</v>
      </c>
      <c r="AX308" s="2">
        <v>153512</v>
      </c>
      <c r="AY308" s="2">
        <v>41524</v>
      </c>
      <c r="AZ308" s="2">
        <v>2741.29</v>
      </c>
      <c r="BA308" s="2">
        <v>741.5</v>
      </c>
      <c r="BB308" s="5">
        <v>1741.39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5851.08</v>
      </c>
      <c r="BI308" s="12">
        <v>5224.18</v>
      </c>
      <c r="BJ308" s="2">
        <v>104.48</v>
      </c>
      <c r="BL308" s="1" t="s">
        <v>90</v>
      </c>
    </row>
    <row r="309" spans="1:64" x14ac:dyDescent="0.3">
      <c r="A309" t="s">
        <v>868</v>
      </c>
      <c r="B309" s="1" t="s">
        <v>868</v>
      </c>
      <c r="C309" s="9" t="s">
        <v>869</v>
      </c>
      <c r="D309" s="1" t="s">
        <v>44</v>
      </c>
      <c r="E309" s="1" t="s">
        <v>88</v>
      </c>
      <c r="F309" s="10" t="s">
        <v>188</v>
      </c>
      <c r="G309" s="1">
        <v>3.5000000000000003E-2</v>
      </c>
      <c r="H309" s="1">
        <v>0.02</v>
      </c>
      <c r="I309" s="8">
        <v>44755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124538</v>
      </c>
      <c r="AJ309" s="2">
        <v>52325</v>
      </c>
      <c r="AK309" s="2">
        <v>2223.89</v>
      </c>
      <c r="AL309" s="2">
        <v>934.37</v>
      </c>
      <c r="AM309" s="5">
        <v>1579.13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5305.88</v>
      </c>
      <c r="AT309" s="12">
        <v>4737.3899999999994</v>
      </c>
      <c r="AU309" s="2">
        <v>94.75</v>
      </c>
      <c r="AV309" s="5">
        <v>0</v>
      </c>
      <c r="AX309" s="2">
        <v>124538</v>
      </c>
      <c r="AY309" s="2">
        <v>52325</v>
      </c>
      <c r="AZ309" s="2">
        <v>2223.89</v>
      </c>
      <c r="BA309" s="2">
        <v>934.37</v>
      </c>
      <c r="BB309" s="5">
        <v>1579.13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5305.88</v>
      </c>
      <c r="BI309" s="12">
        <v>4737.3899999999994</v>
      </c>
      <c r="BJ309" s="2">
        <v>94.75</v>
      </c>
      <c r="BL309" s="1" t="s">
        <v>90</v>
      </c>
    </row>
    <row r="310" spans="1:64" x14ac:dyDescent="0.3">
      <c r="A310" t="s">
        <v>870</v>
      </c>
      <c r="B310" s="1" t="s">
        <v>870</v>
      </c>
      <c r="C310" s="9" t="s">
        <v>871</v>
      </c>
      <c r="D310" s="1" t="s">
        <v>44</v>
      </c>
      <c r="E310" s="1" t="s">
        <v>88</v>
      </c>
      <c r="F310" s="10" t="s">
        <v>101</v>
      </c>
      <c r="G310" s="1">
        <v>3.5000000000000003E-2</v>
      </c>
      <c r="H310" s="1">
        <v>0.02</v>
      </c>
      <c r="I310" s="8">
        <v>45003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595481.09</v>
      </c>
      <c r="AJ310" s="2">
        <v>94861</v>
      </c>
      <c r="AK310" s="2">
        <v>10633.59</v>
      </c>
      <c r="AL310" s="2">
        <v>1693.95</v>
      </c>
      <c r="AM310" s="5">
        <v>6163.77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20710.27</v>
      </c>
      <c r="AT310" s="12">
        <v>18491.310000000001</v>
      </c>
      <c r="AU310" s="2">
        <v>369.83</v>
      </c>
      <c r="AV310" s="5">
        <v>0</v>
      </c>
      <c r="AX310" s="2">
        <v>595481.09</v>
      </c>
      <c r="AY310" s="2">
        <v>94861</v>
      </c>
      <c r="AZ310" s="2">
        <v>10633.59</v>
      </c>
      <c r="BA310" s="2">
        <v>1693.95</v>
      </c>
      <c r="BB310" s="5">
        <v>6163.77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20710.27</v>
      </c>
      <c r="BI310" s="12">
        <v>18491.310000000001</v>
      </c>
      <c r="BJ310" s="2">
        <v>369.83</v>
      </c>
      <c r="BL310" s="1" t="s">
        <v>90</v>
      </c>
    </row>
    <row r="311" spans="1:64" x14ac:dyDescent="0.3">
      <c r="A311" t="s">
        <v>872</v>
      </c>
      <c r="B311" s="1" t="s">
        <v>872</v>
      </c>
      <c r="C311" s="9" t="s">
        <v>873</v>
      </c>
      <c r="D311" s="1" t="s">
        <v>44</v>
      </c>
      <c r="E311" s="1" t="s">
        <v>88</v>
      </c>
      <c r="F311" s="10" t="s">
        <v>89</v>
      </c>
      <c r="G311" s="1">
        <v>2.5000000000000001E-2</v>
      </c>
      <c r="H311" s="1">
        <v>0.02</v>
      </c>
      <c r="I311" s="8">
        <v>44424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226324.85</v>
      </c>
      <c r="AJ311" s="2">
        <v>140504.75</v>
      </c>
      <c r="AK311" s="2">
        <v>4041.52</v>
      </c>
      <c r="AL311" s="2">
        <v>2509.02</v>
      </c>
      <c r="AM311" s="5">
        <v>3275.27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11004.91</v>
      </c>
      <c r="AT311" s="12">
        <v>9825.81</v>
      </c>
      <c r="AU311" s="2">
        <v>196.52</v>
      </c>
      <c r="AV311" s="5">
        <v>0</v>
      </c>
      <c r="AX311" s="2">
        <v>226324.85</v>
      </c>
      <c r="AY311" s="2">
        <v>140504.75</v>
      </c>
      <c r="AZ311" s="2">
        <v>4041.52</v>
      </c>
      <c r="BA311" s="2">
        <v>2509.02</v>
      </c>
      <c r="BB311" s="5">
        <v>3275.27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11004.91</v>
      </c>
      <c r="BI311" s="12">
        <v>9825.81</v>
      </c>
      <c r="BJ311" s="2">
        <v>196.52</v>
      </c>
      <c r="BL311" s="1" t="s">
        <v>90</v>
      </c>
    </row>
    <row r="312" spans="1:64" x14ac:dyDescent="0.3">
      <c r="A312" t="s">
        <v>872</v>
      </c>
      <c r="B312" s="1" t="s">
        <v>874</v>
      </c>
      <c r="C312" s="9" t="s">
        <v>875</v>
      </c>
      <c r="D312" s="1" t="s">
        <v>44</v>
      </c>
      <c r="E312" s="1" t="s">
        <v>88</v>
      </c>
      <c r="F312" s="10" t="s">
        <v>89</v>
      </c>
      <c r="G312" s="1">
        <v>0</v>
      </c>
      <c r="H312" s="1">
        <v>0.02</v>
      </c>
      <c r="I312" s="8">
        <v>44424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254417</v>
      </c>
      <c r="AJ312" s="2">
        <v>103301</v>
      </c>
      <c r="AK312" s="2">
        <v>4543.16</v>
      </c>
      <c r="AL312" s="2">
        <v>1844.66</v>
      </c>
      <c r="AM312" s="5">
        <v>3193.91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10731.54</v>
      </c>
      <c r="AT312" s="12">
        <v>9581.73</v>
      </c>
      <c r="AU312" s="2">
        <v>191.63</v>
      </c>
      <c r="AV312" s="5">
        <v>0</v>
      </c>
      <c r="AX312" s="2">
        <v>254417</v>
      </c>
      <c r="AY312" s="2">
        <v>103301</v>
      </c>
      <c r="AZ312" s="2">
        <v>4543.16</v>
      </c>
      <c r="BA312" s="2">
        <v>1844.66</v>
      </c>
      <c r="BB312" s="5">
        <v>3193.91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10731.54</v>
      </c>
      <c r="BI312" s="12">
        <v>9581.73</v>
      </c>
      <c r="BJ312" s="2">
        <v>191.63</v>
      </c>
      <c r="BL312" s="1" t="s">
        <v>90</v>
      </c>
    </row>
    <row r="313" spans="1:64" x14ac:dyDescent="0.3">
      <c r="A313" t="s">
        <v>872</v>
      </c>
      <c r="B313" s="1" t="s">
        <v>876</v>
      </c>
      <c r="C313" s="9" t="s">
        <v>877</v>
      </c>
      <c r="D313" s="1" t="s">
        <v>44</v>
      </c>
      <c r="E313" s="1" t="s">
        <v>88</v>
      </c>
      <c r="F313" s="10" t="s">
        <v>89</v>
      </c>
      <c r="G313" s="1">
        <v>0</v>
      </c>
      <c r="H313" s="1">
        <v>0.02</v>
      </c>
      <c r="I313" s="8">
        <v>44424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221714</v>
      </c>
      <c r="AJ313" s="2">
        <v>106942</v>
      </c>
      <c r="AK313" s="2">
        <v>3959.18</v>
      </c>
      <c r="AL313" s="2">
        <v>1909.68</v>
      </c>
      <c r="AM313" s="5">
        <v>2934.43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9859.68</v>
      </c>
      <c r="AT313" s="12">
        <v>8803.2899999999991</v>
      </c>
      <c r="AU313" s="2">
        <v>176.07</v>
      </c>
      <c r="AV313" s="5">
        <v>0</v>
      </c>
      <c r="AX313" s="2">
        <v>221714</v>
      </c>
      <c r="AY313" s="2">
        <v>106942</v>
      </c>
      <c r="AZ313" s="2">
        <v>3959.18</v>
      </c>
      <c r="BA313" s="2">
        <v>1909.68</v>
      </c>
      <c r="BB313" s="5">
        <v>2934.43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9859.68</v>
      </c>
      <c r="BI313" s="12">
        <v>8803.2899999999991</v>
      </c>
      <c r="BJ313" s="2">
        <v>176.07</v>
      </c>
      <c r="BL313" s="1" t="s">
        <v>90</v>
      </c>
    </row>
    <row r="314" spans="1:64" x14ac:dyDescent="0.3">
      <c r="A314" t="s">
        <v>878</v>
      </c>
      <c r="B314" s="1" t="s">
        <v>878</v>
      </c>
      <c r="C314" s="9" t="s">
        <v>879</v>
      </c>
      <c r="D314" s="1" t="s">
        <v>44</v>
      </c>
      <c r="E314" s="1" t="s">
        <v>88</v>
      </c>
      <c r="F314" s="10" t="s">
        <v>848</v>
      </c>
      <c r="G314" s="1">
        <v>2.5000000000000001E-2</v>
      </c>
      <c r="H314" s="1">
        <v>0.02</v>
      </c>
      <c r="I314" s="8">
        <v>44228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261356</v>
      </c>
      <c r="AJ314" s="2">
        <v>115373</v>
      </c>
      <c r="AK314" s="2">
        <v>4667.07</v>
      </c>
      <c r="AL314" s="2">
        <v>2060.23</v>
      </c>
      <c r="AM314" s="5">
        <v>3363.65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11301.86</v>
      </c>
      <c r="AT314" s="12">
        <v>10090.949999999999</v>
      </c>
      <c r="AU314" s="2">
        <v>201.82</v>
      </c>
      <c r="AV314" s="5">
        <v>0</v>
      </c>
      <c r="AX314" s="2">
        <v>261356</v>
      </c>
      <c r="AY314" s="2">
        <v>115373</v>
      </c>
      <c r="AZ314" s="2">
        <v>4667.07</v>
      </c>
      <c r="BA314" s="2">
        <v>2060.23</v>
      </c>
      <c r="BB314" s="5">
        <v>3363.65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11301.86</v>
      </c>
      <c r="BI314" s="12">
        <v>10090.949999999999</v>
      </c>
      <c r="BJ314" s="2">
        <v>201.82</v>
      </c>
      <c r="BL314" s="1" t="s">
        <v>90</v>
      </c>
    </row>
    <row r="315" spans="1:64" x14ac:dyDescent="0.3">
      <c r="A315" t="s">
        <v>880</v>
      </c>
      <c r="B315" s="1" t="s">
        <v>880</v>
      </c>
      <c r="C315" s="9" t="s">
        <v>881</v>
      </c>
      <c r="D315" s="1" t="s">
        <v>44</v>
      </c>
      <c r="E315" s="1" t="s">
        <v>88</v>
      </c>
      <c r="F315" s="10" t="s">
        <v>848</v>
      </c>
      <c r="G315" s="1">
        <v>3.5000000000000003E-2</v>
      </c>
      <c r="H315" s="1">
        <v>0.02</v>
      </c>
      <c r="I315" s="8">
        <v>45777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236471</v>
      </c>
      <c r="AJ315" s="2">
        <v>62328</v>
      </c>
      <c r="AK315" s="2">
        <v>7284.15</v>
      </c>
      <c r="AL315" s="2">
        <v>1919.92</v>
      </c>
      <c r="AM315" s="5">
        <v>2667.85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13296.55</v>
      </c>
      <c r="AT315" s="12">
        <v>11871.92</v>
      </c>
      <c r="AU315" s="2">
        <v>237.44</v>
      </c>
      <c r="AV315" s="5">
        <v>0</v>
      </c>
      <c r="AX315" s="2">
        <v>236471</v>
      </c>
      <c r="AY315" s="2">
        <v>62328</v>
      </c>
      <c r="AZ315" s="2">
        <v>7284.15</v>
      </c>
      <c r="BA315" s="2">
        <v>1919.92</v>
      </c>
      <c r="BB315" s="5">
        <v>2667.85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13296.55</v>
      </c>
      <c r="BI315" s="12">
        <v>11871.92</v>
      </c>
      <c r="BJ315" s="2">
        <v>237.44</v>
      </c>
      <c r="BL315" s="1" t="s">
        <v>90</v>
      </c>
    </row>
    <row r="316" spans="1:64" x14ac:dyDescent="0.3">
      <c r="A316" t="s">
        <v>882</v>
      </c>
      <c r="B316" s="1" t="s">
        <v>882</v>
      </c>
      <c r="C316" s="9" t="s">
        <v>883</v>
      </c>
      <c r="D316" s="1" t="s">
        <v>44</v>
      </c>
      <c r="E316" s="1" t="s">
        <v>88</v>
      </c>
      <c r="F316" s="10" t="s">
        <v>853</v>
      </c>
      <c r="G316" s="1">
        <v>0</v>
      </c>
      <c r="H316" s="1">
        <v>0.02</v>
      </c>
      <c r="I316" s="8">
        <v>44009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154804</v>
      </c>
      <c r="AJ316" s="2">
        <v>54859</v>
      </c>
      <c r="AK316" s="2">
        <v>2764.36</v>
      </c>
      <c r="AL316" s="2">
        <v>979.62</v>
      </c>
      <c r="AM316" s="5">
        <v>1871.99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6289.89</v>
      </c>
      <c r="AT316" s="12">
        <v>5615.97</v>
      </c>
      <c r="AU316" s="2">
        <v>112.32</v>
      </c>
      <c r="AV316" s="5">
        <v>0</v>
      </c>
      <c r="AX316" s="2">
        <v>154804</v>
      </c>
      <c r="AY316" s="2">
        <v>54859</v>
      </c>
      <c r="AZ316" s="2">
        <v>2764.36</v>
      </c>
      <c r="BA316" s="2">
        <v>979.62</v>
      </c>
      <c r="BB316" s="5">
        <v>1871.99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6289.89</v>
      </c>
      <c r="BI316" s="12">
        <v>5615.97</v>
      </c>
      <c r="BJ316" s="2">
        <v>112.32</v>
      </c>
      <c r="BL316" s="1" t="s">
        <v>90</v>
      </c>
    </row>
    <row r="317" spans="1:64" x14ac:dyDescent="0.3">
      <c r="A317" t="s">
        <v>884</v>
      </c>
      <c r="B317" s="1" t="s">
        <v>884</v>
      </c>
      <c r="C317" s="9" t="s">
        <v>885</v>
      </c>
      <c r="D317" s="1" t="s">
        <v>44</v>
      </c>
      <c r="E317" s="1" t="s">
        <v>88</v>
      </c>
      <c r="F317" s="10" t="s">
        <v>853</v>
      </c>
      <c r="G317" s="1">
        <v>0</v>
      </c>
      <c r="H317" s="1">
        <v>0.02</v>
      </c>
      <c r="I317" s="8">
        <v>44903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196481</v>
      </c>
      <c r="AJ317" s="2">
        <v>79371</v>
      </c>
      <c r="AK317" s="2">
        <v>3508.59</v>
      </c>
      <c r="AL317" s="2">
        <v>1417.34</v>
      </c>
      <c r="AM317" s="5">
        <v>2462.96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8275.56</v>
      </c>
      <c r="AT317" s="12">
        <v>7388.89</v>
      </c>
      <c r="AU317" s="2">
        <v>147.78</v>
      </c>
      <c r="AV317" s="5">
        <v>0</v>
      </c>
      <c r="AX317" s="2">
        <v>196481</v>
      </c>
      <c r="AY317" s="2">
        <v>79371</v>
      </c>
      <c r="AZ317" s="2">
        <v>3508.59</v>
      </c>
      <c r="BA317" s="2">
        <v>1417.34</v>
      </c>
      <c r="BB317" s="5">
        <v>2462.96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8275.56</v>
      </c>
      <c r="BI317" s="12">
        <v>7388.89</v>
      </c>
      <c r="BJ317" s="2">
        <v>147.78</v>
      </c>
      <c r="BL317" s="1" t="s">
        <v>90</v>
      </c>
    </row>
    <row r="318" spans="1:64" x14ac:dyDescent="0.3">
      <c r="A318" t="s">
        <v>904</v>
      </c>
      <c r="B318" s="1" t="s">
        <v>904</v>
      </c>
      <c r="C318" s="9" t="s">
        <v>905</v>
      </c>
      <c r="D318" s="1" t="s">
        <v>44</v>
      </c>
      <c r="E318" s="1" t="s">
        <v>88</v>
      </c>
      <c r="F318" s="10" t="s">
        <v>853</v>
      </c>
      <c r="G318" s="1">
        <v>0</v>
      </c>
      <c r="H318" s="1">
        <v>0.02</v>
      </c>
      <c r="I318" s="8">
        <v>44903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76289</v>
      </c>
      <c r="AJ318" s="2">
        <v>25242</v>
      </c>
      <c r="AK318" s="2">
        <v>1362.3</v>
      </c>
      <c r="AL318" s="2">
        <v>450.75</v>
      </c>
      <c r="AM318" s="5">
        <v>906.53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3045.93</v>
      </c>
      <c r="AT318" s="12">
        <v>2719.58</v>
      </c>
      <c r="AU318" s="2">
        <v>54.39</v>
      </c>
      <c r="AV318" s="5">
        <v>0</v>
      </c>
      <c r="AX318" s="2">
        <v>76289</v>
      </c>
      <c r="AY318" s="2">
        <v>25242</v>
      </c>
      <c r="AZ318" s="2">
        <v>1362.3</v>
      </c>
      <c r="BA318" s="2">
        <v>450.75</v>
      </c>
      <c r="BB318" s="5">
        <v>906.53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3045.93</v>
      </c>
      <c r="BI318" s="12">
        <v>2719.58</v>
      </c>
      <c r="BJ318" s="2">
        <v>54.39</v>
      </c>
      <c r="BL318" s="1" t="s">
        <v>90</v>
      </c>
    </row>
    <row r="319" spans="1:64" x14ac:dyDescent="0.3">
      <c r="A319" t="s">
        <v>906</v>
      </c>
      <c r="B319" s="1" t="s">
        <v>906</v>
      </c>
      <c r="C319" s="9" t="s">
        <v>907</v>
      </c>
      <c r="D319" s="1" t="s">
        <v>44</v>
      </c>
      <c r="E319" s="1" t="s">
        <v>88</v>
      </c>
      <c r="F319" s="10" t="s">
        <v>178</v>
      </c>
      <c r="G319" s="1">
        <v>0</v>
      </c>
      <c r="H319" s="1">
        <v>0.02</v>
      </c>
      <c r="I319" s="8">
        <v>45638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405390</v>
      </c>
      <c r="AJ319" s="2">
        <v>126670</v>
      </c>
      <c r="AK319" s="2">
        <v>7239.11</v>
      </c>
      <c r="AL319" s="2">
        <v>2261.96</v>
      </c>
      <c r="AM319" s="5">
        <v>4750.54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15961.8</v>
      </c>
      <c r="AT319" s="12">
        <v>14251.61</v>
      </c>
      <c r="AU319" s="2">
        <v>285.02999999999997</v>
      </c>
      <c r="AV319" s="5">
        <v>0</v>
      </c>
      <c r="AX319" s="2">
        <v>405390</v>
      </c>
      <c r="AY319" s="2">
        <v>126670</v>
      </c>
      <c r="AZ319" s="2">
        <v>7239.11</v>
      </c>
      <c r="BA319" s="2">
        <v>2261.96</v>
      </c>
      <c r="BB319" s="5">
        <v>4750.54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15961.8</v>
      </c>
      <c r="BI319" s="12">
        <v>14251.61</v>
      </c>
      <c r="BJ319" s="2">
        <v>285.02999999999997</v>
      </c>
      <c r="BL319" s="1" t="s">
        <v>90</v>
      </c>
    </row>
    <row r="320" spans="1:64" x14ac:dyDescent="0.3">
      <c r="A320" t="s">
        <v>910</v>
      </c>
      <c r="B320" s="1" t="s">
        <v>910</v>
      </c>
      <c r="C320" s="9" t="s">
        <v>911</v>
      </c>
      <c r="D320" s="1" t="s">
        <v>44</v>
      </c>
      <c r="E320" s="1" t="s">
        <v>88</v>
      </c>
      <c r="F320" s="10" t="s">
        <v>848</v>
      </c>
      <c r="G320" s="1">
        <v>0</v>
      </c>
      <c r="H320" s="1">
        <v>0.02</v>
      </c>
      <c r="I320" s="8">
        <v>45561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132086</v>
      </c>
      <c r="AJ320" s="2">
        <v>65255</v>
      </c>
      <c r="AK320" s="2">
        <v>2358.6799999999998</v>
      </c>
      <c r="AL320" s="2">
        <v>1165.27</v>
      </c>
      <c r="AM320" s="5">
        <v>1761.97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5920.23</v>
      </c>
      <c r="AT320" s="12">
        <v>5285.92</v>
      </c>
      <c r="AU320" s="2">
        <v>105.72</v>
      </c>
      <c r="AV320" s="5">
        <v>0</v>
      </c>
      <c r="AX320" s="2">
        <v>132086</v>
      </c>
      <c r="AY320" s="2">
        <v>65255</v>
      </c>
      <c r="AZ320" s="2">
        <v>2358.6799999999998</v>
      </c>
      <c r="BA320" s="2">
        <v>1165.27</v>
      </c>
      <c r="BB320" s="5">
        <v>1761.97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5920.23</v>
      </c>
      <c r="BI320" s="12">
        <v>5285.92</v>
      </c>
      <c r="BJ320" s="2">
        <v>105.72</v>
      </c>
      <c r="BL320" s="1" t="s">
        <v>90</v>
      </c>
    </row>
    <row r="321" spans="1:64" x14ac:dyDescent="0.3">
      <c r="A321" t="s">
        <v>936</v>
      </c>
      <c r="B321" s="1" t="s">
        <v>936</v>
      </c>
      <c r="C321" s="9" t="s">
        <v>937</v>
      </c>
      <c r="D321" s="1" t="s">
        <v>44</v>
      </c>
      <c r="E321" s="1" t="s">
        <v>88</v>
      </c>
      <c r="F321" s="10" t="s">
        <v>848</v>
      </c>
      <c r="G321" s="1">
        <v>0</v>
      </c>
      <c r="H321" s="1">
        <v>0.02</v>
      </c>
      <c r="I321" s="8">
        <v>44009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152886</v>
      </c>
      <c r="AJ321" s="2">
        <v>54710</v>
      </c>
      <c r="AK321" s="2">
        <v>2730.11</v>
      </c>
      <c r="AL321" s="2">
        <v>976.96</v>
      </c>
      <c r="AM321" s="5">
        <v>1853.54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6227.88</v>
      </c>
      <c r="AT321" s="12">
        <v>5560.6100000000006</v>
      </c>
      <c r="AU321" s="2">
        <v>111.21</v>
      </c>
      <c r="AV321" s="5">
        <v>0</v>
      </c>
      <c r="AX321" s="2">
        <v>152886</v>
      </c>
      <c r="AY321" s="2">
        <v>54710</v>
      </c>
      <c r="AZ321" s="2">
        <v>2730.11</v>
      </c>
      <c r="BA321" s="2">
        <v>976.96</v>
      </c>
      <c r="BB321" s="5">
        <v>1853.54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6227.88</v>
      </c>
      <c r="BI321" s="12">
        <v>5560.6100000000006</v>
      </c>
      <c r="BJ321" s="2">
        <v>111.21</v>
      </c>
      <c r="BL321" s="1" t="s">
        <v>90</v>
      </c>
    </row>
    <row r="322" spans="1:64" x14ac:dyDescent="0.3">
      <c r="A322" t="s">
        <v>956</v>
      </c>
      <c r="B322" s="1" t="s">
        <v>956</v>
      </c>
      <c r="C322" s="9" t="s">
        <v>957</v>
      </c>
      <c r="D322" s="1" t="s">
        <v>44</v>
      </c>
      <c r="E322" s="1" t="s">
        <v>88</v>
      </c>
      <c r="F322" s="10" t="s">
        <v>848</v>
      </c>
      <c r="G322" s="1">
        <v>0</v>
      </c>
      <c r="H322" s="1">
        <v>0.02</v>
      </c>
      <c r="I322" s="8">
        <v>44520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205767</v>
      </c>
      <c r="AJ322" s="2">
        <v>53272</v>
      </c>
      <c r="AK322" s="2">
        <v>3674.41</v>
      </c>
      <c r="AL322" s="2">
        <v>951.29</v>
      </c>
      <c r="AM322" s="5">
        <v>2312.85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7771.18</v>
      </c>
      <c r="AT322" s="12">
        <v>6938.5499999999993</v>
      </c>
      <c r="AU322" s="2">
        <v>138.77000000000001</v>
      </c>
      <c r="AV322" s="5">
        <v>0</v>
      </c>
      <c r="AX322" s="2">
        <v>205767</v>
      </c>
      <c r="AY322" s="2">
        <v>53272</v>
      </c>
      <c r="AZ322" s="2">
        <v>3674.41</v>
      </c>
      <c r="BA322" s="2">
        <v>951.29</v>
      </c>
      <c r="BB322" s="5">
        <v>2312.85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7771.18</v>
      </c>
      <c r="BI322" s="12">
        <v>6938.5499999999993</v>
      </c>
      <c r="BJ322" s="2">
        <v>138.77000000000001</v>
      </c>
      <c r="BL322" s="1" t="s">
        <v>90</v>
      </c>
    </row>
    <row r="323" spans="1:64" x14ac:dyDescent="0.3">
      <c r="A323" t="s">
        <v>962</v>
      </c>
      <c r="B323" s="1" t="s">
        <v>962</v>
      </c>
      <c r="C323" s="9" t="s">
        <v>963</v>
      </c>
      <c r="D323" s="1" t="s">
        <v>44</v>
      </c>
      <c r="E323" s="1" t="s">
        <v>88</v>
      </c>
      <c r="F323" s="10" t="s">
        <v>101</v>
      </c>
      <c r="G323" s="1">
        <v>0</v>
      </c>
      <c r="H323" s="1">
        <v>0.02</v>
      </c>
      <c r="I323" s="8">
        <v>44075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396818.57999999996</v>
      </c>
      <c r="AJ323" s="2">
        <v>81389.759999999995</v>
      </c>
      <c r="AK323" s="2">
        <v>7086.04</v>
      </c>
      <c r="AL323" s="2">
        <v>1453.39</v>
      </c>
      <c r="AM323" s="5">
        <v>4269.71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14346.24</v>
      </c>
      <c r="AT323" s="12">
        <v>12809.14</v>
      </c>
      <c r="AU323" s="2">
        <v>256.18</v>
      </c>
      <c r="AV323" s="5">
        <v>0</v>
      </c>
      <c r="AX323" s="2">
        <v>396818.57999999996</v>
      </c>
      <c r="AY323" s="2">
        <v>81389.759999999995</v>
      </c>
      <c r="AZ323" s="2">
        <v>7086.04</v>
      </c>
      <c r="BA323" s="2">
        <v>1453.39</v>
      </c>
      <c r="BB323" s="5">
        <v>4269.71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14346.24</v>
      </c>
      <c r="BI323" s="12">
        <v>12809.14</v>
      </c>
      <c r="BJ323" s="2">
        <v>256.18</v>
      </c>
      <c r="BL323" s="1" t="s">
        <v>90</v>
      </c>
    </row>
    <row r="324" spans="1:64" x14ac:dyDescent="0.3">
      <c r="A324" t="s">
        <v>972</v>
      </c>
      <c r="B324" s="1" t="s">
        <v>972</v>
      </c>
      <c r="C324" s="9" t="s">
        <v>973</v>
      </c>
      <c r="D324" s="1" t="s">
        <v>44</v>
      </c>
      <c r="E324" s="1" t="s">
        <v>88</v>
      </c>
      <c r="F324" s="10" t="s">
        <v>848</v>
      </c>
      <c r="G324" s="1">
        <v>0</v>
      </c>
      <c r="H324" s="1">
        <v>0.02</v>
      </c>
      <c r="I324" s="8">
        <v>44163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80797</v>
      </c>
      <c r="AJ324" s="2">
        <v>15578</v>
      </c>
      <c r="AK324" s="2">
        <v>1442.8</v>
      </c>
      <c r="AL324" s="2">
        <v>278.18</v>
      </c>
      <c r="AM324" s="5">
        <v>860.49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2891.25</v>
      </c>
      <c r="AT324" s="12">
        <v>2581.4700000000003</v>
      </c>
      <c r="AU324" s="2">
        <v>51.63</v>
      </c>
      <c r="AV324" s="5">
        <v>0</v>
      </c>
      <c r="AX324" s="2">
        <v>80797</v>
      </c>
      <c r="AY324" s="2">
        <v>15578</v>
      </c>
      <c r="AZ324" s="2">
        <v>1442.8</v>
      </c>
      <c r="BA324" s="2">
        <v>278.18</v>
      </c>
      <c r="BB324" s="5">
        <v>860.49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2891.25</v>
      </c>
      <c r="BI324" s="12">
        <v>2581.4700000000003</v>
      </c>
      <c r="BJ324" s="2">
        <v>51.63</v>
      </c>
      <c r="BL324" s="1" t="s">
        <v>90</v>
      </c>
    </row>
    <row r="325" spans="1:64" x14ac:dyDescent="0.3">
      <c r="A325" t="s">
        <v>984</v>
      </c>
      <c r="B325" s="1" t="s">
        <v>984</v>
      </c>
      <c r="C325" s="9" t="s">
        <v>985</v>
      </c>
      <c r="D325" s="1" t="s">
        <v>44</v>
      </c>
      <c r="E325" s="1" t="s">
        <v>88</v>
      </c>
      <c r="F325" s="10" t="s">
        <v>853</v>
      </c>
      <c r="G325" s="1">
        <v>0</v>
      </c>
      <c r="H325" s="1">
        <v>0.02</v>
      </c>
      <c r="I325" s="8">
        <v>44358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178989.77</v>
      </c>
      <c r="AJ325" s="2">
        <v>38287.009999999995</v>
      </c>
      <c r="AK325" s="2">
        <v>3196.25</v>
      </c>
      <c r="AL325" s="2">
        <v>683.7</v>
      </c>
      <c r="AM325" s="5">
        <v>1939.97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6518.31</v>
      </c>
      <c r="AT325" s="12">
        <v>5819.92</v>
      </c>
      <c r="AU325" s="2">
        <v>116.4</v>
      </c>
      <c r="AV325" s="5">
        <v>0</v>
      </c>
      <c r="AX325" s="2">
        <v>178989.77</v>
      </c>
      <c r="AY325" s="2">
        <v>38287.009999999995</v>
      </c>
      <c r="AZ325" s="2">
        <v>3196.25</v>
      </c>
      <c r="BA325" s="2">
        <v>683.7</v>
      </c>
      <c r="BB325" s="5">
        <v>1939.97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6518.31</v>
      </c>
      <c r="BI325" s="12">
        <v>5819.92</v>
      </c>
      <c r="BJ325" s="2">
        <v>116.4</v>
      </c>
      <c r="BL325" s="1" t="s">
        <v>90</v>
      </c>
    </row>
    <row r="326" spans="1:64" x14ac:dyDescent="0.3">
      <c r="A326" t="s">
        <v>999</v>
      </c>
      <c r="B326" s="1" t="s">
        <v>1000</v>
      </c>
      <c r="C326" s="9" t="s">
        <v>1001</v>
      </c>
      <c r="D326" s="1" t="s">
        <v>44</v>
      </c>
      <c r="E326" s="1" t="s">
        <v>88</v>
      </c>
      <c r="F326" s="10" t="s">
        <v>181</v>
      </c>
      <c r="G326" s="1">
        <v>0</v>
      </c>
      <c r="H326" s="1">
        <v>0.02</v>
      </c>
      <c r="I326" s="8">
        <v>44377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124217</v>
      </c>
      <c r="AJ326" s="2">
        <v>36510</v>
      </c>
      <c r="AK326" s="2">
        <v>2218.16</v>
      </c>
      <c r="AL326" s="2">
        <v>651.96</v>
      </c>
      <c r="AM326" s="5">
        <v>1435.06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4821.8</v>
      </c>
      <c r="AT326" s="12">
        <v>4305.18</v>
      </c>
      <c r="AU326" s="2">
        <v>86.1</v>
      </c>
      <c r="AV326" s="5">
        <v>0</v>
      </c>
      <c r="AX326" s="2">
        <v>124217</v>
      </c>
      <c r="AY326" s="2">
        <v>36510</v>
      </c>
      <c r="AZ326" s="2">
        <v>2218.16</v>
      </c>
      <c r="BA326" s="2">
        <v>651.96</v>
      </c>
      <c r="BB326" s="5">
        <v>1435.06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4821.8</v>
      </c>
      <c r="BI326" s="12">
        <v>4305.18</v>
      </c>
      <c r="BJ326" s="2">
        <v>86.1</v>
      </c>
      <c r="BL326" s="1" t="s">
        <v>90</v>
      </c>
    </row>
    <row r="327" spans="1:64" x14ac:dyDescent="0.3">
      <c r="A327" t="s">
        <v>999</v>
      </c>
      <c r="B327" s="1" t="s">
        <v>999</v>
      </c>
      <c r="C327" s="9" t="s">
        <v>1002</v>
      </c>
      <c r="D327" s="1" t="s">
        <v>44</v>
      </c>
      <c r="E327" s="1" t="s">
        <v>88</v>
      </c>
      <c r="F327" s="10" t="s">
        <v>181</v>
      </c>
      <c r="G327" s="1">
        <v>0</v>
      </c>
      <c r="H327" s="1">
        <v>0.02</v>
      </c>
      <c r="I327" s="8">
        <v>44468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434940.2</v>
      </c>
      <c r="AJ327" s="2">
        <v>74380.709999999992</v>
      </c>
      <c r="AK327" s="2">
        <v>7766.79</v>
      </c>
      <c r="AL327" s="2">
        <v>1328.22</v>
      </c>
      <c r="AM327" s="5">
        <v>4547.51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15279.62</v>
      </c>
      <c r="AT327" s="12">
        <v>13642.52</v>
      </c>
      <c r="AU327" s="2">
        <v>272.85000000000002</v>
      </c>
      <c r="AV327" s="5">
        <v>0</v>
      </c>
      <c r="AX327" s="2">
        <v>434940.2</v>
      </c>
      <c r="AY327" s="2">
        <v>74380.709999999992</v>
      </c>
      <c r="AZ327" s="2">
        <v>7766.79</v>
      </c>
      <c r="BA327" s="2">
        <v>1328.22</v>
      </c>
      <c r="BB327" s="5">
        <v>4547.51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15279.62</v>
      </c>
      <c r="BI327" s="12">
        <v>13642.52</v>
      </c>
      <c r="BJ327" s="2">
        <v>272.85000000000002</v>
      </c>
      <c r="BL327" s="1" t="s">
        <v>90</v>
      </c>
    </row>
    <row r="328" spans="1:64" x14ac:dyDescent="0.3">
      <c r="A328" t="s">
        <v>999</v>
      </c>
      <c r="B328" s="1" t="s">
        <v>1003</v>
      </c>
      <c r="C328" s="9" t="s">
        <v>1004</v>
      </c>
      <c r="D328" s="1" t="s">
        <v>44</v>
      </c>
      <c r="E328" s="1" t="s">
        <v>88</v>
      </c>
      <c r="F328" s="10" t="s">
        <v>181</v>
      </c>
      <c r="G328" s="1">
        <v>0</v>
      </c>
      <c r="H328" s="1">
        <v>0.02</v>
      </c>
      <c r="I328" s="8">
        <v>44468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42960</v>
      </c>
      <c r="AJ328" s="2">
        <v>17279</v>
      </c>
      <c r="AK328" s="2">
        <v>767.14</v>
      </c>
      <c r="AL328" s="2">
        <v>308.55</v>
      </c>
      <c r="AM328" s="5">
        <v>537.85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1807.16</v>
      </c>
      <c r="AT328" s="12">
        <v>1613.54</v>
      </c>
      <c r="AU328" s="2">
        <v>32.270000000000003</v>
      </c>
      <c r="AV328" s="5">
        <v>0</v>
      </c>
      <c r="AX328" s="2">
        <v>42960</v>
      </c>
      <c r="AY328" s="2">
        <v>17279</v>
      </c>
      <c r="AZ328" s="2">
        <v>767.14</v>
      </c>
      <c r="BA328" s="2">
        <v>308.55</v>
      </c>
      <c r="BB328" s="5">
        <v>537.85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1807.16</v>
      </c>
      <c r="BI328" s="12">
        <v>1613.54</v>
      </c>
      <c r="BJ328" s="2">
        <v>32.270000000000003</v>
      </c>
      <c r="BL328" s="1" t="s">
        <v>90</v>
      </c>
    </row>
    <row r="329" spans="1:64" x14ac:dyDescent="0.3">
      <c r="A329" t="s">
        <v>1051</v>
      </c>
      <c r="B329" s="1" t="s">
        <v>1051</v>
      </c>
      <c r="C329" s="9" t="s">
        <v>1052</v>
      </c>
      <c r="D329" s="1" t="s">
        <v>44</v>
      </c>
      <c r="E329" s="1" t="s">
        <v>88</v>
      </c>
      <c r="F329" s="10" t="s">
        <v>848</v>
      </c>
      <c r="G329" s="1">
        <v>0</v>
      </c>
      <c r="H329" s="1">
        <v>0.02</v>
      </c>
      <c r="I329" s="8">
        <v>44709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93742</v>
      </c>
      <c r="AJ329" s="2">
        <v>33515</v>
      </c>
      <c r="AK329" s="2">
        <v>1673.96</v>
      </c>
      <c r="AL329" s="2">
        <v>598.48</v>
      </c>
      <c r="AM329" s="5">
        <v>1136.22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3817.7</v>
      </c>
      <c r="AT329" s="12">
        <v>3408.66</v>
      </c>
      <c r="AU329" s="2">
        <v>68.17</v>
      </c>
      <c r="AV329" s="5">
        <v>0</v>
      </c>
      <c r="AX329" s="2">
        <v>93742</v>
      </c>
      <c r="AY329" s="2">
        <v>33515</v>
      </c>
      <c r="AZ329" s="2">
        <v>1673.96</v>
      </c>
      <c r="BA329" s="2">
        <v>598.48</v>
      </c>
      <c r="BB329" s="5">
        <v>1136.22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3817.7</v>
      </c>
      <c r="BI329" s="12">
        <v>3408.66</v>
      </c>
      <c r="BJ329" s="2">
        <v>68.17</v>
      </c>
      <c r="BL329" s="1" t="s">
        <v>90</v>
      </c>
    </row>
    <row r="330" spans="1:64" x14ac:dyDescent="0.3">
      <c r="A330" t="s">
        <v>1057</v>
      </c>
      <c r="B330" s="1" t="s">
        <v>1057</v>
      </c>
      <c r="C330" s="9" t="s">
        <v>1058</v>
      </c>
      <c r="D330" s="1" t="s">
        <v>44</v>
      </c>
      <c r="E330" s="1" t="s">
        <v>88</v>
      </c>
      <c r="F330" s="10" t="s">
        <v>178</v>
      </c>
      <c r="G330" s="1">
        <v>0</v>
      </c>
      <c r="H330" s="1">
        <v>0.02</v>
      </c>
      <c r="I330" s="8">
        <v>44743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432418.1</v>
      </c>
      <c r="AJ330" s="2">
        <v>60465.5</v>
      </c>
      <c r="AK330" s="2">
        <v>7721.75</v>
      </c>
      <c r="AL330" s="2">
        <v>1079.74</v>
      </c>
      <c r="AM330" s="5">
        <v>4400.75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14786.51</v>
      </c>
      <c r="AT330" s="12">
        <v>13202.24</v>
      </c>
      <c r="AU330" s="2">
        <v>264.04000000000002</v>
      </c>
      <c r="AV330" s="5">
        <v>0</v>
      </c>
      <c r="AX330" s="2">
        <v>432418.1</v>
      </c>
      <c r="AY330" s="2">
        <v>60465.5</v>
      </c>
      <c r="AZ330" s="2">
        <v>7721.75</v>
      </c>
      <c r="BA330" s="2">
        <v>1079.74</v>
      </c>
      <c r="BB330" s="5">
        <v>4400.75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14786.51</v>
      </c>
      <c r="BI330" s="12">
        <v>13202.24</v>
      </c>
      <c r="BJ330" s="2">
        <v>264.04000000000002</v>
      </c>
      <c r="BL330" s="1" t="s">
        <v>90</v>
      </c>
    </row>
    <row r="331" spans="1:64" x14ac:dyDescent="0.3">
      <c r="A331" t="s">
        <v>1061</v>
      </c>
      <c r="B331" s="1" t="s">
        <v>1061</v>
      </c>
      <c r="C331" s="9" t="s">
        <v>1062</v>
      </c>
      <c r="D331" s="1" t="s">
        <v>44</v>
      </c>
      <c r="E331" s="1" t="s">
        <v>88</v>
      </c>
      <c r="F331" s="10" t="s">
        <v>101</v>
      </c>
      <c r="G331" s="1">
        <v>0</v>
      </c>
      <c r="H331" s="1">
        <v>0.02</v>
      </c>
      <c r="I331" s="8">
        <v>44760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293918.55</v>
      </c>
      <c r="AJ331" s="2">
        <v>101741</v>
      </c>
      <c r="AK331" s="2">
        <v>5248.54</v>
      </c>
      <c r="AL331" s="2">
        <v>1816.8</v>
      </c>
      <c r="AM331" s="5">
        <v>3532.68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11869.78</v>
      </c>
      <c r="AT331" s="12">
        <v>10598.02</v>
      </c>
      <c r="AU331" s="2">
        <v>211.96</v>
      </c>
      <c r="AV331" s="5">
        <v>0</v>
      </c>
      <c r="AX331" s="2">
        <v>293918.55</v>
      </c>
      <c r="AY331" s="2">
        <v>101741</v>
      </c>
      <c r="AZ331" s="2">
        <v>5248.54</v>
      </c>
      <c r="BA331" s="2">
        <v>1816.8</v>
      </c>
      <c r="BB331" s="5">
        <v>3532.68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11869.78</v>
      </c>
      <c r="BI331" s="12">
        <v>10598.02</v>
      </c>
      <c r="BJ331" s="2">
        <v>211.96</v>
      </c>
      <c r="BL331" s="1" t="s">
        <v>90</v>
      </c>
    </row>
    <row r="332" spans="1:64" x14ac:dyDescent="0.3">
      <c r="A332" t="s">
        <v>1069</v>
      </c>
      <c r="B332" s="1" t="s">
        <v>1069</v>
      </c>
      <c r="C332" s="9" t="s">
        <v>1070</v>
      </c>
      <c r="D332" s="1" t="s">
        <v>44</v>
      </c>
      <c r="E332" s="1" t="s">
        <v>88</v>
      </c>
      <c r="F332" s="10" t="s">
        <v>848</v>
      </c>
      <c r="G332" s="1">
        <v>0</v>
      </c>
      <c r="H332" s="1">
        <v>0.02</v>
      </c>
      <c r="I332" s="8">
        <v>44771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214416</v>
      </c>
      <c r="AJ332" s="2">
        <v>39997</v>
      </c>
      <c r="AK332" s="2">
        <v>3828.86</v>
      </c>
      <c r="AL332" s="2">
        <v>714.23</v>
      </c>
      <c r="AM332" s="5">
        <v>2271.54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7632.39</v>
      </c>
      <c r="AT332" s="12">
        <v>6814.63</v>
      </c>
      <c r="AU332" s="2">
        <v>136.29</v>
      </c>
      <c r="AV332" s="5">
        <v>0</v>
      </c>
      <c r="AX332" s="2">
        <v>214416</v>
      </c>
      <c r="AY332" s="2">
        <v>39997</v>
      </c>
      <c r="AZ332" s="2">
        <v>3828.86</v>
      </c>
      <c r="BA332" s="2">
        <v>714.23</v>
      </c>
      <c r="BB332" s="5">
        <v>2271.54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7632.39</v>
      </c>
      <c r="BI332" s="12">
        <v>6814.63</v>
      </c>
      <c r="BJ332" s="2">
        <v>136.29</v>
      </c>
      <c r="BL332" s="1" t="s">
        <v>90</v>
      </c>
    </row>
    <row r="333" spans="1:64" x14ac:dyDescent="0.3">
      <c r="A333" t="s">
        <v>1071</v>
      </c>
      <c r="B333" s="1" t="s">
        <v>1071</v>
      </c>
      <c r="C333" s="9" t="s">
        <v>1072</v>
      </c>
      <c r="D333" s="1" t="s">
        <v>44</v>
      </c>
      <c r="E333" s="1" t="s">
        <v>88</v>
      </c>
      <c r="F333" s="10" t="s">
        <v>853</v>
      </c>
      <c r="G333" s="1">
        <v>0</v>
      </c>
      <c r="H333" s="1">
        <v>0.02</v>
      </c>
      <c r="I333" s="8">
        <v>45003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163496</v>
      </c>
      <c r="AJ333" s="2">
        <v>60553</v>
      </c>
      <c r="AK333" s="2">
        <v>2919.57</v>
      </c>
      <c r="AL333" s="2">
        <v>1081.3</v>
      </c>
      <c r="AM333" s="5">
        <v>2000.44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6721.47</v>
      </c>
      <c r="AT333" s="12">
        <v>6001.3099999999995</v>
      </c>
      <c r="AU333" s="2">
        <v>120.03</v>
      </c>
      <c r="AV333" s="5">
        <v>0</v>
      </c>
      <c r="AX333" s="2">
        <v>163496</v>
      </c>
      <c r="AY333" s="2">
        <v>60553</v>
      </c>
      <c r="AZ333" s="2">
        <v>2919.57</v>
      </c>
      <c r="BA333" s="2">
        <v>1081.3</v>
      </c>
      <c r="BB333" s="5">
        <v>2000.44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6721.47</v>
      </c>
      <c r="BI333" s="12">
        <v>6001.3099999999995</v>
      </c>
      <c r="BJ333" s="2">
        <v>120.03</v>
      </c>
      <c r="BL333" s="1" t="s">
        <v>90</v>
      </c>
    </row>
    <row r="334" spans="1:64" x14ac:dyDescent="0.3">
      <c r="A334" t="s">
        <v>1122</v>
      </c>
      <c r="B334" s="1" t="s">
        <v>1122</v>
      </c>
      <c r="C334" s="9" t="s">
        <v>1123</v>
      </c>
      <c r="D334" s="1" t="s">
        <v>44</v>
      </c>
      <c r="E334" s="1" t="s">
        <v>88</v>
      </c>
      <c r="F334" s="10" t="s">
        <v>848</v>
      </c>
      <c r="G334" s="1">
        <v>0</v>
      </c>
      <c r="H334" s="1">
        <v>0.02</v>
      </c>
      <c r="I334" s="8">
        <v>44832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77175</v>
      </c>
      <c r="AJ334" s="2">
        <v>25831</v>
      </c>
      <c r="AK334" s="2">
        <v>1378.12</v>
      </c>
      <c r="AL334" s="2">
        <v>461.27</v>
      </c>
      <c r="AM334" s="5">
        <v>919.7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3090.18</v>
      </c>
      <c r="AT334" s="12">
        <v>2759.09</v>
      </c>
      <c r="AU334" s="2">
        <v>55.18</v>
      </c>
      <c r="AV334" s="5">
        <v>0</v>
      </c>
      <c r="AX334" s="2">
        <v>77175</v>
      </c>
      <c r="AY334" s="2">
        <v>25831</v>
      </c>
      <c r="AZ334" s="2">
        <v>1378.12</v>
      </c>
      <c r="BA334" s="2">
        <v>461.27</v>
      </c>
      <c r="BB334" s="5">
        <v>919.7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3090.18</v>
      </c>
      <c r="BI334" s="12">
        <v>2759.09</v>
      </c>
      <c r="BJ334" s="2">
        <v>55.18</v>
      </c>
      <c r="BL334" s="1" t="s">
        <v>90</v>
      </c>
    </row>
    <row r="335" spans="1:64" x14ac:dyDescent="0.3">
      <c r="A335" t="s">
        <v>1124</v>
      </c>
      <c r="B335" s="1" t="s">
        <v>1124</v>
      </c>
      <c r="C335" s="9" t="s">
        <v>1125</v>
      </c>
      <c r="D335" s="1" t="s">
        <v>44</v>
      </c>
      <c r="E335" s="1" t="s">
        <v>88</v>
      </c>
      <c r="F335" s="10" t="s">
        <v>104</v>
      </c>
      <c r="G335" s="1">
        <v>0</v>
      </c>
      <c r="H335" s="1">
        <v>0.02</v>
      </c>
      <c r="I335" s="8">
        <v>44844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495500</v>
      </c>
      <c r="AJ335" s="2">
        <v>190538</v>
      </c>
      <c r="AK335" s="2">
        <v>8848.2099999999991</v>
      </c>
      <c r="AL335" s="2">
        <v>3402.46</v>
      </c>
      <c r="AM335" s="5">
        <v>6125.34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20581.13</v>
      </c>
      <c r="AT335" s="12">
        <v>18376.009999999998</v>
      </c>
      <c r="AU335" s="2">
        <v>367.52</v>
      </c>
      <c r="AV335" s="5">
        <v>0</v>
      </c>
      <c r="AX335" s="2">
        <v>495500</v>
      </c>
      <c r="AY335" s="2">
        <v>190538</v>
      </c>
      <c r="AZ335" s="2">
        <v>8848.2099999999991</v>
      </c>
      <c r="BA335" s="2">
        <v>3402.46</v>
      </c>
      <c r="BB335" s="5">
        <v>6125.34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20581.13</v>
      </c>
      <c r="BI335" s="12">
        <v>18376.009999999998</v>
      </c>
      <c r="BJ335" s="2">
        <v>367.52</v>
      </c>
      <c r="BL335" s="1" t="s">
        <v>90</v>
      </c>
    </row>
    <row r="336" spans="1:64" x14ac:dyDescent="0.3">
      <c r="A336" t="s">
        <v>1152</v>
      </c>
      <c r="B336" s="1" t="s">
        <v>1152</v>
      </c>
      <c r="C336" s="9" t="s">
        <v>1153</v>
      </c>
      <c r="D336" s="1" t="s">
        <v>44</v>
      </c>
      <c r="E336" s="1" t="s">
        <v>88</v>
      </c>
      <c r="F336" s="10" t="s">
        <v>853</v>
      </c>
      <c r="G336" s="1">
        <v>0</v>
      </c>
      <c r="H336" s="1">
        <v>0.02</v>
      </c>
      <c r="I336" s="8">
        <v>44873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238720.25</v>
      </c>
      <c r="AJ336" s="2">
        <v>24599</v>
      </c>
      <c r="AK336" s="2">
        <v>4262.8599999999997</v>
      </c>
      <c r="AL336" s="2">
        <v>439.27</v>
      </c>
      <c r="AM336" s="5">
        <v>2351.06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7899.57</v>
      </c>
      <c r="AT336" s="12">
        <v>7053.1899999999987</v>
      </c>
      <c r="AU336" s="2">
        <v>141.06</v>
      </c>
      <c r="AV336" s="5">
        <v>0</v>
      </c>
      <c r="AX336" s="2">
        <v>238720.25</v>
      </c>
      <c r="AY336" s="2">
        <v>24599</v>
      </c>
      <c r="AZ336" s="2">
        <v>4262.8599999999997</v>
      </c>
      <c r="BA336" s="2">
        <v>439.27</v>
      </c>
      <c r="BB336" s="5">
        <v>2351.06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7899.57</v>
      </c>
      <c r="BI336" s="12">
        <v>7053.1899999999987</v>
      </c>
      <c r="BJ336" s="2">
        <v>141.06</v>
      </c>
      <c r="BL336" s="1" t="s">
        <v>90</v>
      </c>
    </row>
    <row r="337" spans="1:64" x14ac:dyDescent="0.3">
      <c r="A337" t="s">
        <v>1166</v>
      </c>
      <c r="B337" s="1" t="s">
        <v>1166</v>
      </c>
      <c r="C337" s="9" t="s">
        <v>1167</v>
      </c>
      <c r="D337" s="1" t="s">
        <v>44</v>
      </c>
      <c r="E337" s="1" t="s">
        <v>88</v>
      </c>
      <c r="F337" s="10" t="s">
        <v>848</v>
      </c>
      <c r="G337" s="1">
        <v>0</v>
      </c>
      <c r="H337" s="1">
        <v>0.02</v>
      </c>
      <c r="I337" s="8">
        <v>45036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70412</v>
      </c>
      <c r="AJ337" s="2">
        <v>17335</v>
      </c>
      <c r="AK337" s="2">
        <v>1257.3599999999999</v>
      </c>
      <c r="AL337" s="2">
        <v>309.55</v>
      </c>
      <c r="AM337" s="5">
        <v>783.46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2632.41</v>
      </c>
      <c r="AT337" s="12">
        <v>2350.37</v>
      </c>
      <c r="AU337" s="2">
        <v>47.01</v>
      </c>
      <c r="AV337" s="5">
        <v>0</v>
      </c>
      <c r="AX337" s="2">
        <v>70412</v>
      </c>
      <c r="AY337" s="2">
        <v>17335</v>
      </c>
      <c r="AZ337" s="2">
        <v>1257.3599999999999</v>
      </c>
      <c r="BA337" s="2">
        <v>309.55</v>
      </c>
      <c r="BB337" s="5">
        <v>783.46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2632.41</v>
      </c>
      <c r="BI337" s="12">
        <v>2350.37</v>
      </c>
      <c r="BJ337" s="2">
        <v>47.01</v>
      </c>
      <c r="BL337" s="1" t="s">
        <v>90</v>
      </c>
    </row>
    <row r="338" spans="1:64" x14ac:dyDescent="0.3">
      <c r="A338" t="s">
        <v>1254</v>
      </c>
      <c r="B338" s="1" t="s">
        <v>1254</v>
      </c>
      <c r="C338" s="9" t="s">
        <v>1255</v>
      </c>
      <c r="D338" s="1" t="s">
        <v>44</v>
      </c>
      <c r="E338" s="1" t="s">
        <v>88</v>
      </c>
      <c r="F338" s="10" t="s">
        <v>114</v>
      </c>
      <c r="G338" s="1">
        <v>0</v>
      </c>
      <c r="H338" s="1">
        <v>0.02</v>
      </c>
      <c r="I338" s="8">
        <v>45271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399315.1</v>
      </c>
      <c r="AJ338" s="2">
        <v>93779</v>
      </c>
      <c r="AK338" s="2">
        <v>7130.62</v>
      </c>
      <c r="AL338" s="2">
        <v>1674.62</v>
      </c>
      <c r="AM338" s="5">
        <v>4402.62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14792.8</v>
      </c>
      <c r="AT338" s="12">
        <v>13207.86</v>
      </c>
      <c r="AU338" s="2">
        <v>264.16000000000003</v>
      </c>
      <c r="AV338" s="5">
        <v>0</v>
      </c>
      <c r="AX338" s="2">
        <v>399315.1</v>
      </c>
      <c r="AY338" s="2">
        <v>93779</v>
      </c>
      <c r="AZ338" s="2">
        <v>7130.62</v>
      </c>
      <c r="BA338" s="2">
        <v>1674.62</v>
      </c>
      <c r="BB338" s="5">
        <v>4402.62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14792.8</v>
      </c>
      <c r="BI338" s="12">
        <v>13207.86</v>
      </c>
      <c r="BJ338" s="2">
        <v>264.16000000000003</v>
      </c>
      <c r="BL338" s="1" t="s">
        <v>90</v>
      </c>
    </row>
    <row r="339" spans="1:64" x14ac:dyDescent="0.3">
      <c r="A339" t="s">
        <v>1296</v>
      </c>
      <c r="B339" s="1" t="s">
        <v>1296</v>
      </c>
      <c r="C339" s="9" t="s">
        <v>1297</v>
      </c>
      <c r="D339" s="1" t="s">
        <v>44</v>
      </c>
      <c r="E339" s="1" t="s">
        <v>88</v>
      </c>
      <c r="F339" s="10" t="s">
        <v>114</v>
      </c>
      <c r="G339" s="1">
        <v>0</v>
      </c>
      <c r="H339" s="1">
        <v>0.02</v>
      </c>
      <c r="I339" s="8">
        <v>45163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524906</v>
      </c>
      <c r="AJ339" s="2">
        <v>127419</v>
      </c>
      <c r="AK339" s="2">
        <v>9373.32</v>
      </c>
      <c r="AL339" s="2">
        <v>2275.34</v>
      </c>
      <c r="AM339" s="5">
        <v>5824.33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19569.75</v>
      </c>
      <c r="AT339" s="12">
        <v>17472.989999999998</v>
      </c>
      <c r="AU339" s="2">
        <v>349.46</v>
      </c>
      <c r="AV339" s="5">
        <v>0</v>
      </c>
      <c r="AX339" s="2">
        <v>524906</v>
      </c>
      <c r="AY339" s="2">
        <v>127419</v>
      </c>
      <c r="AZ339" s="2">
        <v>9373.32</v>
      </c>
      <c r="BA339" s="2">
        <v>2275.34</v>
      </c>
      <c r="BB339" s="5">
        <v>5824.33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19569.75</v>
      </c>
      <c r="BI339" s="12">
        <v>17472.989999999998</v>
      </c>
      <c r="BJ339" s="2">
        <v>349.46</v>
      </c>
      <c r="BL339" s="1" t="s">
        <v>90</v>
      </c>
    </row>
    <row r="340" spans="1:64" x14ac:dyDescent="0.3">
      <c r="A340" t="s">
        <v>1298</v>
      </c>
      <c r="B340" s="1" t="s">
        <v>1298</v>
      </c>
      <c r="C340" s="9" t="s">
        <v>1299</v>
      </c>
      <c r="D340" s="1" t="s">
        <v>44</v>
      </c>
      <c r="E340" s="1" t="s">
        <v>88</v>
      </c>
      <c r="F340" s="10" t="s">
        <v>853</v>
      </c>
      <c r="G340" s="1">
        <v>0</v>
      </c>
      <c r="H340" s="1">
        <v>0.02</v>
      </c>
      <c r="I340" s="8">
        <v>45163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176893.5</v>
      </c>
      <c r="AJ340" s="2">
        <v>58445</v>
      </c>
      <c r="AK340" s="2">
        <v>3158.81</v>
      </c>
      <c r="AL340" s="2">
        <v>1043.6600000000001</v>
      </c>
      <c r="AM340" s="5">
        <v>2101.2399999999998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7060.16</v>
      </c>
      <c r="AT340" s="12">
        <v>6303.71</v>
      </c>
      <c r="AU340" s="2">
        <v>126.07</v>
      </c>
      <c r="AV340" s="5">
        <v>0</v>
      </c>
      <c r="AX340" s="2">
        <v>176893.5</v>
      </c>
      <c r="AY340" s="2">
        <v>58445</v>
      </c>
      <c r="AZ340" s="2">
        <v>3158.81</v>
      </c>
      <c r="BA340" s="2">
        <v>1043.6600000000001</v>
      </c>
      <c r="BB340" s="5">
        <v>2101.2399999999998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7060.16</v>
      </c>
      <c r="BI340" s="12">
        <v>6303.71</v>
      </c>
      <c r="BJ340" s="2">
        <v>126.07</v>
      </c>
      <c r="BL340" s="1" t="s">
        <v>90</v>
      </c>
    </row>
    <row r="341" spans="1:64" x14ac:dyDescent="0.3">
      <c r="A341" t="s">
        <v>1312</v>
      </c>
      <c r="B341" s="1" t="s">
        <v>1312</v>
      </c>
      <c r="C341" s="9" t="s">
        <v>1313</v>
      </c>
      <c r="D341" s="1" t="s">
        <v>44</v>
      </c>
      <c r="E341" s="1" t="s">
        <v>88</v>
      </c>
      <c r="F341" s="10" t="s">
        <v>848</v>
      </c>
      <c r="G341" s="1">
        <v>0</v>
      </c>
      <c r="H341" s="1">
        <v>0.02</v>
      </c>
      <c r="I341" s="8">
        <v>44936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130848</v>
      </c>
      <c r="AJ341" s="2">
        <v>33819</v>
      </c>
      <c r="AK341" s="2">
        <v>2336.5700000000002</v>
      </c>
      <c r="AL341" s="2">
        <v>603.91</v>
      </c>
      <c r="AM341" s="5">
        <v>1470.24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4940.01</v>
      </c>
      <c r="AT341" s="12">
        <v>4410.72</v>
      </c>
      <c r="AU341" s="2">
        <v>88.21</v>
      </c>
      <c r="AV341" s="5">
        <v>0</v>
      </c>
      <c r="AX341" s="2">
        <v>130848</v>
      </c>
      <c r="AY341" s="2">
        <v>33819</v>
      </c>
      <c r="AZ341" s="2">
        <v>2336.5700000000002</v>
      </c>
      <c r="BA341" s="2">
        <v>603.91</v>
      </c>
      <c r="BB341" s="5">
        <v>1470.24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4940.01</v>
      </c>
      <c r="BI341" s="12">
        <v>4410.72</v>
      </c>
      <c r="BJ341" s="2">
        <v>88.21</v>
      </c>
      <c r="BL341" s="1" t="s">
        <v>90</v>
      </c>
    </row>
    <row r="342" spans="1:64" x14ac:dyDescent="0.3">
      <c r="A342" t="s">
        <v>1314</v>
      </c>
      <c r="B342" s="1" t="s">
        <v>1314</v>
      </c>
      <c r="C342" s="9" t="s">
        <v>1315</v>
      </c>
      <c r="D342" s="1" t="s">
        <v>44</v>
      </c>
      <c r="E342" s="1" t="s">
        <v>88</v>
      </c>
      <c r="F342" s="10" t="s">
        <v>848</v>
      </c>
      <c r="G342" s="1">
        <v>0</v>
      </c>
      <c r="H342" s="1">
        <v>0.02</v>
      </c>
      <c r="I342" s="8">
        <v>44844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145196</v>
      </c>
      <c r="AJ342" s="2">
        <v>28700</v>
      </c>
      <c r="AK342" s="2">
        <v>2592.79</v>
      </c>
      <c r="AL342" s="2">
        <v>512.5</v>
      </c>
      <c r="AM342" s="5">
        <v>1552.64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5216.88</v>
      </c>
      <c r="AT342" s="12">
        <v>4657.93</v>
      </c>
      <c r="AU342" s="2">
        <v>93.16</v>
      </c>
      <c r="AV342" s="5">
        <v>0</v>
      </c>
      <c r="AX342" s="2">
        <v>145196</v>
      </c>
      <c r="AY342" s="2">
        <v>28700</v>
      </c>
      <c r="AZ342" s="2">
        <v>2592.79</v>
      </c>
      <c r="BA342" s="2">
        <v>512.5</v>
      </c>
      <c r="BB342" s="5">
        <v>1552.64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5216.88</v>
      </c>
      <c r="BI342" s="12">
        <v>4657.93</v>
      </c>
      <c r="BJ342" s="2">
        <v>93.16</v>
      </c>
      <c r="BL342" s="1" t="s">
        <v>90</v>
      </c>
    </row>
    <row r="343" spans="1:64" x14ac:dyDescent="0.3">
      <c r="A343" t="s">
        <v>93</v>
      </c>
      <c r="B343" s="1" t="s">
        <v>93</v>
      </c>
      <c r="C343" s="9" t="s">
        <v>94</v>
      </c>
      <c r="D343" s="1" t="s">
        <v>95</v>
      </c>
      <c r="E343" s="1" t="s">
        <v>88</v>
      </c>
      <c r="F343" s="10" t="s">
        <v>96</v>
      </c>
      <c r="G343" s="1">
        <v>0.05</v>
      </c>
      <c r="H343" s="1">
        <v>0</v>
      </c>
      <c r="I343" s="8">
        <v>45703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719507</v>
      </c>
      <c r="AJ343" s="2">
        <v>91607</v>
      </c>
      <c r="AK343" s="2">
        <v>0</v>
      </c>
      <c r="AL343" s="2">
        <v>0</v>
      </c>
      <c r="AM343" s="5">
        <v>7242.09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8111.14</v>
      </c>
      <c r="AT343" s="12">
        <v>7242.09</v>
      </c>
      <c r="AU343" s="2">
        <v>0</v>
      </c>
      <c r="AV343" s="5">
        <v>4055.57</v>
      </c>
      <c r="AX343" s="2">
        <v>719507</v>
      </c>
      <c r="AY343" s="2">
        <v>91607</v>
      </c>
      <c r="AZ343" s="2">
        <v>0</v>
      </c>
      <c r="BA343" s="2">
        <v>0</v>
      </c>
      <c r="BB343" s="5">
        <v>7242.09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8111.14</v>
      </c>
      <c r="BI343" s="12">
        <v>7242.09</v>
      </c>
      <c r="BJ343" s="2">
        <v>0</v>
      </c>
      <c r="BK343" s="5">
        <v>4055.57</v>
      </c>
      <c r="BL343" s="1" t="s">
        <v>90</v>
      </c>
    </row>
    <row r="344" spans="1:64" x14ac:dyDescent="0.3">
      <c r="A344" t="s">
        <v>93</v>
      </c>
      <c r="B344" s="1" t="s">
        <v>97</v>
      </c>
      <c r="C344" s="9" t="s">
        <v>98</v>
      </c>
      <c r="D344" s="1" t="s">
        <v>95</v>
      </c>
      <c r="E344" s="1" t="s">
        <v>88</v>
      </c>
      <c r="F344" s="10" t="s">
        <v>96</v>
      </c>
      <c r="G344" s="1">
        <v>0.05</v>
      </c>
      <c r="H344" s="1">
        <v>0</v>
      </c>
      <c r="I344" s="8">
        <v>45703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124409</v>
      </c>
      <c r="AJ344" s="2">
        <v>23001</v>
      </c>
      <c r="AK344" s="2">
        <v>0</v>
      </c>
      <c r="AL344" s="2">
        <v>0</v>
      </c>
      <c r="AM344" s="5">
        <v>1316.16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1474.1</v>
      </c>
      <c r="AT344" s="12">
        <v>1316.16</v>
      </c>
      <c r="AU344" s="2">
        <v>0</v>
      </c>
      <c r="AV344" s="5">
        <v>737.05</v>
      </c>
      <c r="AX344" s="2">
        <v>124409</v>
      </c>
      <c r="AY344" s="2">
        <v>23001</v>
      </c>
      <c r="AZ344" s="2">
        <v>0</v>
      </c>
      <c r="BA344" s="2">
        <v>0</v>
      </c>
      <c r="BB344" s="5">
        <v>1316.16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1474.1</v>
      </c>
      <c r="BI344" s="12">
        <v>1316.16</v>
      </c>
      <c r="BJ344" s="2">
        <v>0</v>
      </c>
      <c r="BK344" s="5">
        <v>737.05</v>
      </c>
      <c r="BL344" s="1" t="s">
        <v>90</v>
      </c>
    </row>
    <row r="345" spans="1:64" x14ac:dyDescent="0.3">
      <c r="A345" t="s">
        <v>126</v>
      </c>
      <c r="B345" s="1" t="s">
        <v>126</v>
      </c>
      <c r="C345" s="9" t="s">
        <v>127</v>
      </c>
      <c r="D345" s="1" t="s">
        <v>95</v>
      </c>
      <c r="E345" s="1" t="s">
        <v>128</v>
      </c>
      <c r="F345" s="10" t="s">
        <v>129</v>
      </c>
      <c r="G345" s="1">
        <v>3.5000000000000003E-2</v>
      </c>
      <c r="H345" s="1">
        <v>0.05</v>
      </c>
      <c r="I345" s="8">
        <v>45543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340938</v>
      </c>
      <c r="AJ345" s="2">
        <v>29180</v>
      </c>
      <c r="AK345" s="2">
        <v>15220.45</v>
      </c>
      <c r="AL345" s="2">
        <v>1302.68</v>
      </c>
      <c r="AM345" s="5">
        <v>3304.62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22207.08</v>
      </c>
      <c r="AT345" s="12">
        <v>19827.75</v>
      </c>
      <c r="AU345" s="2">
        <v>0</v>
      </c>
      <c r="AV345" s="5">
        <v>1850.59</v>
      </c>
      <c r="AX345" s="2">
        <v>340938</v>
      </c>
      <c r="AY345" s="2">
        <v>29180</v>
      </c>
      <c r="AZ345" s="2">
        <v>15220.45</v>
      </c>
      <c r="BA345" s="2">
        <v>1302.68</v>
      </c>
      <c r="BB345" s="5">
        <v>3304.62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22207.08</v>
      </c>
      <c r="BI345" s="12">
        <v>19827.75</v>
      </c>
      <c r="BJ345" s="2">
        <v>0</v>
      </c>
      <c r="BK345" s="5">
        <v>1850.59</v>
      </c>
      <c r="BL345" s="1" t="s">
        <v>130</v>
      </c>
    </row>
    <row r="346" spans="1:64" x14ac:dyDescent="0.3">
      <c r="A346" t="s">
        <v>126</v>
      </c>
      <c r="B346" s="1" t="s">
        <v>131</v>
      </c>
      <c r="C346" s="9" t="s">
        <v>132</v>
      </c>
      <c r="D346" s="1" t="s">
        <v>95</v>
      </c>
      <c r="E346" s="1" t="s">
        <v>128</v>
      </c>
      <c r="F346" s="10" t="s">
        <v>129</v>
      </c>
      <c r="G346" s="1">
        <v>3.5000000000000003E-2</v>
      </c>
      <c r="H346" s="1">
        <v>0.05</v>
      </c>
      <c r="I346" s="8">
        <v>45543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431326</v>
      </c>
      <c r="AJ346" s="2">
        <v>39874</v>
      </c>
      <c r="AK346" s="2">
        <v>19255.62</v>
      </c>
      <c r="AL346" s="2">
        <v>1780.09</v>
      </c>
      <c r="AM346" s="5">
        <v>4207.1400000000003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28271.99</v>
      </c>
      <c r="AT346" s="12">
        <v>25242.85</v>
      </c>
      <c r="AU346" s="2">
        <v>0</v>
      </c>
      <c r="AV346" s="5">
        <v>2356</v>
      </c>
      <c r="AX346" s="2">
        <v>431326</v>
      </c>
      <c r="AY346" s="2">
        <v>39874</v>
      </c>
      <c r="AZ346" s="2">
        <v>19255.62</v>
      </c>
      <c r="BA346" s="2">
        <v>1780.09</v>
      </c>
      <c r="BB346" s="5">
        <v>4207.1400000000003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28271.99</v>
      </c>
      <c r="BI346" s="12">
        <v>25242.85</v>
      </c>
      <c r="BJ346" s="2">
        <v>0</v>
      </c>
      <c r="BK346" s="5">
        <v>2356</v>
      </c>
      <c r="BL346" s="1" t="s">
        <v>130</v>
      </c>
    </row>
    <row r="347" spans="1:64" x14ac:dyDescent="0.3">
      <c r="A347" t="s">
        <v>133</v>
      </c>
      <c r="B347" s="1" t="s">
        <v>133</v>
      </c>
      <c r="C347" s="9" t="s">
        <v>134</v>
      </c>
      <c r="D347" s="1" t="s">
        <v>95</v>
      </c>
      <c r="E347" s="1" t="s">
        <v>135</v>
      </c>
      <c r="F347" s="10" t="s">
        <v>136</v>
      </c>
      <c r="G347" s="1">
        <v>3.5000000000000003E-2</v>
      </c>
      <c r="H347" s="1">
        <v>0.05</v>
      </c>
      <c r="I347" s="8">
        <v>45608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715694</v>
      </c>
      <c r="AJ347" s="2">
        <v>138375</v>
      </c>
      <c r="AK347" s="2">
        <v>31950.62</v>
      </c>
      <c r="AL347" s="2">
        <v>6177.46</v>
      </c>
      <c r="AM347" s="5">
        <v>7625.62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51244.14</v>
      </c>
      <c r="AT347" s="12">
        <v>45753.700000000004</v>
      </c>
      <c r="AU347" s="2">
        <v>0</v>
      </c>
      <c r="AV347" s="5">
        <v>4270.34</v>
      </c>
      <c r="AX347" s="2">
        <v>715694</v>
      </c>
      <c r="AY347" s="2">
        <v>138375</v>
      </c>
      <c r="AZ347" s="2">
        <v>31950.62</v>
      </c>
      <c r="BA347" s="2">
        <v>6177.46</v>
      </c>
      <c r="BB347" s="5">
        <v>7625.62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51244.14</v>
      </c>
      <c r="BI347" s="12">
        <v>45753.700000000004</v>
      </c>
      <c r="BJ347" s="2">
        <v>0</v>
      </c>
      <c r="BK347" s="5">
        <v>4270.34</v>
      </c>
      <c r="BL347" s="1" t="s">
        <v>137</v>
      </c>
    </row>
    <row r="348" spans="1:64" x14ac:dyDescent="0.3">
      <c r="A348" t="s">
        <v>133</v>
      </c>
      <c r="B348" s="1" t="s">
        <v>138</v>
      </c>
      <c r="C348" s="9" t="s">
        <v>139</v>
      </c>
      <c r="D348" s="1" t="s">
        <v>95</v>
      </c>
      <c r="E348" s="1" t="s">
        <v>135</v>
      </c>
      <c r="F348" s="10" t="s">
        <v>136</v>
      </c>
      <c r="G348" s="1">
        <v>3.5000000000000003E-2</v>
      </c>
      <c r="H348" s="1">
        <v>0.05</v>
      </c>
      <c r="I348" s="8">
        <v>45608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391774</v>
      </c>
      <c r="AJ348" s="2">
        <v>89384</v>
      </c>
      <c r="AK348" s="2">
        <v>17489.91</v>
      </c>
      <c r="AL348" s="2">
        <v>3990.36</v>
      </c>
      <c r="AM348" s="5">
        <v>4296.05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28869.48</v>
      </c>
      <c r="AT348" s="12">
        <v>25776.32</v>
      </c>
      <c r="AU348" s="2">
        <v>0</v>
      </c>
      <c r="AV348" s="5">
        <v>2405.79</v>
      </c>
      <c r="AX348" s="2">
        <v>391774</v>
      </c>
      <c r="AY348" s="2">
        <v>89384</v>
      </c>
      <c r="AZ348" s="2">
        <v>17489.91</v>
      </c>
      <c r="BA348" s="2">
        <v>3990.36</v>
      </c>
      <c r="BB348" s="5">
        <v>4296.05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28869.48</v>
      </c>
      <c r="BI348" s="12">
        <v>25776.32</v>
      </c>
      <c r="BJ348" s="2">
        <v>0</v>
      </c>
      <c r="BK348" s="5">
        <v>2405.79</v>
      </c>
      <c r="BL348" s="1" t="s">
        <v>137</v>
      </c>
    </row>
    <row r="349" spans="1:64" x14ac:dyDescent="0.3">
      <c r="A349" t="s">
        <v>133</v>
      </c>
      <c r="B349" s="1" t="s">
        <v>140</v>
      </c>
      <c r="C349" s="9" t="s">
        <v>141</v>
      </c>
      <c r="D349" s="1" t="s">
        <v>95</v>
      </c>
      <c r="E349" s="1" t="s">
        <v>135</v>
      </c>
      <c r="F349" s="10" t="s">
        <v>136</v>
      </c>
      <c r="G349" s="1">
        <v>0</v>
      </c>
      <c r="H349" s="1">
        <v>0.05</v>
      </c>
      <c r="I349" s="8">
        <v>45636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740751</v>
      </c>
      <c r="AJ349" s="2">
        <v>96870</v>
      </c>
      <c r="AK349" s="2">
        <v>33069.24</v>
      </c>
      <c r="AL349" s="2">
        <v>4324.55</v>
      </c>
      <c r="AM349" s="5">
        <v>7478.76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50257.26</v>
      </c>
      <c r="AT349" s="12">
        <v>44872.55</v>
      </c>
      <c r="AU349" s="2">
        <v>0</v>
      </c>
      <c r="AV349" s="5">
        <v>4188.1099999999997</v>
      </c>
      <c r="AX349" s="2">
        <v>740751</v>
      </c>
      <c r="AY349" s="2">
        <v>96870</v>
      </c>
      <c r="AZ349" s="2">
        <v>33069.24</v>
      </c>
      <c r="BA349" s="2">
        <v>4324.55</v>
      </c>
      <c r="BB349" s="5">
        <v>7478.76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50257.26</v>
      </c>
      <c r="BI349" s="12">
        <v>44872.55</v>
      </c>
      <c r="BJ349" s="2">
        <v>0</v>
      </c>
      <c r="BK349" s="5">
        <v>4188.1099999999997</v>
      </c>
      <c r="BL349" s="1" t="s">
        <v>137</v>
      </c>
    </row>
    <row r="350" spans="1:64" x14ac:dyDescent="0.3">
      <c r="A350" t="s">
        <v>145</v>
      </c>
      <c r="B350" s="1" t="s">
        <v>145</v>
      </c>
      <c r="C350" s="9" t="s">
        <v>146</v>
      </c>
      <c r="D350" s="1" t="s">
        <v>95</v>
      </c>
      <c r="E350" s="1" t="s">
        <v>128</v>
      </c>
      <c r="F350" s="10" t="s">
        <v>147</v>
      </c>
      <c r="G350" s="1">
        <v>3.5000000000000003E-2</v>
      </c>
      <c r="H350" s="1">
        <v>0.05</v>
      </c>
      <c r="I350" s="8">
        <v>45467</v>
      </c>
      <c r="J350" s="6">
        <v>39267</v>
      </c>
      <c r="K350" s="6">
        <v>2301</v>
      </c>
      <c r="L350" s="6">
        <v>1752.9899999999998</v>
      </c>
      <c r="M350" s="6">
        <v>102.73000000000002</v>
      </c>
      <c r="N350" s="7">
        <v>371.13999999999987</v>
      </c>
      <c r="O350" s="6">
        <v>-41440.080000000002</v>
      </c>
      <c r="P350" s="6">
        <v>-1875.33</v>
      </c>
      <c r="Q350" s="6">
        <v>-1850</v>
      </c>
      <c r="R350" s="6">
        <v>-83.72</v>
      </c>
      <c r="S350" s="7">
        <v>-386.75000000000011</v>
      </c>
      <c r="T350" s="11">
        <v>-104.84000000000015</v>
      </c>
      <c r="U350" s="6">
        <v>-93.610000000000582</v>
      </c>
      <c r="V350" s="6">
        <v>0</v>
      </c>
      <c r="W350" s="6">
        <v>-8.7300000000000182</v>
      </c>
      <c r="AI350" s="2">
        <v>264957</v>
      </c>
      <c r="AJ350" s="2">
        <v>22567</v>
      </c>
      <c r="AK350" s="2">
        <v>11828.44</v>
      </c>
      <c r="AL350" s="2">
        <v>1007.46</v>
      </c>
      <c r="AM350" s="5">
        <v>2567.1799999999998</v>
      </c>
      <c r="AN350" s="12">
        <v>96693.52</v>
      </c>
      <c r="AO350" s="2">
        <v>4375.7700000000004</v>
      </c>
      <c r="AP350" s="2">
        <v>4316.68</v>
      </c>
      <c r="AQ350" s="2">
        <v>195.35</v>
      </c>
      <c r="AR350" s="5">
        <v>902.4</v>
      </c>
      <c r="AS350" s="2">
        <v>23315.61</v>
      </c>
      <c r="AT350" s="12">
        <v>20817.510000000002</v>
      </c>
      <c r="AU350" s="2">
        <v>0</v>
      </c>
      <c r="AV350" s="5">
        <v>1942.97</v>
      </c>
      <c r="AX350" s="2">
        <v>225690</v>
      </c>
      <c r="AY350" s="2">
        <v>20266</v>
      </c>
      <c r="AZ350" s="2">
        <v>10075.450000000001</v>
      </c>
      <c r="BA350" s="2">
        <v>904.73</v>
      </c>
      <c r="BB350" s="5">
        <v>2196.04</v>
      </c>
      <c r="BC350" s="12">
        <v>138133.6</v>
      </c>
      <c r="BD350" s="2">
        <v>6251.1</v>
      </c>
      <c r="BE350" s="2">
        <v>6166.68</v>
      </c>
      <c r="BF350" s="2">
        <v>279.07</v>
      </c>
      <c r="BG350" s="5">
        <v>1289.1500000000001</v>
      </c>
      <c r="BH350" s="2">
        <v>23420.45</v>
      </c>
      <c r="BI350" s="12">
        <v>20911.120000000003</v>
      </c>
      <c r="BJ350" s="2">
        <v>0</v>
      </c>
      <c r="BK350" s="5">
        <v>1951.7</v>
      </c>
      <c r="BL350" s="1" t="s">
        <v>130</v>
      </c>
    </row>
    <row r="351" spans="1:64" x14ac:dyDescent="0.3">
      <c r="A351" t="s">
        <v>145</v>
      </c>
      <c r="B351" s="1" t="s">
        <v>148</v>
      </c>
      <c r="C351" s="9" t="s">
        <v>149</v>
      </c>
      <c r="D351" s="1" t="s">
        <v>95</v>
      </c>
      <c r="E351" s="1" t="s">
        <v>128</v>
      </c>
      <c r="F351" s="10" t="s">
        <v>147</v>
      </c>
      <c r="G351" s="1">
        <v>3.5000000000000003E-2</v>
      </c>
      <c r="H351" s="1">
        <v>0.05</v>
      </c>
      <c r="I351" s="8">
        <v>45467</v>
      </c>
      <c r="J351" s="6">
        <v>7541</v>
      </c>
      <c r="K351" s="6">
        <v>1187</v>
      </c>
      <c r="L351" s="6">
        <v>336.65000000000009</v>
      </c>
      <c r="M351" s="6">
        <v>52.990000000000009</v>
      </c>
      <c r="N351" s="7">
        <v>77.930000000000064</v>
      </c>
      <c r="O351" s="6">
        <v>-10264.290000000005</v>
      </c>
      <c r="P351" s="6">
        <v>-922.25999999999976</v>
      </c>
      <c r="Q351" s="6">
        <v>-458.23</v>
      </c>
      <c r="R351" s="6">
        <v>-41.170000000000016</v>
      </c>
      <c r="S351" s="7">
        <v>-99.88</v>
      </c>
      <c r="T351" s="11">
        <v>-147.52000000000044</v>
      </c>
      <c r="U351" s="6">
        <v>-131.71000000000095</v>
      </c>
      <c r="V351" s="6">
        <v>0</v>
      </c>
      <c r="W351" s="6">
        <v>-12.299999999999955</v>
      </c>
      <c r="AI351" s="2">
        <v>68747</v>
      </c>
      <c r="AJ351" s="2">
        <v>10374</v>
      </c>
      <c r="AK351" s="2">
        <v>3069.06</v>
      </c>
      <c r="AL351" s="2">
        <v>463.12</v>
      </c>
      <c r="AM351" s="5">
        <v>706.44</v>
      </c>
      <c r="AN351" s="12">
        <v>23950.01</v>
      </c>
      <c r="AO351" s="2">
        <v>2151.94</v>
      </c>
      <c r="AP351" s="2">
        <v>1069.2</v>
      </c>
      <c r="AQ351" s="2">
        <v>96.07</v>
      </c>
      <c r="AR351" s="5">
        <v>233.05</v>
      </c>
      <c r="AS351" s="2">
        <v>6313.37</v>
      </c>
      <c r="AT351" s="12">
        <v>5636.94</v>
      </c>
      <c r="AU351" s="2">
        <v>0</v>
      </c>
      <c r="AV351" s="5">
        <v>526.11</v>
      </c>
      <c r="AX351" s="2">
        <v>61206</v>
      </c>
      <c r="AY351" s="2">
        <v>9187</v>
      </c>
      <c r="AZ351" s="2">
        <v>2732.41</v>
      </c>
      <c r="BA351" s="2">
        <v>410.13</v>
      </c>
      <c r="BB351" s="5">
        <v>628.51</v>
      </c>
      <c r="BC351" s="12">
        <v>34214.300000000003</v>
      </c>
      <c r="BD351" s="2">
        <v>3074.2</v>
      </c>
      <c r="BE351" s="2">
        <v>1527.43</v>
      </c>
      <c r="BF351" s="2">
        <v>137.24</v>
      </c>
      <c r="BG351" s="5">
        <v>332.93</v>
      </c>
      <c r="BH351" s="2">
        <v>6460.89</v>
      </c>
      <c r="BI351" s="12">
        <v>5768.6500000000005</v>
      </c>
      <c r="BJ351" s="2">
        <v>0</v>
      </c>
      <c r="BK351" s="5">
        <v>538.41</v>
      </c>
      <c r="BL351" s="1" t="s">
        <v>130</v>
      </c>
    </row>
    <row r="352" spans="1:64" x14ac:dyDescent="0.3">
      <c r="A352" t="s">
        <v>145</v>
      </c>
      <c r="B352" s="1" t="s">
        <v>150</v>
      </c>
      <c r="C352" s="9" t="s">
        <v>151</v>
      </c>
      <c r="D352" s="1" t="s">
        <v>95</v>
      </c>
      <c r="E352" s="1" t="s">
        <v>128</v>
      </c>
      <c r="F352" s="10" t="s">
        <v>147</v>
      </c>
      <c r="G352" s="1">
        <v>0</v>
      </c>
      <c r="H352" s="1">
        <v>0.05</v>
      </c>
      <c r="I352" s="8">
        <v>45467</v>
      </c>
      <c r="J352" s="6">
        <v>40258</v>
      </c>
      <c r="K352" s="6">
        <v>2125</v>
      </c>
      <c r="L352" s="6">
        <v>1797.2299999999996</v>
      </c>
      <c r="M352" s="6">
        <v>94.87</v>
      </c>
      <c r="N352" s="7">
        <v>378.42000000000007</v>
      </c>
      <c r="O352" s="6">
        <v>-14984.099999999999</v>
      </c>
      <c r="P352" s="6">
        <v>0</v>
      </c>
      <c r="Q352" s="6">
        <v>-668.93000000000029</v>
      </c>
      <c r="R352" s="6">
        <v>0</v>
      </c>
      <c r="S352" s="7">
        <v>312.17</v>
      </c>
      <c r="T352" s="11">
        <v>2143.41</v>
      </c>
      <c r="U352" s="6">
        <v>1913.7599999999966</v>
      </c>
      <c r="V352" s="6">
        <v>0</v>
      </c>
      <c r="W352" s="6">
        <v>137</v>
      </c>
      <c r="AI352" s="2">
        <v>275914</v>
      </c>
      <c r="AJ352" s="2">
        <v>15551</v>
      </c>
      <c r="AK352" s="2">
        <v>12317.59</v>
      </c>
      <c r="AL352" s="2">
        <v>694.24</v>
      </c>
      <c r="AM352" s="5">
        <v>2602.37</v>
      </c>
      <c r="AN352" s="12">
        <v>34962.9</v>
      </c>
      <c r="AO352" s="2">
        <v>0</v>
      </c>
      <c r="AP352" s="2">
        <v>1560.85</v>
      </c>
      <c r="AQ352" s="2">
        <v>0</v>
      </c>
      <c r="AR352" s="5">
        <v>312.17</v>
      </c>
      <c r="AS352" s="2">
        <v>19585.689999999999</v>
      </c>
      <c r="AT352" s="12">
        <v>17487.219999999998</v>
      </c>
      <c r="AU352" s="2">
        <v>0</v>
      </c>
      <c r="AV352" s="5">
        <v>1632.14</v>
      </c>
      <c r="AX352" s="2">
        <v>235656</v>
      </c>
      <c r="AY352" s="2">
        <v>13426</v>
      </c>
      <c r="AZ352" s="2">
        <v>10520.36</v>
      </c>
      <c r="BA352" s="2">
        <v>599.37</v>
      </c>
      <c r="BB352" s="5">
        <v>2223.9499999999998</v>
      </c>
      <c r="BC352" s="12">
        <v>49947</v>
      </c>
      <c r="BD352" s="2">
        <v>0</v>
      </c>
      <c r="BE352" s="2">
        <v>2229.7800000000002</v>
      </c>
      <c r="BF352" s="2">
        <v>0</v>
      </c>
      <c r="BG352" s="5">
        <v>0</v>
      </c>
      <c r="BH352" s="2">
        <v>17442.28</v>
      </c>
      <c r="BI352" s="12">
        <v>15573.460000000001</v>
      </c>
      <c r="BJ352" s="2">
        <v>0</v>
      </c>
      <c r="BK352" s="5">
        <v>1495.14</v>
      </c>
      <c r="BL352" s="1" t="s">
        <v>130</v>
      </c>
    </row>
    <row r="353" spans="1:64" x14ac:dyDescent="0.3">
      <c r="A353" t="s">
        <v>145</v>
      </c>
      <c r="B353" s="1" t="s">
        <v>152</v>
      </c>
      <c r="C353" s="9" t="s">
        <v>153</v>
      </c>
      <c r="D353" s="1" t="s">
        <v>95</v>
      </c>
      <c r="E353" s="1" t="s">
        <v>128</v>
      </c>
      <c r="F353" s="10" t="s">
        <v>147</v>
      </c>
      <c r="G353" s="1">
        <v>0</v>
      </c>
      <c r="H353" s="1">
        <v>0.05</v>
      </c>
      <c r="I353" s="8">
        <v>45467</v>
      </c>
      <c r="J353" s="6">
        <v>43895</v>
      </c>
      <c r="K353" s="6">
        <v>2835</v>
      </c>
      <c r="L353" s="6">
        <v>1959.6000000000004</v>
      </c>
      <c r="M353" s="6">
        <v>126.55999999999995</v>
      </c>
      <c r="N353" s="7">
        <v>417.23999999999978</v>
      </c>
      <c r="O353" s="6">
        <v>-22860.059999999998</v>
      </c>
      <c r="P353" s="6">
        <v>-2157.4800000000005</v>
      </c>
      <c r="Q353" s="6">
        <v>-1020.5299999999997</v>
      </c>
      <c r="R353" s="6">
        <v>-96.31</v>
      </c>
      <c r="S353" s="7">
        <v>521.20000000000005</v>
      </c>
      <c r="T353" s="11">
        <v>2136.6899999999987</v>
      </c>
      <c r="U353" s="6">
        <v>1907.7600000000057</v>
      </c>
      <c r="V353" s="6">
        <v>0</v>
      </c>
      <c r="W353" s="6">
        <v>108.55999999999995</v>
      </c>
      <c r="AI353" s="2">
        <v>303489</v>
      </c>
      <c r="AJ353" s="2">
        <v>21259</v>
      </c>
      <c r="AK353" s="2">
        <v>13548.62</v>
      </c>
      <c r="AL353" s="2">
        <v>949.06</v>
      </c>
      <c r="AM353" s="5">
        <v>2899.54</v>
      </c>
      <c r="AN353" s="12">
        <v>53340.14</v>
      </c>
      <c r="AO353" s="2">
        <v>5034.12</v>
      </c>
      <c r="AP353" s="2">
        <v>2381.2600000000002</v>
      </c>
      <c r="AQ353" s="2">
        <v>224.74</v>
      </c>
      <c r="AR353" s="5">
        <v>521.20000000000005</v>
      </c>
      <c r="AS353" s="2">
        <v>22987.35</v>
      </c>
      <c r="AT353" s="12">
        <v>20524.420000000006</v>
      </c>
      <c r="AU353" s="2">
        <v>0</v>
      </c>
      <c r="AV353" s="5">
        <v>1915.61</v>
      </c>
      <c r="AX353" s="2">
        <v>259594</v>
      </c>
      <c r="AY353" s="2">
        <v>18424</v>
      </c>
      <c r="AZ353" s="2">
        <v>11589.02</v>
      </c>
      <c r="BA353" s="2">
        <v>822.5</v>
      </c>
      <c r="BB353" s="5">
        <v>2482.3000000000002</v>
      </c>
      <c r="BC353" s="12">
        <v>76200.2</v>
      </c>
      <c r="BD353" s="2">
        <v>7191.6</v>
      </c>
      <c r="BE353" s="2">
        <v>3401.79</v>
      </c>
      <c r="BF353" s="2">
        <v>321.05</v>
      </c>
      <c r="BG353" s="5">
        <v>0</v>
      </c>
      <c r="BH353" s="2">
        <v>20850.66</v>
      </c>
      <c r="BI353" s="12">
        <v>18616.66</v>
      </c>
      <c r="BJ353" s="2">
        <v>0</v>
      </c>
      <c r="BK353" s="5">
        <v>1807.05</v>
      </c>
      <c r="BL353" s="1" t="s">
        <v>130</v>
      </c>
    </row>
    <row r="354" spans="1:64" x14ac:dyDescent="0.3">
      <c r="A354" t="s">
        <v>145</v>
      </c>
      <c r="B354" s="1" t="s">
        <v>154</v>
      </c>
      <c r="C354" s="9" t="s">
        <v>155</v>
      </c>
      <c r="D354" s="1" t="s">
        <v>95</v>
      </c>
      <c r="E354" s="1" t="s">
        <v>128</v>
      </c>
      <c r="F354" s="10" t="s">
        <v>147</v>
      </c>
      <c r="G354" s="1">
        <v>0</v>
      </c>
      <c r="H354" s="1">
        <v>0.05</v>
      </c>
      <c r="I354" s="8">
        <v>0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0</v>
      </c>
      <c r="AJ354" s="2">
        <v>0</v>
      </c>
      <c r="AK354" s="2">
        <v>0</v>
      </c>
      <c r="AL354" s="2">
        <v>0</v>
      </c>
      <c r="AM354" s="5">
        <v>0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0</v>
      </c>
      <c r="AT354" s="12">
        <v>0</v>
      </c>
      <c r="AU354" s="2">
        <v>0</v>
      </c>
      <c r="AV354" s="5">
        <v>0</v>
      </c>
      <c r="AX354" s="2">
        <v>0</v>
      </c>
      <c r="AY354" s="2">
        <v>0</v>
      </c>
      <c r="AZ354" s="2">
        <v>0</v>
      </c>
      <c r="BA354" s="2">
        <v>0</v>
      </c>
      <c r="BB354" s="5">
        <v>0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0</v>
      </c>
      <c r="BI354" s="12">
        <v>0</v>
      </c>
      <c r="BJ354" s="2">
        <v>0</v>
      </c>
      <c r="BK354" s="5">
        <v>0</v>
      </c>
      <c r="BL354" s="1" t="s">
        <v>130</v>
      </c>
    </row>
    <row r="355" spans="1:64" x14ac:dyDescent="0.3">
      <c r="A355" t="s">
        <v>191</v>
      </c>
      <c r="B355" s="1" t="s">
        <v>191</v>
      </c>
      <c r="C355" s="9" t="s">
        <v>192</v>
      </c>
      <c r="D355" s="1" t="s">
        <v>95</v>
      </c>
      <c r="E355" s="1" t="s">
        <v>135</v>
      </c>
      <c r="F355" s="10" t="s">
        <v>193</v>
      </c>
      <c r="G355" s="1">
        <v>3.5000000000000003E-2</v>
      </c>
      <c r="H355" s="1">
        <v>0.05</v>
      </c>
      <c r="I355" s="8">
        <v>44092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778146</v>
      </c>
      <c r="AJ355" s="2">
        <v>63598</v>
      </c>
      <c r="AK355" s="2">
        <v>34738.660000000003</v>
      </c>
      <c r="AL355" s="2">
        <v>2839.2</v>
      </c>
      <c r="AM355" s="5">
        <v>7515.57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50504.639999999999</v>
      </c>
      <c r="AT355" s="12">
        <v>45093.43</v>
      </c>
      <c r="AU355" s="2">
        <v>0</v>
      </c>
      <c r="AV355" s="5">
        <v>4208.72</v>
      </c>
      <c r="AX355" s="2">
        <v>778146</v>
      </c>
      <c r="AY355" s="2">
        <v>63598</v>
      </c>
      <c r="AZ355" s="2">
        <v>34738.660000000003</v>
      </c>
      <c r="BA355" s="2">
        <v>2839.2</v>
      </c>
      <c r="BB355" s="5">
        <v>7515.57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50504.639999999999</v>
      </c>
      <c r="BI355" s="12">
        <v>45093.43</v>
      </c>
      <c r="BJ355" s="2">
        <v>0</v>
      </c>
      <c r="BK355" s="5">
        <v>4208.72</v>
      </c>
      <c r="BL355" s="1" t="s">
        <v>137</v>
      </c>
    </row>
    <row r="356" spans="1:64" x14ac:dyDescent="0.3">
      <c r="A356" t="s">
        <v>191</v>
      </c>
      <c r="B356" s="1" t="s">
        <v>194</v>
      </c>
      <c r="C356" s="9" t="s">
        <v>195</v>
      </c>
      <c r="D356" s="1" t="s">
        <v>95</v>
      </c>
      <c r="E356" s="1" t="s">
        <v>135</v>
      </c>
      <c r="F356" s="10" t="s">
        <v>193</v>
      </c>
      <c r="G356" s="1">
        <v>4.4999999999999998E-2</v>
      </c>
      <c r="H356" s="1">
        <v>0.05</v>
      </c>
      <c r="I356" s="8">
        <v>44092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379268</v>
      </c>
      <c r="AJ356" s="2">
        <v>33068</v>
      </c>
      <c r="AK356" s="2">
        <v>16931.61</v>
      </c>
      <c r="AL356" s="2">
        <v>1476.25</v>
      </c>
      <c r="AM356" s="5">
        <v>3681.57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24740.16</v>
      </c>
      <c r="AT356" s="12">
        <v>22089.43</v>
      </c>
      <c r="AU356" s="2">
        <v>0</v>
      </c>
      <c r="AV356" s="5">
        <v>2061.6799999999998</v>
      </c>
      <c r="AX356" s="2">
        <v>379268</v>
      </c>
      <c r="AY356" s="2">
        <v>33068</v>
      </c>
      <c r="AZ356" s="2">
        <v>16931.61</v>
      </c>
      <c r="BA356" s="2">
        <v>1476.25</v>
      </c>
      <c r="BB356" s="5">
        <v>3681.57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24740.16</v>
      </c>
      <c r="BI356" s="12">
        <v>22089.43</v>
      </c>
      <c r="BJ356" s="2">
        <v>0</v>
      </c>
      <c r="BK356" s="5">
        <v>2061.6799999999998</v>
      </c>
      <c r="BL356" s="1" t="s">
        <v>137</v>
      </c>
    </row>
    <row r="357" spans="1:64" x14ac:dyDescent="0.3">
      <c r="A357" t="s">
        <v>191</v>
      </c>
      <c r="B357" s="1" t="s">
        <v>196</v>
      </c>
      <c r="C357" s="9" t="s">
        <v>197</v>
      </c>
      <c r="D357" s="1" t="s">
        <v>95</v>
      </c>
      <c r="E357" s="1" t="s">
        <v>135</v>
      </c>
      <c r="F357" s="10" t="s">
        <v>193</v>
      </c>
      <c r="G357" s="1">
        <v>4.4999999999999998E-2</v>
      </c>
      <c r="H357" s="1">
        <v>0.05</v>
      </c>
      <c r="I357" s="8">
        <v>44092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541913</v>
      </c>
      <c r="AJ357" s="2">
        <v>57691</v>
      </c>
      <c r="AK357" s="2">
        <v>24192.54</v>
      </c>
      <c r="AL357" s="2">
        <v>2575.4899999999998</v>
      </c>
      <c r="AM357" s="5">
        <v>5353.61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35976.239999999998</v>
      </c>
      <c r="AT357" s="12">
        <v>32121.64</v>
      </c>
      <c r="AU357" s="2">
        <v>0</v>
      </c>
      <c r="AV357" s="5">
        <v>2998.02</v>
      </c>
      <c r="AX357" s="2">
        <v>541913</v>
      </c>
      <c r="AY357" s="2">
        <v>57691</v>
      </c>
      <c r="AZ357" s="2">
        <v>24192.54</v>
      </c>
      <c r="BA357" s="2">
        <v>2575.4899999999998</v>
      </c>
      <c r="BB357" s="5">
        <v>5353.61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35976.239999999998</v>
      </c>
      <c r="BI357" s="12">
        <v>32121.64</v>
      </c>
      <c r="BJ357" s="2">
        <v>0</v>
      </c>
      <c r="BK357" s="5">
        <v>2998.02</v>
      </c>
      <c r="BL357" s="1" t="s">
        <v>137</v>
      </c>
    </row>
    <row r="358" spans="1:64" x14ac:dyDescent="0.3">
      <c r="A358" t="s">
        <v>191</v>
      </c>
      <c r="B358" s="1" t="s">
        <v>198</v>
      </c>
      <c r="C358" s="9" t="s">
        <v>199</v>
      </c>
      <c r="D358" s="1" t="s">
        <v>95</v>
      </c>
      <c r="E358" s="1" t="s">
        <v>135</v>
      </c>
      <c r="F358" s="10" t="s">
        <v>193</v>
      </c>
      <c r="G358" s="1">
        <v>0</v>
      </c>
      <c r="H358" s="1">
        <v>0.05</v>
      </c>
      <c r="I358" s="8">
        <v>44151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606909</v>
      </c>
      <c r="AJ358" s="2">
        <v>32969</v>
      </c>
      <c r="AK358" s="2">
        <v>27094.15</v>
      </c>
      <c r="AL358" s="2">
        <v>1471.83</v>
      </c>
      <c r="AM358" s="5">
        <v>5713.2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38392.68</v>
      </c>
      <c r="AT358" s="12">
        <v>34279.18</v>
      </c>
      <c r="AU358" s="2">
        <v>0</v>
      </c>
      <c r="AV358" s="5">
        <v>3199.39</v>
      </c>
      <c r="AX358" s="2">
        <v>606909</v>
      </c>
      <c r="AY358" s="2">
        <v>32969</v>
      </c>
      <c r="AZ358" s="2">
        <v>27094.15</v>
      </c>
      <c r="BA358" s="2">
        <v>1471.83</v>
      </c>
      <c r="BB358" s="5">
        <v>5713.2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38392.68</v>
      </c>
      <c r="BI358" s="12">
        <v>34279.18</v>
      </c>
      <c r="BJ358" s="2">
        <v>0</v>
      </c>
      <c r="BK358" s="5">
        <v>3199.39</v>
      </c>
      <c r="BL358" s="1" t="s">
        <v>137</v>
      </c>
    </row>
    <row r="359" spans="1:64" x14ac:dyDescent="0.3">
      <c r="A359" t="s">
        <v>191</v>
      </c>
      <c r="B359" s="1" t="s">
        <v>200</v>
      </c>
      <c r="C359" s="9" t="s">
        <v>201</v>
      </c>
      <c r="D359" s="1" t="s">
        <v>95</v>
      </c>
      <c r="E359" s="1" t="s">
        <v>135</v>
      </c>
      <c r="F359" s="10" t="s">
        <v>193</v>
      </c>
      <c r="G359" s="1">
        <v>0</v>
      </c>
      <c r="H359" s="1">
        <v>0.05</v>
      </c>
      <c r="I359" s="8">
        <v>44544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1303570</v>
      </c>
      <c r="AJ359" s="2">
        <v>58174</v>
      </c>
      <c r="AK359" s="2">
        <v>58195.09</v>
      </c>
      <c r="AL359" s="2">
        <v>2597.0500000000002</v>
      </c>
      <c r="AM359" s="5">
        <v>12158.43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81704.639999999999</v>
      </c>
      <c r="AT359" s="12">
        <v>72950.570000000007</v>
      </c>
      <c r="AU359" s="2">
        <v>0</v>
      </c>
      <c r="AV359" s="5">
        <v>6808.72</v>
      </c>
      <c r="AX359" s="2">
        <v>1303570</v>
      </c>
      <c r="AY359" s="2">
        <v>58174</v>
      </c>
      <c r="AZ359" s="2">
        <v>58195.09</v>
      </c>
      <c r="BA359" s="2">
        <v>2597.0500000000002</v>
      </c>
      <c r="BB359" s="5">
        <v>12158.43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81704.639999999999</v>
      </c>
      <c r="BI359" s="12">
        <v>72950.570000000007</v>
      </c>
      <c r="BJ359" s="2">
        <v>0</v>
      </c>
      <c r="BK359" s="5">
        <v>6808.72</v>
      </c>
      <c r="BL359" s="1" t="s">
        <v>137</v>
      </c>
    </row>
    <row r="360" spans="1:64" x14ac:dyDescent="0.3">
      <c r="A360" t="s">
        <v>191</v>
      </c>
      <c r="B360" s="1" t="s">
        <v>202</v>
      </c>
      <c r="C360" s="9" t="s">
        <v>203</v>
      </c>
      <c r="D360" s="1" t="s">
        <v>95</v>
      </c>
      <c r="E360" s="1" t="s">
        <v>135</v>
      </c>
      <c r="F360" s="10" t="s">
        <v>193</v>
      </c>
      <c r="G360" s="1">
        <v>0</v>
      </c>
      <c r="H360" s="1">
        <v>0.05</v>
      </c>
      <c r="I360" s="8">
        <v>45349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677820</v>
      </c>
      <c r="AJ360" s="2">
        <v>24219</v>
      </c>
      <c r="AK360" s="2">
        <v>30259.82</v>
      </c>
      <c r="AL360" s="2">
        <v>1081.21</v>
      </c>
      <c r="AM360" s="5">
        <v>6268.21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42122.35</v>
      </c>
      <c r="AT360" s="12">
        <v>37609.24</v>
      </c>
      <c r="AU360" s="2">
        <v>0</v>
      </c>
      <c r="AV360" s="5">
        <v>3510.2</v>
      </c>
      <c r="AX360" s="2">
        <v>677820</v>
      </c>
      <c r="AY360" s="2">
        <v>24219</v>
      </c>
      <c r="AZ360" s="2">
        <v>30259.82</v>
      </c>
      <c r="BA360" s="2">
        <v>1081.21</v>
      </c>
      <c r="BB360" s="5">
        <v>6268.21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42122.35</v>
      </c>
      <c r="BI360" s="12">
        <v>37609.24</v>
      </c>
      <c r="BJ360" s="2">
        <v>0</v>
      </c>
      <c r="BK360" s="5">
        <v>3510.2</v>
      </c>
      <c r="BL360" s="1" t="s">
        <v>137</v>
      </c>
    </row>
    <row r="361" spans="1:64" x14ac:dyDescent="0.3">
      <c r="A361" t="s">
        <v>216</v>
      </c>
      <c r="B361" s="1" t="s">
        <v>216</v>
      </c>
      <c r="C361" s="9" t="s">
        <v>217</v>
      </c>
      <c r="D361" s="1" t="s">
        <v>95</v>
      </c>
      <c r="E361" s="1" t="s">
        <v>88</v>
      </c>
      <c r="F361" s="10" t="s">
        <v>218</v>
      </c>
      <c r="G361" s="1">
        <v>0.04</v>
      </c>
      <c r="H361" s="1">
        <v>0.05</v>
      </c>
      <c r="I361" s="8">
        <v>44606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1528588</v>
      </c>
      <c r="AJ361" s="2">
        <v>237791</v>
      </c>
      <c r="AK361" s="2">
        <v>68240.539999999994</v>
      </c>
      <c r="AL361" s="2">
        <v>10615.67</v>
      </c>
      <c r="AM361" s="5">
        <v>15771.24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105982.74</v>
      </c>
      <c r="AT361" s="12">
        <v>94627.45</v>
      </c>
      <c r="AU361" s="2">
        <v>0</v>
      </c>
      <c r="AV361" s="5">
        <v>8831.9</v>
      </c>
      <c r="AX361" s="2">
        <v>1528588</v>
      </c>
      <c r="AY361" s="2">
        <v>237791</v>
      </c>
      <c r="AZ361" s="2">
        <v>68240.539999999994</v>
      </c>
      <c r="BA361" s="2">
        <v>10615.67</v>
      </c>
      <c r="BB361" s="5">
        <v>15771.24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105982.74</v>
      </c>
      <c r="BI361" s="12">
        <v>94627.45</v>
      </c>
      <c r="BJ361" s="2">
        <v>0</v>
      </c>
      <c r="BK361" s="5">
        <v>8831.9</v>
      </c>
      <c r="BL361" s="1" t="s">
        <v>90</v>
      </c>
    </row>
    <row r="362" spans="1:64" x14ac:dyDescent="0.3">
      <c r="A362" t="s">
        <v>237</v>
      </c>
      <c r="B362" s="1" t="s">
        <v>237</v>
      </c>
      <c r="C362" s="9" t="s">
        <v>238</v>
      </c>
      <c r="D362" s="1" t="s">
        <v>95</v>
      </c>
      <c r="E362" s="1" t="s">
        <v>135</v>
      </c>
      <c r="F362" s="10" t="s">
        <v>193</v>
      </c>
      <c r="G362" s="1">
        <v>3.5000000000000003E-2</v>
      </c>
      <c r="H362" s="1">
        <v>0.05</v>
      </c>
      <c r="I362" s="8">
        <v>45496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1117061</v>
      </c>
      <c r="AJ362" s="2">
        <v>229355</v>
      </c>
      <c r="AK362" s="2">
        <v>49868.79</v>
      </c>
      <c r="AL362" s="2">
        <v>10239.06</v>
      </c>
      <c r="AM362" s="5">
        <v>12021.57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80784.95</v>
      </c>
      <c r="AT362" s="12">
        <v>72129.42</v>
      </c>
      <c r="AU362" s="2">
        <v>0</v>
      </c>
      <c r="AV362" s="5">
        <v>6732.08</v>
      </c>
      <c r="AX362" s="2">
        <v>1117061</v>
      </c>
      <c r="AY362" s="2">
        <v>229355</v>
      </c>
      <c r="AZ362" s="2">
        <v>49868.79</v>
      </c>
      <c r="BA362" s="2">
        <v>10239.06</v>
      </c>
      <c r="BB362" s="5">
        <v>12021.57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80784.95</v>
      </c>
      <c r="BI362" s="12">
        <v>72129.42</v>
      </c>
      <c r="BJ362" s="2">
        <v>0</v>
      </c>
      <c r="BK362" s="5">
        <v>6732.08</v>
      </c>
      <c r="BL362" s="1" t="s">
        <v>137</v>
      </c>
    </row>
    <row r="363" spans="1:64" x14ac:dyDescent="0.3">
      <c r="A363" t="s">
        <v>249</v>
      </c>
      <c r="B363" s="1" t="s">
        <v>249</v>
      </c>
      <c r="C363" s="9" t="s">
        <v>250</v>
      </c>
      <c r="D363" s="1" t="s">
        <v>95</v>
      </c>
      <c r="E363" s="1" t="s">
        <v>88</v>
      </c>
      <c r="F363" s="10" t="s">
        <v>218</v>
      </c>
      <c r="G363" s="1">
        <v>3.5000000000000003E-2</v>
      </c>
      <c r="H363" s="1">
        <v>0.05</v>
      </c>
      <c r="I363" s="8">
        <v>45657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1120581</v>
      </c>
      <c r="AJ363" s="2">
        <v>252008</v>
      </c>
      <c r="AK363" s="2">
        <v>50025.94</v>
      </c>
      <c r="AL363" s="2">
        <v>11250.36</v>
      </c>
      <c r="AM363" s="5">
        <v>12255.26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82355.350000000006</v>
      </c>
      <c r="AT363" s="12">
        <v>73531.56</v>
      </c>
      <c r="AU363" s="2">
        <v>0</v>
      </c>
      <c r="AV363" s="5">
        <v>6862.94</v>
      </c>
      <c r="AX363" s="2">
        <v>1120581</v>
      </c>
      <c r="AY363" s="2">
        <v>252008</v>
      </c>
      <c r="AZ363" s="2">
        <v>50025.94</v>
      </c>
      <c r="BA363" s="2">
        <v>11250.36</v>
      </c>
      <c r="BB363" s="5">
        <v>12255.26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82355.350000000006</v>
      </c>
      <c r="BI363" s="12">
        <v>73531.56</v>
      </c>
      <c r="BJ363" s="2">
        <v>0</v>
      </c>
      <c r="BK363" s="5">
        <v>6862.94</v>
      </c>
      <c r="BL363" s="1" t="s">
        <v>90</v>
      </c>
    </row>
    <row r="364" spans="1:64" x14ac:dyDescent="0.3">
      <c r="A364" t="s">
        <v>249</v>
      </c>
      <c r="B364" s="1" t="s">
        <v>251</v>
      </c>
      <c r="C364" s="9" t="s">
        <v>252</v>
      </c>
      <c r="D364" s="1" t="s">
        <v>95</v>
      </c>
      <c r="E364" s="1" t="s">
        <v>88</v>
      </c>
      <c r="F364" s="10" t="s">
        <v>218</v>
      </c>
      <c r="G364" s="1">
        <v>3.5000000000000003E-2</v>
      </c>
      <c r="H364" s="1">
        <v>0.05</v>
      </c>
      <c r="I364" s="8">
        <v>45657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1032597</v>
      </c>
      <c r="AJ364" s="2">
        <v>223838</v>
      </c>
      <c r="AK364" s="2">
        <v>46098.080000000002</v>
      </c>
      <c r="AL364" s="2">
        <v>9992.77</v>
      </c>
      <c r="AM364" s="5">
        <v>11218.17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75386.100000000006</v>
      </c>
      <c r="AT364" s="12">
        <v>67309.02</v>
      </c>
      <c r="AU364" s="2">
        <v>0</v>
      </c>
      <c r="AV364" s="5">
        <v>6282.18</v>
      </c>
      <c r="AX364" s="2">
        <v>1032597</v>
      </c>
      <c r="AY364" s="2">
        <v>223838</v>
      </c>
      <c r="AZ364" s="2">
        <v>46098.080000000002</v>
      </c>
      <c r="BA364" s="2">
        <v>9992.77</v>
      </c>
      <c r="BB364" s="5">
        <v>11218.17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75386.100000000006</v>
      </c>
      <c r="BI364" s="12">
        <v>67309.02</v>
      </c>
      <c r="BJ364" s="2">
        <v>0</v>
      </c>
      <c r="BK364" s="5">
        <v>6282.18</v>
      </c>
      <c r="BL364" s="1" t="s">
        <v>90</v>
      </c>
    </row>
    <row r="365" spans="1:64" x14ac:dyDescent="0.3">
      <c r="A365" t="s">
        <v>255</v>
      </c>
      <c r="B365" s="1" t="s">
        <v>255</v>
      </c>
      <c r="C365" s="9" t="s">
        <v>256</v>
      </c>
      <c r="D365" s="1" t="s">
        <v>95</v>
      </c>
      <c r="E365" s="1" t="s">
        <v>135</v>
      </c>
      <c r="F365" s="10" t="s">
        <v>136</v>
      </c>
      <c r="G365" s="1">
        <v>3.5000000000000003E-2</v>
      </c>
      <c r="H365" s="1">
        <v>0.05</v>
      </c>
      <c r="I365" s="8">
        <v>45608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1766435.08</v>
      </c>
      <c r="AJ365" s="2">
        <v>329359</v>
      </c>
      <c r="AK365" s="2">
        <v>78858.710000000006</v>
      </c>
      <c r="AL365" s="2">
        <v>14703.53</v>
      </c>
      <c r="AM365" s="5">
        <v>18712.45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125747.65</v>
      </c>
      <c r="AT365" s="12">
        <v>112274.69</v>
      </c>
      <c r="AU365" s="2">
        <v>0</v>
      </c>
      <c r="AV365" s="5">
        <v>10478.969999999999</v>
      </c>
      <c r="AX365" s="2">
        <v>1766435.08</v>
      </c>
      <c r="AY365" s="2">
        <v>329359</v>
      </c>
      <c r="AZ365" s="2">
        <v>78858.710000000006</v>
      </c>
      <c r="BA365" s="2">
        <v>14703.53</v>
      </c>
      <c r="BB365" s="5">
        <v>18712.45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125747.65</v>
      </c>
      <c r="BI365" s="12">
        <v>112274.69</v>
      </c>
      <c r="BJ365" s="2">
        <v>0</v>
      </c>
      <c r="BK365" s="5">
        <v>10478.969999999999</v>
      </c>
      <c r="BL365" s="1" t="s">
        <v>137</v>
      </c>
    </row>
    <row r="366" spans="1:64" x14ac:dyDescent="0.3">
      <c r="A366" t="s">
        <v>255</v>
      </c>
      <c r="B366" s="1" t="s">
        <v>257</v>
      </c>
      <c r="C366" s="9" t="s">
        <v>258</v>
      </c>
      <c r="D366" s="1" t="s">
        <v>95</v>
      </c>
      <c r="E366" s="1" t="s">
        <v>135</v>
      </c>
      <c r="F366" s="10" t="s">
        <v>136</v>
      </c>
      <c r="G366" s="1">
        <v>3.5000000000000003E-2</v>
      </c>
      <c r="H366" s="1">
        <v>0.05</v>
      </c>
      <c r="I366" s="8">
        <v>45608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124027</v>
      </c>
      <c r="AJ366" s="2">
        <v>66564</v>
      </c>
      <c r="AK366" s="2">
        <v>5536.92</v>
      </c>
      <c r="AL366" s="2">
        <v>2971.61</v>
      </c>
      <c r="AM366" s="5">
        <v>1701.71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11435.47</v>
      </c>
      <c r="AT366" s="12">
        <v>10210.240000000002</v>
      </c>
      <c r="AU366" s="2">
        <v>0</v>
      </c>
      <c r="AV366" s="5">
        <v>952.96</v>
      </c>
      <c r="AX366" s="2">
        <v>124027</v>
      </c>
      <c r="AY366" s="2">
        <v>66564</v>
      </c>
      <c r="AZ366" s="2">
        <v>5536.92</v>
      </c>
      <c r="BA366" s="2">
        <v>2971.61</v>
      </c>
      <c r="BB366" s="5">
        <v>1701.71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11435.47</v>
      </c>
      <c r="BI366" s="12">
        <v>10210.240000000002</v>
      </c>
      <c r="BJ366" s="2">
        <v>0</v>
      </c>
      <c r="BK366" s="5">
        <v>952.96</v>
      </c>
      <c r="BL366" s="1" t="s">
        <v>137</v>
      </c>
    </row>
    <row r="367" spans="1:64" x14ac:dyDescent="0.3">
      <c r="A367" t="s">
        <v>255</v>
      </c>
      <c r="B367" s="1" t="s">
        <v>259</v>
      </c>
      <c r="C367" s="9" t="s">
        <v>260</v>
      </c>
      <c r="D367" s="1" t="s">
        <v>95</v>
      </c>
      <c r="E367" s="1" t="s">
        <v>135</v>
      </c>
      <c r="F367" s="10" t="s">
        <v>136</v>
      </c>
      <c r="G367" s="1">
        <v>3.5000000000000003E-2</v>
      </c>
      <c r="H367" s="1">
        <v>0.05</v>
      </c>
      <c r="I367" s="8">
        <v>45608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225228</v>
      </c>
      <c r="AJ367" s="2">
        <v>81871</v>
      </c>
      <c r="AK367" s="2">
        <v>10054.82</v>
      </c>
      <c r="AL367" s="2">
        <v>3654.96</v>
      </c>
      <c r="AM367" s="5">
        <v>2741.96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18425.95</v>
      </c>
      <c r="AT367" s="12">
        <v>16451.739999999998</v>
      </c>
      <c r="AU367" s="2">
        <v>0</v>
      </c>
      <c r="AV367" s="5">
        <v>1535.5</v>
      </c>
      <c r="AX367" s="2">
        <v>225228</v>
      </c>
      <c r="AY367" s="2">
        <v>81871</v>
      </c>
      <c r="AZ367" s="2">
        <v>10054.82</v>
      </c>
      <c r="BA367" s="2">
        <v>3654.96</v>
      </c>
      <c r="BB367" s="5">
        <v>2741.96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18425.95</v>
      </c>
      <c r="BI367" s="12">
        <v>16451.739999999998</v>
      </c>
      <c r="BJ367" s="2">
        <v>0</v>
      </c>
      <c r="BK367" s="5">
        <v>1535.5</v>
      </c>
      <c r="BL367" s="1" t="s">
        <v>137</v>
      </c>
    </row>
    <row r="368" spans="1:64" x14ac:dyDescent="0.3">
      <c r="A368" t="s">
        <v>278</v>
      </c>
      <c r="B368" s="1" t="s">
        <v>278</v>
      </c>
      <c r="C368" s="9" t="s">
        <v>279</v>
      </c>
      <c r="D368" s="1" t="s">
        <v>95</v>
      </c>
      <c r="E368" s="1" t="s">
        <v>88</v>
      </c>
      <c r="F368" s="10" t="s">
        <v>218</v>
      </c>
      <c r="G368" s="1">
        <v>3.5000000000000003E-2</v>
      </c>
      <c r="H368" s="1">
        <v>0.05</v>
      </c>
      <c r="I368" s="8">
        <v>44262</v>
      </c>
      <c r="J368" s="6">
        <v>84375</v>
      </c>
      <c r="K368" s="6">
        <v>23517</v>
      </c>
      <c r="L368" s="6">
        <v>3766.74</v>
      </c>
      <c r="M368" s="6">
        <v>1049.8700000000003</v>
      </c>
      <c r="N368" s="7">
        <v>963.32000000000016</v>
      </c>
      <c r="O368" s="6">
        <v>-112558.18</v>
      </c>
      <c r="P368" s="6">
        <v>-26061.14</v>
      </c>
      <c r="Q368" s="6">
        <v>-5024.92</v>
      </c>
      <c r="R368" s="6">
        <v>-1163.45</v>
      </c>
      <c r="S368" s="7">
        <v>-1237.67</v>
      </c>
      <c r="T368" s="11">
        <v>-1843.6399999999994</v>
      </c>
      <c r="U368" s="6">
        <v>-1646.1100000000006</v>
      </c>
      <c r="V368" s="6">
        <v>0</v>
      </c>
      <c r="W368" s="6">
        <v>-153.6400000000001</v>
      </c>
      <c r="AI368" s="2">
        <v>300427</v>
      </c>
      <c r="AJ368" s="2">
        <v>76442</v>
      </c>
      <c r="AK368" s="2">
        <v>13411.92</v>
      </c>
      <c r="AL368" s="2">
        <v>3412.59</v>
      </c>
      <c r="AM368" s="5">
        <v>3364.9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22612.14</v>
      </c>
      <c r="AT368" s="12">
        <v>20189.410000000003</v>
      </c>
      <c r="AU368" s="2">
        <v>0</v>
      </c>
      <c r="AV368" s="5">
        <v>1884.34</v>
      </c>
      <c r="AX368" s="2">
        <v>216052</v>
      </c>
      <c r="AY368" s="2">
        <v>52925</v>
      </c>
      <c r="AZ368" s="2">
        <v>9645.18</v>
      </c>
      <c r="BA368" s="2">
        <v>2362.7199999999998</v>
      </c>
      <c r="BB368" s="5">
        <v>2401.58</v>
      </c>
      <c r="BC368" s="12">
        <v>112558.18</v>
      </c>
      <c r="BD368" s="2">
        <v>26061.14</v>
      </c>
      <c r="BE368" s="2">
        <v>5024.92</v>
      </c>
      <c r="BF368" s="2">
        <v>1163.45</v>
      </c>
      <c r="BG368" s="5">
        <v>1237.67</v>
      </c>
      <c r="BH368" s="2">
        <v>24455.78</v>
      </c>
      <c r="BI368" s="12">
        <v>21835.520000000004</v>
      </c>
      <c r="BJ368" s="2">
        <v>0</v>
      </c>
      <c r="BK368" s="5">
        <v>2037.98</v>
      </c>
      <c r="BL368" s="1" t="s">
        <v>90</v>
      </c>
    </row>
    <row r="369" spans="1:64" x14ac:dyDescent="0.3">
      <c r="A369" t="s">
        <v>282</v>
      </c>
      <c r="B369" s="1" t="s">
        <v>282</v>
      </c>
      <c r="C369" s="9" t="s">
        <v>283</v>
      </c>
      <c r="D369" s="1" t="s">
        <v>95</v>
      </c>
      <c r="E369" s="1" t="s">
        <v>135</v>
      </c>
      <c r="F369" s="10" t="s">
        <v>193</v>
      </c>
      <c r="G369" s="1">
        <v>3.5000000000000003E-2</v>
      </c>
      <c r="H369" s="1">
        <v>0.05</v>
      </c>
      <c r="I369" s="8">
        <v>45496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928386</v>
      </c>
      <c r="AJ369" s="2">
        <v>369612</v>
      </c>
      <c r="AK369" s="2">
        <v>41445.800000000003</v>
      </c>
      <c r="AL369" s="2">
        <v>16500.54</v>
      </c>
      <c r="AM369" s="5">
        <v>11589.27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77879.88</v>
      </c>
      <c r="AT369" s="12">
        <v>69535.61</v>
      </c>
      <c r="AU369" s="2">
        <v>0</v>
      </c>
      <c r="AV369" s="5">
        <v>6489.99</v>
      </c>
      <c r="AX369" s="2">
        <v>928386</v>
      </c>
      <c r="AY369" s="2">
        <v>369612</v>
      </c>
      <c r="AZ369" s="2">
        <v>41445.800000000003</v>
      </c>
      <c r="BA369" s="2">
        <v>16500.54</v>
      </c>
      <c r="BB369" s="5">
        <v>11589.27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77879.88</v>
      </c>
      <c r="BI369" s="12">
        <v>69535.61</v>
      </c>
      <c r="BJ369" s="2">
        <v>0</v>
      </c>
      <c r="BK369" s="5">
        <v>6489.99</v>
      </c>
      <c r="BL369" s="1" t="s">
        <v>137</v>
      </c>
    </row>
    <row r="370" spans="1:64" x14ac:dyDescent="0.3">
      <c r="A370" t="s">
        <v>282</v>
      </c>
      <c r="B370" s="1" t="s">
        <v>284</v>
      </c>
      <c r="C370" s="9" t="s">
        <v>285</v>
      </c>
      <c r="D370" s="1" t="s">
        <v>95</v>
      </c>
      <c r="E370" s="1" t="s">
        <v>135</v>
      </c>
      <c r="F370" s="10" t="s">
        <v>193</v>
      </c>
      <c r="G370" s="1">
        <v>3.5000000000000003E-2</v>
      </c>
      <c r="H370" s="1">
        <v>0.05</v>
      </c>
      <c r="I370" s="8">
        <v>45496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515632</v>
      </c>
      <c r="AJ370" s="2">
        <v>325276</v>
      </c>
      <c r="AK370" s="2">
        <v>23019.29</v>
      </c>
      <c r="AL370" s="2">
        <v>14521.25</v>
      </c>
      <c r="AM370" s="5">
        <v>7508.11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50454.49</v>
      </c>
      <c r="AT370" s="12">
        <v>45048.65</v>
      </c>
      <c r="AU370" s="2">
        <v>0</v>
      </c>
      <c r="AV370" s="5">
        <v>4204.54</v>
      </c>
      <c r="AX370" s="2">
        <v>515632</v>
      </c>
      <c r="AY370" s="2">
        <v>325276</v>
      </c>
      <c r="AZ370" s="2">
        <v>23019.29</v>
      </c>
      <c r="BA370" s="2">
        <v>14521.25</v>
      </c>
      <c r="BB370" s="5">
        <v>7508.11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50454.49</v>
      </c>
      <c r="BI370" s="12">
        <v>45048.65</v>
      </c>
      <c r="BJ370" s="2">
        <v>0</v>
      </c>
      <c r="BK370" s="5">
        <v>4204.54</v>
      </c>
      <c r="BL370" s="1" t="s">
        <v>137</v>
      </c>
    </row>
    <row r="371" spans="1:64" x14ac:dyDescent="0.3">
      <c r="A371" t="s">
        <v>282</v>
      </c>
      <c r="B371" s="1" t="s">
        <v>286</v>
      </c>
      <c r="C371" s="9" t="s">
        <v>287</v>
      </c>
      <c r="D371" s="1" t="s">
        <v>95</v>
      </c>
      <c r="E371" s="1" t="s">
        <v>135</v>
      </c>
      <c r="F371" s="10" t="s">
        <v>193</v>
      </c>
      <c r="G371" s="1">
        <v>0</v>
      </c>
      <c r="H371" s="1">
        <v>0.05</v>
      </c>
      <c r="I371" s="8">
        <v>45496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281678</v>
      </c>
      <c r="AJ371" s="2">
        <v>149762</v>
      </c>
      <c r="AK371" s="2">
        <v>12574.91</v>
      </c>
      <c r="AL371" s="2">
        <v>6685.8</v>
      </c>
      <c r="AM371" s="5">
        <v>3852.14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25886.39</v>
      </c>
      <c r="AT371" s="12">
        <v>23112.85</v>
      </c>
      <c r="AU371" s="2">
        <v>0</v>
      </c>
      <c r="AV371" s="5">
        <v>2157.1999999999998</v>
      </c>
      <c r="AX371" s="2">
        <v>281678</v>
      </c>
      <c r="AY371" s="2">
        <v>149762</v>
      </c>
      <c r="AZ371" s="2">
        <v>12574.91</v>
      </c>
      <c r="BA371" s="2">
        <v>6685.8</v>
      </c>
      <c r="BB371" s="5">
        <v>3852.14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25886.39</v>
      </c>
      <c r="BI371" s="12">
        <v>23112.85</v>
      </c>
      <c r="BJ371" s="2">
        <v>0</v>
      </c>
      <c r="BK371" s="5">
        <v>2157.1999999999998</v>
      </c>
      <c r="BL371" s="1" t="s">
        <v>137</v>
      </c>
    </row>
    <row r="372" spans="1:64" x14ac:dyDescent="0.3">
      <c r="A372" t="s">
        <v>298</v>
      </c>
      <c r="B372" s="1" t="s">
        <v>298</v>
      </c>
      <c r="C372" s="9" t="s">
        <v>299</v>
      </c>
      <c r="D372" s="1" t="s">
        <v>95</v>
      </c>
      <c r="E372" s="1" t="s">
        <v>88</v>
      </c>
      <c r="F372" s="10" t="s">
        <v>218</v>
      </c>
      <c r="G372" s="1">
        <v>3.5000000000000003E-2</v>
      </c>
      <c r="H372" s="1">
        <v>0.05</v>
      </c>
      <c r="I372" s="8">
        <v>44000</v>
      </c>
      <c r="J372" s="6">
        <v>293285</v>
      </c>
      <c r="K372" s="6">
        <v>112550</v>
      </c>
      <c r="L372" s="6">
        <v>13093.08</v>
      </c>
      <c r="M372" s="6">
        <v>5024.5599999999995</v>
      </c>
      <c r="N372" s="7">
        <v>3623.5299999999997</v>
      </c>
      <c r="O372" s="6">
        <v>-421213.60000000003</v>
      </c>
      <c r="P372" s="6">
        <v>-111727.19999999998</v>
      </c>
      <c r="Q372" s="6">
        <v>-18804.18</v>
      </c>
      <c r="R372" s="6">
        <v>-4987.82</v>
      </c>
      <c r="S372" s="7">
        <v>-4758.3999999999996</v>
      </c>
      <c r="T372" s="11">
        <v>-7626.3300000000017</v>
      </c>
      <c r="U372" s="6">
        <v>-6809.2300000000032</v>
      </c>
      <c r="V372" s="6">
        <v>0</v>
      </c>
      <c r="W372" s="6">
        <v>-635.5300000000002</v>
      </c>
      <c r="AI372" s="2">
        <v>441164</v>
      </c>
      <c r="AJ372" s="2">
        <v>167560</v>
      </c>
      <c r="AK372" s="2">
        <v>19694.82</v>
      </c>
      <c r="AL372" s="2">
        <v>7480.36</v>
      </c>
      <c r="AM372" s="5">
        <v>5435.04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36523.449999999997</v>
      </c>
      <c r="AT372" s="12">
        <v>32610.22</v>
      </c>
      <c r="AU372" s="2">
        <v>0</v>
      </c>
      <c r="AV372" s="5">
        <v>3043.62</v>
      </c>
      <c r="AX372" s="2">
        <v>147879</v>
      </c>
      <c r="AY372" s="2">
        <v>55010</v>
      </c>
      <c r="AZ372" s="2">
        <v>6601.74</v>
      </c>
      <c r="BA372" s="2">
        <v>2455.8000000000002</v>
      </c>
      <c r="BB372" s="5">
        <v>1811.51</v>
      </c>
      <c r="BC372" s="12">
        <v>421213.60000000003</v>
      </c>
      <c r="BD372" s="2">
        <v>111727.19999999998</v>
      </c>
      <c r="BE372" s="2">
        <v>18804.18</v>
      </c>
      <c r="BF372" s="2">
        <v>4987.82</v>
      </c>
      <c r="BG372" s="5">
        <v>4758.3999999999996</v>
      </c>
      <c r="BH372" s="2">
        <v>44149.78</v>
      </c>
      <c r="BI372" s="12">
        <v>39419.450000000004</v>
      </c>
      <c r="BJ372" s="2">
        <v>0</v>
      </c>
      <c r="BK372" s="5">
        <v>3679.15</v>
      </c>
      <c r="BL372" s="1" t="s">
        <v>90</v>
      </c>
    </row>
    <row r="373" spans="1:64" x14ac:dyDescent="0.3">
      <c r="A373" t="s">
        <v>300</v>
      </c>
      <c r="B373" s="1" t="s">
        <v>300</v>
      </c>
      <c r="C373" s="9" t="s">
        <v>301</v>
      </c>
      <c r="D373" s="1" t="s">
        <v>95</v>
      </c>
      <c r="E373" s="1" t="s">
        <v>135</v>
      </c>
      <c r="F373" s="10" t="s">
        <v>136</v>
      </c>
      <c r="G373" s="1">
        <v>3.5000000000000003E-2</v>
      </c>
      <c r="H373" s="1">
        <v>0.05</v>
      </c>
      <c r="I373" s="8">
        <v>44019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1830668</v>
      </c>
      <c r="AJ373" s="2">
        <v>186567</v>
      </c>
      <c r="AK373" s="2">
        <v>81726.25</v>
      </c>
      <c r="AL373" s="2">
        <v>8328.8799999999992</v>
      </c>
      <c r="AM373" s="5">
        <v>18011.03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121034.1</v>
      </c>
      <c r="AT373" s="12">
        <v>108066.16</v>
      </c>
      <c r="AU373" s="2">
        <v>0</v>
      </c>
      <c r="AV373" s="5">
        <v>10086.18</v>
      </c>
      <c r="AX373" s="2">
        <v>1830668</v>
      </c>
      <c r="AY373" s="2">
        <v>186567</v>
      </c>
      <c r="AZ373" s="2">
        <v>81726.25</v>
      </c>
      <c r="BA373" s="2">
        <v>8328.8799999999992</v>
      </c>
      <c r="BB373" s="5">
        <v>18011.03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121034.1</v>
      </c>
      <c r="BI373" s="12">
        <v>108066.16</v>
      </c>
      <c r="BJ373" s="2">
        <v>0</v>
      </c>
      <c r="BK373" s="5">
        <v>10086.18</v>
      </c>
      <c r="BL373" s="1" t="s">
        <v>302</v>
      </c>
    </row>
    <row r="374" spans="1:64" x14ac:dyDescent="0.3">
      <c r="A374" t="s">
        <v>300</v>
      </c>
      <c r="B374" s="1" t="s">
        <v>303</v>
      </c>
      <c r="C374" s="9" t="s">
        <v>304</v>
      </c>
      <c r="D374" s="1" t="s">
        <v>95</v>
      </c>
      <c r="E374" s="1" t="s">
        <v>135</v>
      </c>
      <c r="F374" s="10" t="s">
        <v>136</v>
      </c>
      <c r="G374" s="1">
        <v>3.5000000000000003E-2</v>
      </c>
      <c r="H374" s="1">
        <v>0.05</v>
      </c>
      <c r="I374" s="8">
        <v>44019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0</v>
      </c>
      <c r="AJ374" s="2">
        <v>0</v>
      </c>
      <c r="AK374" s="2">
        <v>0</v>
      </c>
      <c r="AL374" s="2">
        <v>0</v>
      </c>
      <c r="AM374" s="5">
        <v>0</v>
      </c>
      <c r="AN374" s="12">
        <v>404954.39999999997</v>
      </c>
      <c r="AO374" s="2">
        <v>82522.8</v>
      </c>
      <c r="AP374" s="2">
        <v>18078.32</v>
      </c>
      <c r="AQ374" s="2">
        <v>3684.05</v>
      </c>
      <c r="AR374" s="5">
        <v>4352.47</v>
      </c>
      <c r="AS374" s="2">
        <v>29248.62</v>
      </c>
      <c r="AT374" s="12">
        <v>26114.84</v>
      </c>
      <c r="AU374" s="2">
        <v>0</v>
      </c>
      <c r="AV374" s="5">
        <v>2437.39</v>
      </c>
      <c r="AX374" s="2">
        <v>0</v>
      </c>
      <c r="AY374" s="2">
        <v>0</v>
      </c>
      <c r="AZ374" s="2">
        <v>0</v>
      </c>
      <c r="BA374" s="2">
        <v>0</v>
      </c>
      <c r="BB374" s="5">
        <v>0</v>
      </c>
      <c r="BC374" s="12">
        <v>404954.39999999997</v>
      </c>
      <c r="BD374" s="2">
        <v>82522.8</v>
      </c>
      <c r="BE374" s="2">
        <v>18078.32</v>
      </c>
      <c r="BF374" s="2">
        <v>3684.05</v>
      </c>
      <c r="BG374" s="5">
        <v>4352.47</v>
      </c>
      <c r="BH374" s="2">
        <v>29248.62</v>
      </c>
      <c r="BI374" s="12">
        <v>26114.84</v>
      </c>
      <c r="BJ374" s="2">
        <v>0</v>
      </c>
      <c r="BK374" s="5">
        <v>2437.39</v>
      </c>
      <c r="BL374" s="1" t="s">
        <v>302</v>
      </c>
    </row>
    <row r="375" spans="1:64" x14ac:dyDescent="0.3">
      <c r="A375" t="s">
        <v>300</v>
      </c>
      <c r="B375" s="1" t="s">
        <v>305</v>
      </c>
      <c r="C375" s="9" t="s">
        <v>306</v>
      </c>
      <c r="D375" s="1" t="s">
        <v>95</v>
      </c>
      <c r="E375" s="1" t="s">
        <v>135</v>
      </c>
      <c r="F375" s="10" t="s">
        <v>136</v>
      </c>
      <c r="G375" s="1">
        <v>0</v>
      </c>
      <c r="H375" s="1">
        <v>0.05</v>
      </c>
      <c r="I375" s="8">
        <v>45767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2370.7600000000002</v>
      </c>
      <c r="T375" s="11">
        <v>2655.25</v>
      </c>
      <c r="U375" s="6">
        <v>2370.7600000000002</v>
      </c>
      <c r="V375" s="6">
        <v>0</v>
      </c>
      <c r="W375" s="6">
        <v>0</v>
      </c>
      <c r="AI375" s="2">
        <v>0</v>
      </c>
      <c r="AJ375" s="2">
        <v>0</v>
      </c>
      <c r="AK375" s="2">
        <v>0</v>
      </c>
      <c r="AL375" s="2">
        <v>0</v>
      </c>
      <c r="AM375" s="5">
        <v>0</v>
      </c>
      <c r="AN375" s="12">
        <v>265525.2</v>
      </c>
      <c r="AO375" s="2">
        <v>0</v>
      </c>
      <c r="AP375" s="2">
        <v>4346.3900000000003</v>
      </c>
      <c r="AQ375" s="2">
        <v>0</v>
      </c>
      <c r="AR375" s="5">
        <v>2370.7600000000002</v>
      </c>
      <c r="AS375" s="2">
        <v>7523.21</v>
      </c>
      <c r="AT375" s="12">
        <v>6717.1500000000005</v>
      </c>
      <c r="AU375" s="2">
        <v>0</v>
      </c>
      <c r="AV375" s="5">
        <v>1327.63</v>
      </c>
      <c r="AX375" s="2">
        <v>0</v>
      </c>
      <c r="AY375" s="2">
        <v>0</v>
      </c>
      <c r="AZ375" s="2">
        <v>0</v>
      </c>
      <c r="BA375" s="2">
        <v>0</v>
      </c>
      <c r="BB375" s="5">
        <v>0</v>
      </c>
      <c r="BC375" s="12">
        <v>265525.2</v>
      </c>
      <c r="BD375" s="2">
        <v>0</v>
      </c>
      <c r="BE375" s="2">
        <v>4346.3900000000003</v>
      </c>
      <c r="BF375" s="2">
        <v>0</v>
      </c>
      <c r="BG375" s="5">
        <v>0</v>
      </c>
      <c r="BH375" s="2">
        <v>4867.96</v>
      </c>
      <c r="BI375" s="12">
        <v>4346.3900000000003</v>
      </c>
      <c r="BJ375" s="2">
        <v>0</v>
      </c>
      <c r="BK375" s="5">
        <v>1327.63</v>
      </c>
      <c r="BL375" s="1" t="s">
        <v>302</v>
      </c>
    </row>
    <row r="376" spans="1:64" x14ac:dyDescent="0.3">
      <c r="A376" t="s">
        <v>307</v>
      </c>
      <c r="B376" s="1" t="s">
        <v>307</v>
      </c>
      <c r="C376" s="9" t="s">
        <v>308</v>
      </c>
      <c r="D376" s="1" t="s">
        <v>95</v>
      </c>
      <c r="E376" s="1" t="s">
        <v>128</v>
      </c>
      <c r="F376" s="10" t="s">
        <v>309</v>
      </c>
      <c r="G376" s="1">
        <v>3.5000000000000003E-2</v>
      </c>
      <c r="H376" s="1">
        <v>0.05</v>
      </c>
      <c r="I376" s="8">
        <v>44040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710757</v>
      </c>
      <c r="AJ376" s="2">
        <v>87818</v>
      </c>
      <c r="AK376" s="2">
        <v>31730.22</v>
      </c>
      <c r="AL376" s="2">
        <v>3920.45</v>
      </c>
      <c r="AM376" s="5">
        <v>7130.13</v>
      </c>
      <c r="AN376" s="12">
        <v>251607.37</v>
      </c>
      <c r="AO376" s="2">
        <v>14047.39</v>
      </c>
      <c r="AP376" s="2">
        <v>11232.47</v>
      </c>
      <c r="AQ376" s="2">
        <v>627.12</v>
      </c>
      <c r="AR376" s="5">
        <v>2371.92</v>
      </c>
      <c r="AS376" s="2">
        <v>63853.79</v>
      </c>
      <c r="AT376" s="12">
        <v>57012.31</v>
      </c>
      <c r="AU376" s="2">
        <v>0</v>
      </c>
      <c r="AV376" s="5">
        <v>5321.15</v>
      </c>
      <c r="AX376" s="2">
        <v>710757</v>
      </c>
      <c r="AY376" s="2">
        <v>87818</v>
      </c>
      <c r="AZ376" s="2">
        <v>31730.22</v>
      </c>
      <c r="BA376" s="2">
        <v>3920.45</v>
      </c>
      <c r="BB376" s="5">
        <v>7130.13</v>
      </c>
      <c r="BC376" s="12">
        <v>251607.37</v>
      </c>
      <c r="BD376" s="2">
        <v>14047.39</v>
      </c>
      <c r="BE376" s="2">
        <v>11232.47</v>
      </c>
      <c r="BF376" s="2">
        <v>627.12</v>
      </c>
      <c r="BG376" s="5">
        <v>2371.92</v>
      </c>
      <c r="BH376" s="2">
        <v>63853.79</v>
      </c>
      <c r="BI376" s="12">
        <v>57012.31</v>
      </c>
      <c r="BJ376" s="2">
        <v>0</v>
      </c>
      <c r="BK376" s="5">
        <v>5321.15</v>
      </c>
      <c r="BL376" s="1" t="s">
        <v>130</v>
      </c>
    </row>
    <row r="377" spans="1:64" x14ac:dyDescent="0.3">
      <c r="A377" t="s">
        <v>307</v>
      </c>
      <c r="B377" s="1" t="s">
        <v>310</v>
      </c>
      <c r="C377" s="9" t="s">
        <v>311</v>
      </c>
      <c r="D377" s="1" t="s">
        <v>95</v>
      </c>
      <c r="E377" s="1" t="s">
        <v>128</v>
      </c>
      <c r="F377" s="10" t="s">
        <v>309</v>
      </c>
      <c r="G377" s="1">
        <v>3.5000000000000003E-2</v>
      </c>
      <c r="H377" s="1">
        <v>0.05</v>
      </c>
      <c r="I377" s="8">
        <v>44040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322359</v>
      </c>
      <c r="AJ377" s="2">
        <v>23953</v>
      </c>
      <c r="AK377" s="2">
        <v>14391.03</v>
      </c>
      <c r="AL377" s="2">
        <v>1069.33</v>
      </c>
      <c r="AM377" s="5">
        <v>3092.07</v>
      </c>
      <c r="AN377" s="12">
        <v>92886.71</v>
      </c>
      <c r="AO377" s="2">
        <v>3596.81</v>
      </c>
      <c r="AP377" s="2">
        <v>4146.7299999999996</v>
      </c>
      <c r="AQ377" s="2">
        <v>160.57</v>
      </c>
      <c r="AR377" s="5">
        <v>861.46</v>
      </c>
      <c r="AS377" s="2">
        <v>26567.73</v>
      </c>
      <c r="AT377" s="12">
        <v>23721.19</v>
      </c>
      <c r="AU377" s="2">
        <v>0</v>
      </c>
      <c r="AV377" s="5">
        <v>2213.98</v>
      </c>
      <c r="AX377" s="2">
        <v>322359</v>
      </c>
      <c r="AY377" s="2">
        <v>23953</v>
      </c>
      <c r="AZ377" s="2">
        <v>14391.03</v>
      </c>
      <c r="BA377" s="2">
        <v>1069.33</v>
      </c>
      <c r="BB377" s="5">
        <v>3092.07</v>
      </c>
      <c r="BC377" s="12">
        <v>92886.71</v>
      </c>
      <c r="BD377" s="2">
        <v>3596.81</v>
      </c>
      <c r="BE377" s="2">
        <v>4146.7299999999996</v>
      </c>
      <c r="BF377" s="2">
        <v>160.57</v>
      </c>
      <c r="BG377" s="5">
        <v>861.46</v>
      </c>
      <c r="BH377" s="2">
        <v>26567.73</v>
      </c>
      <c r="BI377" s="12">
        <v>23721.19</v>
      </c>
      <c r="BJ377" s="2">
        <v>0</v>
      </c>
      <c r="BK377" s="5">
        <v>2213.98</v>
      </c>
      <c r="BL377" s="1" t="s">
        <v>130</v>
      </c>
    </row>
    <row r="378" spans="1:64" x14ac:dyDescent="0.3">
      <c r="A378" t="s">
        <v>323</v>
      </c>
      <c r="B378" s="1" t="s">
        <v>323</v>
      </c>
      <c r="C378" s="9" t="s">
        <v>324</v>
      </c>
      <c r="D378" s="1" t="s">
        <v>95</v>
      </c>
      <c r="E378" s="1" t="s">
        <v>128</v>
      </c>
      <c r="F378" s="10" t="s">
        <v>325</v>
      </c>
      <c r="G378" s="1">
        <v>3.5000000000000003E-2</v>
      </c>
      <c r="H378" s="1">
        <v>0.05</v>
      </c>
      <c r="I378" s="8">
        <v>44424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2422911</v>
      </c>
      <c r="AJ378" s="2">
        <v>159918</v>
      </c>
      <c r="AK378" s="2">
        <v>108165.67</v>
      </c>
      <c r="AL378" s="2">
        <v>7139.2</v>
      </c>
      <c r="AM378" s="5">
        <v>23060.97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154969.74</v>
      </c>
      <c r="AT378" s="12">
        <v>138365.84</v>
      </c>
      <c r="AU378" s="2">
        <v>0</v>
      </c>
      <c r="AV378" s="5">
        <v>12914.14</v>
      </c>
      <c r="AX378" s="2">
        <v>2422911</v>
      </c>
      <c r="AY378" s="2">
        <v>159918</v>
      </c>
      <c r="AZ378" s="2">
        <v>108165.67</v>
      </c>
      <c r="BA378" s="2">
        <v>7139.2</v>
      </c>
      <c r="BB378" s="5">
        <v>23060.97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154969.74</v>
      </c>
      <c r="BI378" s="12">
        <v>138365.84</v>
      </c>
      <c r="BJ378" s="2">
        <v>0</v>
      </c>
      <c r="BK378" s="5">
        <v>12914.14</v>
      </c>
      <c r="BL378" s="1" t="s">
        <v>326</v>
      </c>
    </row>
    <row r="379" spans="1:64" x14ac:dyDescent="0.3">
      <c r="A379" t="s">
        <v>342</v>
      </c>
      <c r="B379" s="1" t="s">
        <v>342</v>
      </c>
      <c r="C379" s="9" t="s">
        <v>343</v>
      </c>
      <c r="D379" s="1" t="s">
        <v>95</v>
      </c>
      <c r="E379" s="1" t="s">
        <v>128</v>
      </c>
      <c r="F379" s="10" t="s">
        <v>147</v>
      </c>
      <c r="G379" s="1">
        <v>0.04</v>
      </c>
      <c r="H379" s="1">
        <v>0.05</v>
      </c>
      <c r="I379" s="8">
        <v>44615</v>
      </c>
      <c r="J379" s="6">
        <v>165336</v>
      </c>
      <c r="K379" s="6">
        <v>21652</v>
      </c>
      <c r="L379" s="6">
        <v>7381.08</v>
      </c>
      <c r="M379" s="6">
        <v>966.61000000000013</v>
      </c>
      <c r="N379" s="7">
        <v>1669.5400000000004</v>
      </c>
      <c r="O379" s="6">
        <v>-175299.8</v>
      </c>
      <c r="P379" s="6">
        <v>-9639</v>
      </c>
      <c r="Q379" s="6">
        <v>-7825.88</v>
      </c>
      <c r="R379" s="6">
        <v>-430.31</v>
      </c>
      <c r="S379" s="7">
        <v>-1651.24</v>
      </c>
      <c r="T379" s="11">
        <v>122.9800000000032</v>
      </c>
      <c r="U379" s="6">
        <v>109.799999999992</v>
      </c>
      <c r="V379" s="6">
        <v>0</v>
      </c>
      <c r="W379" s="6">
        <v>10.239999999999782</v>
      </c>
      <c r="AI379" s="2">
        <v>479202</v>
      </c>
      <c r="AJ379" s="2">
        <v>71727</v>
      </c>
      <c r="AK379" s="2">
        <v>21392.95</v>
      </c>
      <c r="AL379" s="2">
        <v>3202.1</v>
      </c>
      <c r="AM379" s="5">
        <v>4919.01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33055.75</v>
      </c>
      <c r="AT379" s="12">
        <v>29514.059999999998</v>
      </c>
      <c r="AU379" s="2">
        <v>0</v>
      </c>
      <c r="AV379" s="5">
        <v>2754.64</v>
      </c>
      <c r="AX379" s="2">
        <v>313866</v>
      </c>
      <c r="AY379" s="2">
        <v>50075</v>
      </c>
      <c r="AZ379" s="2">
        <v>14011.87</v>
      </c>
      <c r="BA379" s="2">
        <v>2235.4899999999998</v>
      </c>
      <c r="BB379" s="5">
        <v>3249.47</v>
      </c>
      <c r="BC379" s="12">
        <v>175299.8</v>
      </c>
      <c r="BD379" s="2">
        <v>9639</v>
      </c>
      <c r="BE379" s="2">
        <v>7825.88</v>
      </c>
      <c r="BF379" s="2">
        <v>430.31</v>
      </c>
      <c r="BG379" s="5">
        <v>1651.24</v>
      </c>
      <c r="BH379" s="2">
        <v>32932.769999999997</v>
      </c>
      <c r="BI379" s="12">
        <v>29404.260000000006</v>
      </c>
      <c r="BJ379" s="2">
        <v>0</v>
      </c>
      <c r="BK379" s="5">
        <v>2744.4</v>
      </c>
      <c r="BL379" s="1" t="s">
        <v>130</v>
      </c>
    </row>
    <row r="380" spans="1:64" x14ac:dyDescent="0.3">
      <c r="A380" t="s">
        <v>342</v>
      </c>
      <c r="B380" s="1" t="s">
        <v>344</v>
      </c>
      <c r="C380" s="9" t="s">
        <v>345</v>
      </c>
      <c r="D380" s="1" t="s">
        <v>95</v>
      </c>
      <c r="E380" s="1" t="s">
        <v>128</v>
      </c>
      <c r="F380" s="10" t="s">
        <v>147</v>
      </c>
      <c r="G380" s="1">
        <v>0.04</v>
      </c>
      <c r="H380" s="1">
        <v>0.05</v>
      </c>
      <c r="I380" s="8">
        <v>44615</v>
      </c>
      <c r="J380" s="6">
        <v>136616</v>
      </c>
      <c r="K380" s="6">
        <v>23264</v>
      </c>
      <c r="L380" s="6">
        <v>6098.93</v>
      </c>
      <c r="M380" s="6">
        <v>1038.5700000000002</v>
      </c>
      <c r="N380" s="7">
        <v>1427.5000000000005</v>
      </c>
      <c r="O380" s="6">
        <v>-135738.1</v>
      </c>
      <c r="P380" s="6">
        <v>-13492.300000000001</v>
      </c>
      <c r="Q380" s="6">
        <v>-6059.74</v>
      </c>
      <c r="R380" s="6">
        <v>-602.34</v>
      </c>
      <c r="S380" s="7">
        <v>-1332.41</v>
      </c>
      <c r="T380" s="11">
        <v>638.96999999999753</v>
      </c>
      <c r="U380" s="6">
        <v>570.51000000000204</v>
      </c>
      <c r="V380" s="6">
        <v>0</v>
      </c>
      <c r="W380" s="6">
        <v>53.25</v>
      </c>
      <c r="AI380" s="2">
        <v>398336</v>
      </c>
      <c r="AJ380" s="2">
        <v>79066</v>
      </c>
      <c r="AK380" s="2">
        <v>17782.86</v>
      </c>
      <c r="AL380" s="2">
        <v>3529.73</v>
      </c>
      <c r="AM380" s="5">
        <v>4262.5200000000004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28644.12</v>
      </c>
      <c r="AT380" s="12">
        <v>25575.11</v>
      </c>
      <c r="AU380" s="2">
        <v>0</v>
      </c>
      <c r="AV380" s="5">
        <v>2387.0100000000002</v>
      </c>
      <c r="AX380" s="2">
        <v>261720</v>
      </c>
      <c r="AY380" s="2">
        <v>55802</v>
      </c>
      <c r="AZ380" s="2">
        <v>11683.93</v>
      </c>
      <c r="BA380" s="2">
        <v>2491.16</v>
      </c>
      <c r="BB380" s="5">
        <v>2835.02</v>
      </c>
      <c r="BC380" s="12">
        <v>135738.1</v>
      </c>
      <c r="BD380" s="2">
        <v>13492.300000000001</v>
      </c>
      <c r="BE380" s="2">
        <v>6059.74</v>
      </c>
      <c r="BF380" s="2">
        <v>602.34</v>
      </c>
      <c r="BG380" s="5">
        <v>1332.41</v>
      </c>
      <c r="BH380" s="2">
        <v>28005.15</v>
      </c>
      <c r="BI380" s="12">
        <v>25004.6</v>
      </c>
      <c r="BJ380" s="2">
        <v>0</v>
      </c>
      <c r="BK380" s="5">
        <v>2333.7600000000002</v>
      </c>
      <c r="BL380" s="1" t="s">
        <v>130</v>
      </c>
    </row>
    <row r="381" spans="1:64" x14ac:dyDescent="0.3">
      <c r="A381" t="s">
        <v>346</v>
      </c>
      <c r="B381" s="1" t="s">
        <v>346</v>
      </c>
      <c r="C381" s="9" t="s">
        <v>347</v>
      </c>
      <c r="D381" s="1" t="s">
        <v>95</v>
      </c>
      <c r="E381" s="1" t="s">
        <v>135</v>
      </c>
      <c r="F381" s="10" t="s">
        <v>348</v>
      </c>
      <c r="G381" s="1">
        <v>0.04</v>
      </c>
      <c r="H381" s="1">
        <v>0.05</v>
      </c>
      <c r="I381" s="8">
        <v>44630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195519</v>
      </c>
      <c r="AJ381" s="2">
        <v>52913</v>
      </c>
      <c r="AK381" s="2">
        <v>8728.5300000000007</v>
      </c>
      <c r="AL381" s="2">
        <v>2362.19</v>
      </c>
      <c r="AM381" s="5">
        <v>2218.14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14905.92</v>
      </c>
      <c r="AT381" s="12">
        <v>13308.86</v>
      </c>
      <c r="AU381" s="2">
        <v>0</v>
      </c>
      <c r="AV381" s="5">
        <v>1242.1600000000001</v>
      </c>
      <c r="AX381" s="2">
        <v>195519</v>
      </c>
      <c r="AY381" s="2">
        <v>52913</v>
      </c>
      <c r="AZ381" s="2">
        <v>8728.5300000000007</v>
      </c>
      <c r="BA381" s="2">
        <v>2362.19</v>
      </c>
      <c r="BB381" s="5">
        <v>2218.14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14905.92</v>
      </c>
      <c r="BI381" s="12">
        <v>13308.86</v>
      </c>
      <c r="BJ381" s="2">
        <v>0</v>
      </c>
      <c r="BK381" s="5">
        <v>1242.1600000000001</v>
      </c>
      <c r="BL381" s="1" t="s">
        <v>137</v>
      </c>
    </row>
    <row r="382" spans="1:64" x14ac:dyDescent="0.3">
      <c r="A382" t="s">
        <v>346</v>
      </c>
      <c r="B382" s="1" t="s">
        <v>349</v>
      </c>
      <c r="C382" s="9" t="s">
        <v>350</v>
      </c>
      <c r="D382" s="1" t="s">
        <v>95</v>
      </c>
      <c r="E382" s="1" t="s">
        <v>135</v>
      </c>
      <c r="F382" s="10" t="s">
        <v>348</v>
      </c>
      <c r="G382" s="1">
        <v>0</v>
      </c>
      <c r="H382" s="1">
        <v>0.05</v>
      </c>
      <c r="I382" s="8">
        <v>44630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65817</v>
      </c>
      <c r="AJ382" s="2">
        <v>27409</v>
      </c>
      <c r="AK382" s="2">
        <v>2938.26</v>
      </c>
      <c r="AL382" s="2">
        <v>1223.6199999999999</v>
      </c>
      <c r="AM382" s="5">
        <v>832.37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5593.56</v>
      </c>
      <c r="AT382" s="12">
        <v>4994.25</v>
      </c>
      <c r="AU382" s="2">
        <v>0</v>
      </c>
      <c r="AV382" s="5">
        <v>466.13</v>
      </c>
      <c r="AX382" s="2">
        <v>65817</v>
      </c>
      <c r="AY382" s="2">
        <v>27409</v>
      </c>
      <c r="AZ382" s="2">
        <v>2938.26</v>
      </c>
      <c r="BA382" s="2">
        <v>1223.6199999999999</v>
      </c>
      <c r="BB382" s="5">
        <v>832.37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5593.56</v>
      </c>
      <c r="BI382" s="12">
        <v>4994.25</v>
      </c>
      <c r="BJ382" s="2">
        <v>0</v>
      </c>
      <c r="BK382" s="5">
        <v>466.13</v>
      </c>
      <c r="BL382" s="1" t="s">
        <v>137</v>
      </c>
    </row>
    <row r="383" spans="1:64" x14ac:dyDescent="0.3">
      <c r="A383" t="s">
        <v>353</v>
      </c>
      <c r="B383" s="1" t="s">
        <v>353</v>
      </c>
      <c r="C383" s="9" t="s">
        <v>354</v>
      </c>
      <c r="D383" s="1" t="s">
        <v>95</v>
      </c>
      <c r="E383" s="1" t="s">
        <v>128</v>
      </c>
      <c r="F383" s="10" t="s">
        <v>355</v>
      </c>
      <c r="G383" s="1">
        <v>0.04</v>
      </c>
      <c r="H383" s="1">
        <v>0.05</v>
      </c>
      <c r="I383" s="8">
        <v>44679</v>
      </c>
      <c r="J383" s="6">
        <v>595479</v>
      </c>
      <c r="K383" s="6">
        <v>58100</v>
      </c>
      <c r="L383" s="6">
        <v>26583.88</v>
      </c>
      <c r="M383" s="6">
        <v>2593.75</v>
      </c>
      <c r="N383" s="7">
        <v>5835.53</v>
      </c>
      <c r="O383" s="6">
        <v>-465541.8</v>
      </c>
      <c r="P383" s="6">
        <v>-28970.700000000004</v>
      </c>
      <c r="Q383" s="6">
        <v>-20783.12</v>
      </c>
      <c r="R383" s="6">
        <v>-1293.3399999999999</v>
      </c>
      <c r="S383" s="7">
        <v>-4415.29</v>
      </c>
      <c r="T383" s="11">
        <v>9543.98</v>
      </c>
      <c r="U383" s="6">
        <v>8521.4100000000035</v>
      </c>
      <c r="V383" s="6">
        <v>0</v>
      </c>
      <c r="W383" s="6">
        <v>795.34000000000015</v>
      </c>
      <c r="AI383" s="2">
        <v>595479</v>
      </c>
      <c r="AJ383" s="2">
        <v>58100</v>
      </c>
      <c r="AK383" s="2">
        <v>26583.88</v>
      </c>
      <c r="AL383" s="2">
        <v>2593.75</v>
      </c>
      <c r="AM383" s="5">
        <v>5835.53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39214.74</v>
      </c>
      <c r="AT383" s="12">
        <v>35013.160000000003</v>
      </c>
      <c r="AU383" s="2">
        <v>0</v>
      </c>
      <c r="AV383" s="5">
        <v>3267.9</v>
      </c>
      <c r="AX383" s="2">
        <v>0</v>
      </c>
      <c r="AY383" s="2">
        <v>0</v>
      </c>
      <c r="AZ383" s="2">
        <v>0</v>
      </c>
      <c r="BA383" s="2">
        <v>0</v>
      </c>
      <c r="BB383" s="5">
        <v>0</v>
      </c>
      <c r="BC383" s="12">
        <v>465541.8</v>
      </c>
      <c r="BD383" s="2">
        <v>28970.700000000004</v>
      </c>
      <c r="BE383" s="2">
        <v>20783.12</v>
      </c>
      <c r="BF383" s="2">
        <v>1293.3399999999999</v>
      </c>
      <c r="BG383" s="5">
        <v>4415.29</v>
      </c>
      <c r="BH383" s="2">
        <v>29670.76</v>
      </c>
      <c r="BI383" s="12">
        <v>26491.75</v>
      </c>
      <c r="BJ383" s="2">
        <v>0</v>
      </c>
      <c r="BK383" s="5">
        <v>2472.56</v>
      </c>
      <c r="BL383" s="1" t="s">
        <v>130</v>
      </c>
    </row>
    <row r="384" spans="1:64" x14ac:dyDescent="0.3">
      <c r="A384" t="s">
        <v>353</v>
      </c>
      <c r="B384" s="1" t="s">
        <v>356</v>
      </c>
      <c r="C384" s="9" t="s">
        <v>357</v>
      </c>
      <c r="D384" s="1" t="s">
        <v>95</v>
      </c>
      <c r="E384" s="1" t="s">
        <v>128</v>
      </c>
      <c r="F384" s="10" t="s">
        <v>355</v>
      </c>
      <c r="G384" s="1">
        <v>0</v>
      </c>
      <c r="H384" s="1">
        <v>0.05</v>
      </c>
      <c r="I384" s="8">
        <v>45011</v>
      </c>
      <c r="J384" s="6">
        <v>1887121</v>
      </c>
      <c r="K384" s="6">
        <v>66845</v>
      </c>
      <c r="L384" s="6">
        <v>84246.47</v>
      </c>
      <c r="M384" s="6">
        <v>2984.15</v>
      </c>
      <c r="N384" s="7">
        <v>17446.12</v>
      </c>
      <c r="O384" s="6">
        <v>-308557.19999999995</v>
      </c>
      <c r="P384" s="6">
        <v>-6151.8</v>
      </c>
      <c r="Q384" s="6">
        <v>-13774.88</v>
      </c>
      <c r="R384" s="6">
        <v>-274.63</v>
      </c>
      <c r="S384" s="7">
        <v>0</v>
      </c>
      <c r="T384" s="11">
        <v>101502.5</v>
      </c>
      <c r="U384" s="6">
        <v>90627.23</v>
      </c>
      <c r="V384" s="6">
        <v>0</v>
      </c>
      <c r="W384" s="6">
        <v>8196.2900000000009</v>
      </c>
      <c r="AI384" s="2">
        <v>1887121</v>
      </c>
      <c r="AJ384" s="2">
        <v>66845</v>
      </c>
      <c r="AK384" s="2">
        <v>84246.47</v>
      </c>
      <c r="AL384" s="2">
        <v>2984.15</v>
      </c>
      <c r="AM384" s="5">
        <v>17446.12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117237.95</v>
      </c>
      <c r="AT384" s="12">
        <v>104676.73999999999</v>
      </c>
      <c r="AU384" s="2">
        <v>0</v>
      </c>
      <c r="AV384" s="5">
        <v>9769.83</v>
      </c>
      <c r="AX384" s="2">
        <v>0</v>
      </c>
      <c r="AY384" s="2">
        <v>0</v>
      </c>
      <c r="AZ384" s="2">
        <v>0</v>
      </c>
      <c r="BA384" s="2">
        <v>0</v>
      </c>
      <c r="BB384" s="5">
        <v>0</v>
      </c>
      <c r="BC384" s="12">
        <v>308557.19999999995</v>
      </c>
      <c r="BD384" s="2">
        <v>6151.8</v>
      </c>
      <c r="BE384" s="2">
        <v>13774.88</v>
      </c>
      <c r="BF384" s="2">
        <v>274.63</v>
      </c>
      <c r="BG384" s="5">
        <v>0</v>
      </c>
      <c r="BH384" s="2">
        <v>15735.45</v>
      </c>
      <c r="BI384" s="12">
        <v>14049.509999999998</v>
      </c>
      <c r="BJ384" s="2">
        <v>0</v>
      </c>
      <c r="BK384" s="5">
        <v>1573.54</v>
      </c>
      <c r="BL384" s="1" t="s">
        <v>130</v>
      </c>
    </row>
    <row r="385" spans="1:64" x14ac:dyDescent="0.3">
      <c r="A385" t="s">
        <v>353</v>
      </c>
      <c r="B385" s="1" t="s">
        <v>358</v>
      </c>
      <c r="C385" s="9" t="s">
        <v>359</v>
      </c>
      <c r="D385" s="1" t="s">
        <v>95</v>
      </c>
      <c r="E385" s="1" t="s">
        <v>128</v>
      </c>
      <c r="F385" s="10" t="s">
        <v>355</v>
      </c>
      <c r="G385" s="1">
        <v>0</v>
      </c>
      <c r="H385" s="1">
        <v>0.05</v>
      </c>
      <c r="I385" s="8">
        <v>45503</v>
      </c>
      <c r="J385" s="6">
        <v>584778</v>
      </c>
      <c r="K385" s="6">
        <v>33210</v>
      </c>
      <c r="L385" s="6">
        <v>26106.16</v>
      </c>
      <c r="M385" s="6">
        <v>1482.59</v>
      </c>
      <c r="N385" s="7">
        <v>5517.75</v>
      </c>
      <c r="O385" s="6">
        <v>-358374.3</v>
      </c>
      <c r="P385" s="6">
        <v>-16241.4</v>
      </c>
      <c r="Q385" s="6">
        <v>-15998.86</v>
      </c>
      <c r="R385" s="6">
        <v>-725.06</v>
      </c>
      <c r="S385" s="7">
        <v>0</v>
      </c>
      <c r="T385" s="11">
        <v>18348.489999999998</v>
      </c>
      <c r="U385" s="6">
        <v>16382.579999999998</v>
      </c>
      <c r="V385" s="6">
        <v>0</v>
      </c>
      <c r="W385" s="6">
        <v>1216.8600000000001</v>
      </c>
      <c r="AI385" s="2">
        <v>584778</v>
      </c>
      <c r="AJ385" s="2">
        <v>33210</v>
      </c>
      <c r="AK385" s="2">
        <v>26106.16</v>
      </c>
      <c r="AL385" s="2">
        <v>1482.59</v>
      </c>
      <c r="AM385" s="5">
        <v>5517.75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37079.279999999999</v>
      </c>
      <c r="AT385" s="12">
        <v>33106.5</v>
      </c>
      <c r="AU385" s="2">
        <v>0</v>
      </c>
      <c r="AV385" s="5">
        <v>3089.94</v>
      </c>
      <c r="AX385" s="2">
        <v>0</v>
      </c>
      <c r="AY385" s="2">
        <v>0</v>
      </c>
      <c r="AZ385" s="2">
        <v>0</v>
      </c>
      <c r="BA385" s="2">
        <v>0</v>
      </c>
      <c r="BB385" s="5">
        <v>0</v>
      </c>
      <c r="BC385" s="12">
        <v>358374.3</v>
      </c>
      <c r="BD385" s="2">
        <v>16241.4</v>
      </c>
      <c r="BE385" s="2">
        <v>15998.86</v>
      </c>
      <c r="BF385" s="2">
        <v>725.06</v>
      </c>
      <c r="BG385" s="5">
        <v>0</v>
      </c>
      <c r="BH385" s="2">
        <v>18730.79</v>
      </c>
      <c r="BI385" s="12">
        <v>16723.920000000002</v>
      </c>
      <c r="BJ385" s="2">
        <v>0</v>
      </c>
      <c r="BK385" s="5">
        <v>1873.08</v>
      </c>
      <c r="BL385" s="1" t="s">
        <v>130</v>
      </c>
    </row>
    <row r="386" spans="1:64" x14ac:dyDescent="0.3">
      <c r="A386" t="s">
        <v>360</v>
      </c>
      <c r="B386" s="1" t="s">
        <v>360</v>
      </c>
      <c r="C386" s="9" t="s">
        <v>361</v>
      </c>
      <c r="D386" s="1" t="s">
        <v>95</v>
      </c>
      <c r="E386" s="1" t="s">
        <v>128</v>
      </c>
      <c r="F386" s="10" t="s">
        <v>309</v>
      </c>
      <c r="G386" s="1">
        <v>0.04</v>
      </c>
      <c r="H386" s="1">
        <v>0.05</v>
      </c>
      <c r="I386" s="8">
        <v>44705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341517</v>
      </c>
      <c r="AJ386" s="2">
        <v>49658</v>
      </c>
      <c r="AK386" s="2">
        <v>15246.29</v>
      </c>
      <c r="AL386" s="2">
        <v>2216.88</v>
      </c>
      <c r="AM386" s="5">
        <v>3492.63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23470.5</v>
      </c>
      <c r="AT386" s="12">
        <v>20955.800000000003</v>
      </c>
      <c r="AU386" s="2">
        <v>0</v>
      </c>
      <c r="AV386" s="5">
        <v>1955.88</v>
      </c>
      <c r="AX386" s="2">
        <v>341517</v>
      </c>
      <c r="AY386" s="2">
        <v>49658</v>
      </c>
      <c r="AZ386" s="2">
        <v>15246.29</v>
      </c>
      <c r="BA386" s="2">
        <v>2216.88</v>
      </c>
      <c r="BB386" s="5">
        <v>3492.63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23470.5</v>
      </c>
      <c r="BI386" s="12">
        <v>20955.800000000003</v>
      </c>
      <c r="BJ386" s="2">
        <v>0</v>
      </c>
      <c r="BK386" s="5">
        <v>1955.88</v>
      </c>
      <c r="BL386" s="1" t="s">
        <v>130</v>
      </c>
    </row>
    <row r="387" spans="1:64" x14ac:dyDescent="0.3">
      <c r="A387" t="s">
        <v>362</v>
      </c>
      <c r="B387" s="1" t="s">
        <v>362</v>
      </c>
      <c r="C387" s="9" t="s">
        <v>363</v>
      </c>
      <c r="D387" s="1" t="s">
        <v>95</v>
      </c>
      <c r="E387" s="1" t="s">
        <v>128</v>
      </c>
      <c r="F387" s="10" t="s">
        <v>129</v>
      </c>
      <c r="G387" s="1">
        <v>0.04</v>
      </c>
      <c r="H387" s="1">
        <v>0.05</v>
      </c>
      <c r="I387" s="8">
        <v>44725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385695</v>
      </c>
      <c r="AJ387" s="2">
        <v>30542</v>
      </c>
      <c r="AK387" s="2">
        <v>17218.53</v>
      </c>
      <c r="AL387" s="2">
        <v>1363.48</v>
      </c>
      <c r="AM387" s="5">
        <v>3716.4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24974.22</v>
      </c>
      <c r="AT387" s="12">
        <v>22298.41</v>
      </c>
      <c r="AU387" s="2">
        <v>0</v>
      </c>
      <c r="AV387" s="5">
        <v>2081.1799999999998</v>
      </c>
      <c r="AX387" s="2">
        <v>385695</v>
      </c>
      <c r="AY387" s="2">
        <v>30542</v>
      </c>
      <c r="AZ387" s="2">
        <v>17218.53</v>
      </c>
      <c r="BA387" s="2">
        <v>1363.48</v>
      </c>
      <c r="BB387" s="5">
        <v>3716.4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24974.22</v>
      </c>
      <c r="BI387" s="12">
        <v>22298.41</v>
      </c>
      <c r="BJ387" s="2">
        <v>0</v>
      </c>
      <c r="BK387" s="5">
        <v>2081.1799999999998</v>
      </c>
      <c r="BL387" s="1" t="s">
        <v>326</v>
      </c>
    </row>
    <row r="388" spans="1:64" x14ac:dyDescent="0.3">
      <c r="A388" t="s">
        <v>362</v>
      </c>
      <c r="B388" s="1" t="s">
        <v>364</v>
      </c>
      <c r="C388" s="9" t="s">
        <v>365</v>
      </c>
      <c r="D388" s="1" t="s">
        <v>95</v>
      </c>
      <c r="E388" s="1" t="s">
        <v>128</v>
      </c>
      <c r="F388" s="10" t="s">
        <v>129</v>
      </c>
      <c r="G388" s="1">
        <v>0</v>
      </c>
      <c r="H388" s="1">
        <v>0.05</v>
      </c>
      <c r="I388" s="8">
        <v>44866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216514</v>
      </c>
      <c r="AJ388" s="2">
        <v>2720</v>
      </c>
      <c r="AK388" s="2">
        <v>9665.7999999999993</v>
      </c>
      <c r="AL388" s="2">
        <v>121.43</v>
      </c>
      <c r="AM388" s="5">
        <v>1957.45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13154.04</v>
      </c>
      <c r="AT388" s="12">
        <v>11744.68</v>
      </c>
      <c r="AU388" s="2">
        <v>0</v>
      </c>
      <c r="AV388" s="5">
        <v>1096.17</v>
      </c>
      <c r="AX388" s="2">
        <v>216514</v>
      </c>
      <c r="AY388" s="2">
        <v>2720</v>
      </c>
      <c r="AZ388" s="2">
        <v>9665.7999999999993</v>
      </c>
      <c r="BA388" s="2">
        <v>121.43</v>
      </c>
      <c r="BB388" s="5">
        <v>1957.45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13154.04</v>
      </c>
      <c r="BI388" s="12">
        <v>11744.68</v>
      </c>
      <c r="BJ388" s="2">
        <v>0</v>
      </c>
      <c r="BK388" s="5">
        <v>1096.17</v>
      </c>
      <c r="BL388" s="1" t="s">
        <v>326</v>
      </c>
    </row>
    <row r="389" spans="1:64" x14ac:dyDescent="0.3">
      <c r="A389" t="s">
        <v>366</v>
      </c>
      <c r="B389" s="1" t="s">
        <v>366</v>
      </c>
      <c r="C389" s="9" t="s">
        <v>367</v>
      </c>
      <c r="D389" s="1" t="s">
        <v>95</v>
      </c>
      <c r="E389" s="1" t="s">
        <v>128</v>
      </c>
      <c r="F389" s="10" t="s">
        <v>325</v>
      </c>
      <c r="G389" s="1">
        <v>3.5000000000000003E-2</v>
      </c>
      <c r="H389" s="1">
        <v>0.05</v>
      </c>
      <c r="I389" s="8">
        <v>44741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1770892</v>
      </c>
      <c r="AJ389" s="2">
        <v>237825</v>
      </c>
      <c r="AK389" s="2">
        <v>79057.679999999993</v>
      </c>
      <c r="AL389" s="2">
        <v>10617.19</v>
      </c>
      <c r="AM389" s="5">
        <v>17934.97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120523.02</v>
      </c>
      <c r="AT389" s="12">
        <v>107609.84</v>
      </c>
      <c r="AU389" s="2">
        <v>0</v>
      </c>
      <c r="AV389" s="5">
        <v>10043.59</v>
      </c>
      <c r="AX389" s="2">
        <v>1770892</v>
      </c>
      <c r="AY389" s="2">
        <v>237825</v>
      </c>
      <c r="AZ389" s="2">
        <v>79057.679999999993</v>
      </c>
      <c r="BA389" s="2">
        <v>10617.19</v>
      </c>
      <c r="BB389" s="5">
        <v>17934.97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120523.02</v>
      </c>
      <c r="BI389" s="12">
        <v>107609.84</v>
      </c>
      <c r="BJ389" s="2">
        <v>0</v>
      </c>
      <c r="BK389" s="5">
        <v>10043.59</v>
      </c>
      <c r="BL389" s="1" t="s">
        <v>326</v>
      </c>
    </row>
    <row r="390" spans="1:64" x14ac:dyDescent="0.3">
      <c r="A390" t="s">
        <v>366</v>
      </c>
      <c r="B390" s="1" t="s">
        <v>368</v>
      </c>
      <c r="C390" s="9" t="s">
        <v>369</v>
      </c>
      <c r="D390" s="1" t="s">
        <v>95</v>
      </c>
      <c r="E390" s="1" t="s">
        <v>128</v>
      </c>
      <c r="F390" s="10" t="s">
        <v>325</v>
      </c>
      <c r="G390" s="1">
        <v>3.5000000000000003E-2</v>
      </c>
      <c r="H390" s="1">
        <v>0.05</v>
      </c>
      <c r="I390" s="8">
        <v>44741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1585025</v>
      </c>
      <c r="AJ390" s="2">
        <v>183711</v>
      </c>
      <c r="AK390" s="2">
        <v>70760.039999999994</v>
      </c>
      <c r="AL390" s="2">
        <v>8201.3799999999992</v>
      </c>
      <c r="AM390" s="5">
        <v>15792.29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106124.16</v>
      </c>
      <c r="AT390" s="12">
        <v>94753.709999999992</v>
      </c>
      <c r="AU390" s="2">
        <v>0</v>
      </c>
      <c r="AV390" s="5">
        <v>8843.68</v>
      </c>
      <c r="AX390" s="2">
        <v>1585025</v>
      </c>
      <c r="AY390" s="2">
        <v>183711</v>
      </c>
      <c r="AZ390" s="2">
        <v>70760.039999999994</v>
      </c>
      <c r="BA390" s="2">
        <v>8201.3799999999992</v>
      </c>
      <c r="BB390" s="5">
        <v>15792.29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106124.16</v>
      </c>
      <c r="BI390" s="12">
        <v>94753.709999999992</v>
      </c>
      <c r="BJ390" s="2">
        <v>0</v>
      </c>
      <c r="BK390" s="5">
        <v>8843.68</v>
      </c>
      <c r="BL390" s="1" t="s">
        <v>326</v>
      </c>
    </row>
    <row r="391" spans="1:64" x14ac:dyDescent="0.3">
      <c r="A391" t="s">
        <v>399</v>
      </c>
      <c r="B391" s="1" t="s">
        <v>399</v>
      </c>
      <c r="C391" s="9" t="s">
        <v>400</v>
      </c>
      <c r="D391" s="1" t="s">
        <v>95</v>
      </c>
      <c r="E391" s="1" t="s">
        <v>128</v>
      </c>
      <c r="F391" s="10" t="s">
        <v>401</v>
      </c>
      <c r="G391" s="1">
        <v>4.4999999999999998E-2</v>
      </c>
      <c r="H391" s="1">
        <v>0.05</v>
      </c>
      <c r="I391" s="8">
        <v>45209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731603</v>
      </c>
      <c r="AJ391" s="2">
        <v>50453</v>
      </c>
      <c r="AK391" s="2">
        <v>32660.85</v>
      </c>
      <c r="AL391" s="2">
        <v>2252.37</v>
      </c>
      <c r="AM391" s="5">
        <v>6982.64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46923.360000000001</v>
      </c>
      <c r="AT391" s="12">
        <v>41895.86</v>
      </c>
      <c r="AU391" s="2">
        <v>0</v>
      </c>
      <c r="AV391" s="5">
        <v>3910.28</v>
      </c>
      <c r="AX391" s="2">
        <v>731603</v>
      </c>
      <c r="AY391" s="2">
        <v>50453</v>
      </c>
      <c r="AZ391" s="2">
        <v>32660.85</v>
      </c>
      <c r="BA391" s="2">
        <v>2252.37</v>
      </c>
      <c r="BB391" s="5">
        <v>6982.64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46923.360000000001</v>
      </c>
      <c r="BI391" s="12">
        <v>41895.86</v>
      </c>
      <c r="BJ391" s="2">
        <v>0</v>
      </c>
      <c r="BK391" s="5">
        <v>3910.28</v>
      </c>
      <c r="BL391" s="1" t="s">
        <v>130</v>
      </c>
    </row>
    <row r="392" spans="1:64" x14ac:dyDescent="0.3">
      <c r="A392" t="s">
        <v>399</v>
      </c>
      <c r="B392" s="1" t="s">
        <v>402</v>
      </c>
      <c r="C392" s="9" t="s">
        <v>403</v>
      </c>
      <c r="D392" s="1" t="s">
        <v>95</v>
      </c>
      <c r="E392" s="1" t="s">
        <v>128</v>
      </c>
      <c r="F392" s="10" t="s">
        <v>401</v>
      </c>
      <c r="G392" s="1">
        <v>4.4999999999999998E-2</v>
      </c>
      <c r="H392" s="1">
        <v>0.05</v>
      </c>
      <c r="I392" s="8">
        <v>45209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230640</v>
      </c>
      <c r="AJ392" s="2">
        <v>37147</v>
      </c>
      <c r="AK392" s="2">
        <v>10296.43</v>
      </c>
      <c r="AL392" s="2">
        <v>1658.35</v>
      </c>
      <c r="AM392" s="5">
        <v>2390.96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16067.23</v>
      </c>
      <c r="AT392" s="12">
        <v>14345.740000000002</v>
      </c>
      <c r="AU392" s="2">
        <v>0</v>
      </c>
      <c r="AV392" s="5">
        <v>1338.94</v>
      </c>
      <c r="AX392" s="2">
        <v>230640</v>
      </c>
      <c r="AY392" s="2">
        <v>37147</v>
      </c>
      <c r="AZ392" s="2">
        <v>10296.43</v>
      </c>
      <c r="BA392" s="2">
        <v>1658.35</v>
      </c>
      <c r="BB392" s="5">
        <v>2390.96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16067.23</v>
      </c>
      <c r="BI392" s="12">
        <v>14345.740000000002</v>
      </c>
      <c r="BJ392" s="2">
        <v>0</v>
      </c>
      <c r="BK392" s="5">
        <v>1338.94</v>
      </c>
      <c r="BL392" s="1" t="s">
        <v>130</v>
      </c>
    </row>
    <row r="393" spans="1:64" x14ac:dyDescent="0.3">
      <c r="A393" t="s">
        <v>399</v>
      </c>
      <c r="B393" s="1" t="s">
        <v>404</v>
      </c>
      <c r="C393" s="9" t="s">
        <v>405</v>
      </c>
      <c r="D393" s="1" t="s">
        <v>95</v>
      </c>
      <c r="E393" s="1" t="s">
        <v>128</v>
      </c>
      <c r="F393" s="10" t="s">
        <v>401</v>
      </c>
      <c r="G393" s="1">
        <v>3.5000000000000003E-2</v>
      </c>
      <c r="H393" s="1">
        <v>0.05</v>
      </c>
      <c r="I393" s="8">
        <v>45209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159544</v>
      </c>
      <c r="AJ393" s="2">
        <v>0</v>
      </c>
      <c r="AK393" s="2">
        <v>7122.5</v>
      </c>
      <c r="AL393" s="2">
        <v>0</v>
      </c>
      <c r="AM393" s="5">
        <v>1424.5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9572.64</v>
      </c>
      <c r="AT393" s="12">
        <v>8547</v>
      </c>
      <c r="AU393" s="2">
        <v>0</v>
      </c>
      <c r="AV393" s="5">
        <v>797.72</v>
      </c>
      <c r="AX393" s="2">
        <v>159544</v>
      </c>
      <c r="AY393" s="2">
        <v>0</v>
      </c>
      <c r="AZ393" s="2">
        <v>7122.5</v>
      </c>
      <c r="BA393" s="2">
        <v>0</v>
      </c>
      <c r="BB393" s="5">
        <v>1424.5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9572.64</v>
      </c>
      <c r="BI393" s="12">
        <v>8547</v>
      </c>
      <c r="BJ393" s="2">
        <v>0</v>
      </c>
      <c r="BK393" s="5">
        <v>797.72</v>
      </c>
      <c r="BL393" s="1" t="s">
        <v>130</v>
      </c>
    </row>
    <row r="394" spans="1:64" x14ac:dyDescent="0.3">
      <c r="A394" t="s">
        <v>399</v>
      </c>
      <c r="B394" s="1" t="s">
        <v>406</v>
      </c>
      <c r="C394" s="9" t="s">
        <v>407</v>
      </c>
      <c r="D394" s="1" t="s">
        <v>95</v>
      </c>
      <c r="E394" s="1" t="s">
        <v>128</v>
      </c>
      <c r="F394" s="10" t="s">
        <v>401</v>
      </c>
      <c r="G394" s="1">
        <v>4.4999999999999998E-2</v>
      </c>
      <c r="H394" s="1">
        <v>0.05</v>
      </c>
      <c r="I394" s="8">
        <v>45209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598934</v>
      </c>
      <c r="AJ394" s="2">
        <v>0</v>
      </c>
      <c r="AK394" s="2">
        <v>26738.12</v>
      </c>
      <c r="AL394" s="2">
        <v>0</v>
      </c>
      <c r="AM394" s="5">
        <v>5347.62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35936.03</v>
      </c>
      <c r="AT394" s="12">
        <v>32085.739999999998</v>
      </c>
      <c r="AU394" s="2">
        <v>0</v>
      </c>
      <c r="AV394" s="5">
        <v>2994.67</v>
      </c>
      <c r="AX394" s="2">
        <v>598934</v>
      </c>
      <c r="AY394" s="2">
        <v>0</v>
      </c>
      <c r="AZ394" s="2">
        <v>26738.12</v>
      </c>
      <c r="BA394" s="2">
        <v>0</v>
      </c>
      <c r="BB394" s="5">
        <v>5347.62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35936.03</v>
      </c>
      <c r="BI394" s="12">
        <v>32085.739999999998</v>
      </c>
      <c r="BJ394" s="2">
        <v>0</v>
      </c>
      <c r="BK394" s="5">
        <v>2994.67</v>
      </c>
      <c r="BL394" s="1" t="s">
        <v>130</v>
      </c>
    </row>
    <row r="395" spans="1:64" x14ac:dyDescent="0.3">
      <c r="A395" t="s">
        <v>399</v>
      </c>
      <c r="B395" s="1" t="s">
        <v>408</v>
      </c>
      <c r="C395" s="9" t="s">
        <v>409</v>
      </c>
      <c r="D395" s="1" t="s">
        <v>95</v>
      </c>
      <c r="E395" s="1" t="s">
        <v>128</v>
      </c>
      <c r="F395" s="10" t="s">
        <v>401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0</v>
      </c>
      <c r="AJ395" s="2">
        <v>0</v>
      </c>
      <c r="AK395" s="2">
        <v>0</v>
      </c>
      <c r="AL395" s="2">
        <v>0</v>
      </c>
      <c r="AM395" s="5">
        <v>0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0</v>
      </c>
      <c r="AT395" s="12">
        <v>0</v>
      </c>
      <c r="AU395" s="2">
        <v>0</v>
      </c>
      <c r="AV395" s="5">
        <v>0</v>
      </c>
      <c r="AX395" s="2">
        <v>0</v>
      </c>
      <c r="AY395" s="2">
        <v>0</v>
      </c>
      <c r="AZ395" s="2">
        <v>0</v>
      </c>
      <c r="BA395" s="2">
        <v>0</v>
      </c>
      <c r="BB395" s="5">
        <v>0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0</v>
      </c>
      <c r="BI395" s="12">
        <v>0</v>
      </c>
      <c r="BJ395" s="2">
        <v>0</v>
      </c>
      <c r="BK395" s="5">
        <v>0</v>
      </c>
      <c r="BL395" s="1" t="s">
        <v>130</v>
      </c>
    </row>
    <row r="396" spans="1:64" x14ac:dyDescent="0.3">
      <c r="A396" t="s">
        <v>399</v>
      </c>
      <c r="B396" s="1" t="s">
        <v>410</v>
      </c>
      <c r="C396" s="9" t="s">
        <v>411</v>
      </c>
      <c r="D396" s="1" t="s">
        <v>95</v>
      </c>
      <c r="E396" s="1" t="s">
        <v>128</v>
      </c>
      <c r="F396" s="10" t="s">
        <v>401</v>
      </c>
      <c r="G396" s="1">
        <v>0</v>
      </c>
      <c r="H396" s="1">
        <v>0.05</v>
      </c>
      <c r="I396" s="8">
        <v>45209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178425</v>
      </c>
      <c r="AJ396" s="2">
        <v>0</v>
      </c>
      <c r="AK396" s="2">
        <v>7965.4</v>
      </c>
      <c r="AL396" s="2">
        <v>0</v>
      </c>
      <c r="AM396" s="5">
        <v>1593.08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10705.5</v>
      </c>
      <c r="AT396" s="12">
        <v>9558.48</v>
      </c>
      <c r="AU396" s="2">
        <v>0</v>
      </c>
      <c r="AV396" s="5">
        <v>892.12</v>
      </c>
      <c r="AX396" s="2">
        <v>178425</v>
      </c>
      <c r="AY396" s="2">
        <v>0</v>
      </c>
      <c r="AZ396" s="2">
        <v>7965.4</v>
      </c>
      <c r="BA396" s="2">
        <v>0</v>
      </c>
      <c r="BB396" s="5">
        <v>1593.08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10705.5</v>
      </c>
      <c r="BI396" s="12">
        <v>9558.48</v>
      </c>
      <c r="BJ396" s="2">
        <v>0</v>
      </c>
      <c r="BK396" s="5">
        <v>892.12</v>
      </c>
      <c r="BL396" s="1" t="s">
        <v>130</v>
      </c>
    </row>
    <row r="397" spans="1:64" x14ac:dyDescent="0.3">
      <c r="A397" t="s">
        <v>399</v>
      </c>
      <c r="B397" s="1" t="s">
        <v>412</v>
      </c>
      <c r="C397" s="9" t="s">
        <v>413</v>
      </c>
      <c r="D397" s="1" t="s">
        <v>95</v>
      </c>
      <c r="E397" s="1" t="s">
        <v>128</v>
      </c>
      <c r="F397" s="10" t="s">
        <v>401</v>
      </c>
      <c r="G397" s="1">
        <v>0</v>
      </c>
      <c r="H397" s="1">
        <v>0.05</v>
      </c>
      <c r="I397" s="8">
        <v>45132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263158</v>
      </c>
      <c r="AJ397" s="2">
        <v>0</v>
      </c>
      <c r="AK397" s="2">
        <v>11748.12</v>
      </c>
      <c r="AL397" s="2">
        <v>0</v>
      </c>
      <c r="AM397" s="5">
        <v>2349.62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15789.47</v>
      </c>
      <c r="AT397" s="12">
        <v>14097.740000000002</v>
      </c>
      <c r="AU397" s="2">
        <v>0</v>
      </c>
      <c r="AV397" s="5">
        <v>1315.79</v>
      </c>
      <c r="AX397" s="2">
        <v>263158</v>
      </c>
      <c r="AY397" s="2">
        <v>0</v>
      </c>
      <c r="AZ397" s="2">
        <v>11748.12</v>
      </c>
      <c r="BA397" s="2">
        <v>0</v>
      </c>
      <c r="BB397" s="5">
        <v>2349.62</v>
      </c>
      <c r="BC397" s="12">
        <v>0</v>
      </c>
      <c r="BD397" s="2">
        <v>0</v>
      </c>
      <c r="BE397" s="2">
        <v>0</v>
      </c>
      <c r="BF397" s="2">
        <v>0</v>
      </c>
      <c r="BG397" s="5">
        <v>0</v>
      </c>
      <c r="BH397" s="2">
        <v>15789.47</v>
      </c>
      <c r="BI397" s="12">
        <v>14097.740000000002</v>
      </c>
      <c r="BJ397" s="2">
        <v>0</v>
      </c>
      <c r="BK397" s="5">
        <v>1315.79</v>
      </c>
      <c r="BL397" s="1" t="s">
        <v>130</v>
      </c>
    </row>
    <row r="398" spans="1:64" x14ac:dyDescent="0.3">
      <c r="A398" t="s">
        <v>414</v>
      </c>
      <c r="B398" s="1" t="s">
        <v>414</v>
      </c>
      <c r="C398" s="9" t="s">
        <v>415</v>
      </c>
      <c r="D398" s="1" t="s">
        <v>95</v>
      </c>
      <c r="E398" s="1" t="s">
        <v>128</v>
      </c>
      <c r="F398" s="10" t="s">
        <v>325</v>
      </c>
      <c r="G398" s="1">
        <v>3.5000000000000003E-2</v>
      </c>
      <c r="H398" s="1">
        <v>0.05</v>
      </c>
      <c r="I398" s="8">
        <v>45337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2486389</v>
      </c>
      <c r="AJ398" s="2">
        <v>165112</v>
      </c>
      <c r="AK398" s="2">
        <v>110999.51</v>
      </c>
      <c r="AL398" s="2">
        <v>7371.07</v>
      </c>
      <c r="AM398" s="5">
        <v>23674.12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159090.06</v>
      </c>
      <c r="AT398" s="12">
        <v>142044.69999999998</v>
      </c>
      <c r="AU398" s="2">
        <v>0</v>
      </c>
      <c r="AV398" s="5">
        <v>13257.5</v>
      </c>
      <c r="AX398" s="2">
        <v>2486389</v>
      </c>
      <c r="AY398" s="2">
        <v>165112</v>
      </c>
      <c r="AZ398" s="2">
        <v>110999.51</v>
      </c>
      <c r="BA398" s="2">
        <v>7371.07</v>
      </c>
      <c r="BB398" s="5">
        <v>23674.12</v>
      </c>
      <c r="BC398" s="12">
        <v>0</v>
      </c>
      <c r="BD398" s="2">
        <v>0</v>
      </c>
      <c r="BE398" s="2">
        <v>0</v>
      </c>
      <c r="BF398" s="2">
        <v>0</v>
      </c>
      <c r="BG398" s="5">
        <v>0</v>
      </c>
      <c r="BH398" s="2">
        <v>159090.06</v>
      </c>
      <c r="BI398" s="12">
        <v>142044.69999999998</v>
      </c>
      <c r="BJ398" s="2">
        <v>0</v>
      </c>
      <c r="BK398" s="5">
        <v>13257.5</v>
      </c>
      <c r="BL398" s="1" t="s">
        <v>326</v>
      </c>
    </row>
    <row r="399" spans="1:64" x14ac:dyDescent="0.3">
      <c r="A399" t="s">
        <v>414</v>
      </c>
      <c r="B399" s="1" t="s">
        <v>416</v>
      </c>
      <c r="C399" s="9" t="s">
        <v>417</v>
      </c>
      <c r="D399" s="1" t="s">
        <v>95</v>
      </c>
      <c r="E399" s="1" t="s">
        <v>128</v>
      </c>
      <c r="F399" s="10" t="s">
        <v>325</v>
      </c>
      <c r="G399" s="1">
        <v>3.5000000000000003E-2</v>
      </c>
      <c r="H399" s="1">
        <v>0.05</v>
      </c>
      <c r="I399" s="8">
        <v>45337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358893.54999999993</v>
      </c>
      <c r="AJ399" s="2">
        <v>57642</v>
      </c>
      <c r="AK399" s="2">
        <v>16022.04</v>
      </c>
      <c r="AL399" s="2">
        <v>2573.3000000000002</v>
      </c>
      <c r="AM399" s="5">
        <v>3719.07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24992.14</v>
      </c>
      <c r="AT399" s="12">
        <v>22314.41</v>
      </c>
      <c r="AU399" s="2">
        <v>0</v>
      </c>
      <c r="AV399" s="5">
        <v>2082.6799999999998</v>
      </c>
      <c r="AX399" s="2">
        <v>358893.54999999993</v>
      </c>
      <c r="AY399" s="2">
        <v>57642</v>
      </c>
      <c r="AZ399" s="2">
        <v>16022.04</v>
      </c>
      <c r="BA399" s="2">
        <v>2573.3000000000002</v>
      </c>
      <c r="BB399" s="5">
        <v>3719.07</v>
      </c>
      <c r="BC399" s="12">
        <v>0</v>
      </c>
      <c r="BD399" s="2">
        <v>0</v>
      </c>
      <c r="BE399" s="2">
        <v>0</v>
      </c>
      <c r="BF399" s="2">
        <v>0</v>
      </c>
      <c r="BG399" s="5">
        <v>0</v>
      </c>
      <c r="BH399" s="2">
        <v>24992.14</v>
      </c>
      <c r="BI399" s="12">
        <v>22314.41</v>
      </c>
      <c r="BJ399" s="2">
        <v>0</v>
      </c>
      <c r="BK399" s="5">
        <v>2082.6799999999998</v>
      </c>
      <c r="BL399" s="1" t="s">
        <v>326</v>
      </c>
    </row>
    <row r="400" spans="1:64" x14ac:dyDescent="0.3">
      <c r="A400" t="s">
        <v>422</v>
      </c>
      <c r="B400" s="1" t="s">
        <v>422</v>
      </c>
      <c r="C400" s="9" t="s">
        <v>423</v>
      </c>
      <c r="D400" s="1" t="s">
        <v>95</v>
      </c>
      <c r="E400" s="1" t="s">
        <v>128</v>
      </c>
      <c r="F400" s="10" t="s">
        <v>401</v>
      </c>
      <c r="G400" s="1">
        <v>3.5000000000000003E-2</v>
      </c>
      <c r="H400" s="1">
        <v>0.05</v>
      </c>
      <c r="I400" s="8">
        <v>45555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0</v>
      </c>
      <c r="U400" s="6">
        <v>0</v>
      </c>
      <c r="V400" s="6">
        <v>0</v>
      </c>
      <c r="W400" s="6">
        <v>0</v>
      </c>
      <c r="AI400" s="2">
        <v>667269</v>
      </c>
      <c r="AJ400" s="2">
        <v>66865</v>
      </c>
      <c r="AK400" s="2">
        <v>29788.79</v>
      </c>
      <c r="AL400" s="2">
        <v>2985.04</v>
      </c>
      <c r="AM400" s="5">
        <v>6554.77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44048.03</v>
      </c>
      <c r="AT400" s="12">
        <v>39328.600000000006</v>
      </c>
      <c r="AU400" s="2">
        <v>0</v>
      </c>
      <c r="AV400" s="5">
        <v>3670.67</v>
      </c>
      <c r="AX400" s="2">
        <v>667269</v>
      </c>
      <c r="AY400" s="2">
        <v>66865</v>
      </c>
      <c r="AZ400" s="2">
        <v>29788.79</v>
      </c>
      <c r="BA400" s="2">
        <v>2985.04</v>
      </c>
      <c r="BB400" s="5">
        <v>6554.77</v>
      </c>
      <c r="BC400" s="12">
        <v>0</v>
      </c>
      <c r="BD400" s="2">
        <v>0</v>
      </c>
      <c r="BE400" s="2">
        <v>0</v>
      </c>
      <c r="BF400" s="2">
        <v>0</v>
      </c>
      <c r="BG400" s="5">
        <v>0</v>
      </c>
      <c r="BH400" s="2">
        <v>44048.03</v>
      </c>
      <c r="BI400" s="12">
        <v>39328.600000000006</v>
      </c>
      <c r="BJ400" s="2">
        <v>0</v>
      </c>
      <c r="BK400" s="5">
        <v>3670.67</v>
      </c>
      <c r="BL400" s="1" t="s">
        <v>130</v>
      </c>
    </row>
    <row r="401" spans="1:64" x14ac:dyDescent="0.3">
      <c r="A401" t="s">
        <v>424</v>
      </c>
      <c r="B401" s="1" t="s">
        <v>424</v>
      </c>
      <c r="C401" s="9" t="s">
        <v>425</v>
      </c>
      <c r="D401" s="1" t="s">
        <v>95</v>
      </c>
      <c r="E401" s="1" t="s">
        <v>128</v>
      </c>
      <c r="F401" s="10" t="s">
        <v>401</v>
      </c>
      <c r="G401" s="1">
        <v>3.5000000000000003E-2</v>
      </c>
      <c r="H401" s="1">
        <v>0.05</v>
      </c>
      <c r="I401" s="8">
        <v>45664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0</v>
      </c>
      <c r="U401" s="6">
        <v>0</v>
      </c>
      <c r="V401" s="6">
        <v>0</v>
      </c>
      <c r="W401" s="6">
        <v>0</v>
      </c>
      <c r="AI401" s="2">
        <v>1292755</v>
      </c>
      <c r="AJ401" s="2">
        <v>79128</v>
      </c>
      <c r="AK401" s="2">
        <v>57712.28</v>
      </c>
      <c r="AL401" s="2">
        <v>3532.5</v>
      </c>
      <c r="AM401" s="5">
        <v>12248.96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82312.990000000005</v>
      </c>
      <c r="AT401" s="12">
        <v>73493.739999999991</v>
      </c>
      <c r="AU401" s="2">
        <v>0</v>
      </c>
      <c r="AV401" s="5">
        <v>6859.42</v>
      </c>
      <c r="AX401" s="2">
        <v>1292755</v>
      </c>
      <c r="AY401" s="2">
        <v>79128</v>
      </c>
      <c r="AZ401" s="2">
        <v>57712.28</v>
      </c>
      <c r="BA401" s="2">
        <v>3532.5</v>
      </c>
      <c r="BB401" s="5">
        <v>12248.96</v>
      </c>
      <c r="BC401" s="12">
        <v>0</v>
      </c>
      <c r="BD401" s="2">
        <v>0</v>
      </c>
      <c r="BE401" s="2">
        <v>0</v>
      </c>
      <c r="BF401" s="2">
        <v>0</v>
      </c>
      <c r="BG401" s="5">
        <v>0</v>
      </c>
      <c r="BH401" s="2">
        <v>82312.990000000005</v>
      </c>
      <c r="BI401" s="12">
        <v>73493.739999999991</v>
      </c>
      <c r="BJ401" s="2">
        <v>0</v>
      </c>
      <c r="BK401" s="5">
        <v>6859.42</v>
      </c>
      <c r="BL401" s="1" t="s">
        <v>326</v>
      </c>
    </row>
    <row r="402" spans="1:64" x14ac:dyDescent="0.3">
      <c r="A402" t="s">
        <v>424</v>
      </c>
      <c r="B402" s="1" t="s">
        <v>426</v>
      </c>
      <c r="C402" s="9" t="s">
        <v>427</v>
      </c>
      <c r="D402" s="1" t="s">
        <v>95</v>
      </c>
      <c r="E402" s="1" t="s">
        <v>128</v>
      </c>
      <c r="F402" s="10" t="s">
        <v>401</v>
      </c>
      <c r="G402" s="1">
        <v>3.5000000000000003E-2</v>
      </c>
      <c r="H402" s="1">
        <v>0.05</v>
      </c>
      <c r="I402" s="8">
        <v>45664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0</v>
      </c>
      <c r="U402" s="6">
        <v>0</v>
      </c>
      <c r="V402" s="6">
        <v>0</v>
      </c>
      <c r="W402" s="6">
        <v>0</v>
      </c>
      <c r="AI402" s="2">
        <v>334590</v>
      </c>
      <c r="AJ402" s="2">
        <v>20400</v>
      </c>
      <c r="AK402" s="2">
        <v>14937.05</v>
      </c>
      <c r="AL402" s="2">
        <v>910.71</v>
      </c>
      <c r="AM402" s="5">
        <v>3169.55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21299.39</v>
      </c>
      <c r="AT402" s="12">
        <v>19017.309999999998</v>
      </c>
      <c r="AU402" s="2">
        <v>0</v>
      </c>
      <c r="AV402" s="5">
        <v>1774.95</v>
      </c>
      <c r="AX402" s="2">
        <v>334590</v>
      </c>
      <c r="AY402" s="2">
        <v>20400</v>
      </c>
      <c r="AZ402" s="2">
        <v>14937.05</v>
      </c>
      <c r="BA402" s="2">
        <v>910.71</v>
      </c>
      <c r="BB402" s="5">
        <v>3169.55</v>
      </c>
      <c r="BC402" s="12">
        <v>0</v>
      </c>
      <c r="BD402" s="2">
        <v>0</v>
      </c>
      <c r="BE402" s="2">
        <v>0</v>
      </c>
      <c r="BF402" s="2">
        <v>0</v>
      </c>
      <c r="BG402" s="5">
        <v>0</v>
      </c>
      <c r="BH402" s="2">
        <v>21299.39</v>
      </c>
      <c r="BI402" s="12">
        <v>19017.309999999998</v>
      </c>
      <c r="BJ402" s="2">
        <v>0</v>
      </c>
      <c r="BK402" s="5">
        <v>1774.95</v>
      </c>
      <c r="BL402" s="1" t="s">
        <v>326</v>
      </c>
    </row>
    <row r="403" spans="1:64" x14ac:dyDescent="0.3">
      <c r="A403" t="s">
        <v>424</v>
      </c>
      <c r="B403" s="1" t="s">
        <v>428</v>
      </c>
      <c r="C403" s="9" t="s">
        <v>429</v>
      </c>
      <c r="D403" s="1" t="s">
        <v>95</v>
      </c>
      <c r="E403" s="1" t="s">
        <v>128</v>
      </c>
      <c r="F403" s="10" t="s">
        <v>401</v>
      </c>
      <c r="G403" s="1">
        <v>3.5000000000000003E-2</v>
      </c>
      <c r="H403" s="1">
        <v>0.05</v>
      </c>
      <c r="I403" s="8">
        <v>45664</v>
      </c>
      <c r="J403" s="6">
        <v>0</v>
      </c>
      <c r="K403" s="6">
        <v>0</v>
      </c>
      <c r="L403" s="6">
        <v>0</v>
      </c>
      <c r="M403" s="6">
        <v>0</v>
      </c>
      <c r="N403" s="7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0</v>
      </c>
      <c r="U403" s="6">
        <v>0</v>
      </c>
      <c r="V403" s="6">
        <v>0</v>
      </c>
      <c r="W403" s="6">
        <v>0</v>
      </c>
      <c r="AI403" s="2">
        <v>523986</v>
      </c>
      <c r="AJ403" s="2">
        <v>27610</v>
      </c>
      <c r="AK403" s="2">
        <v>23392.23</v>
      </c>
      <c r="AL403" s="2">
        <v>1232.5899999999999</v>
      </c>
      <c r="AM403" s="5">
        <v>4924.96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33095.75</v>
      </c>
      <c r="AT403" s="12">
        <v>29549.78</v>
      </c>
      <c r="AU403" s="2">
        <v>0</v>
      </c>
      <c r="AV403" s="5">
        <v>2757.98</v>
      </c>
      <c r="AX403" s="2">
        <v>523986</v>
      </c>
      <c r="AY403" s="2">
        <v>27610</v>
      </c>
      <c r="AZ403" s="2">
        <v>23392.23</v>
      </c>
      <c r="BA403" s="2">
        <v>1232.5899999999999</v>
      </c>
      <c r="BB403" s="5">
        <v>4924.96</v>
      </c>
      <c r="BC403" s="12">
        <v>0</v>
      </c>
      <c r="BD403" s="2">
        <v>0</v>
      </c>
      <c r="BE403" s="2">
        <v>0</v>
      </c>
      <c r="BF403" s="2">
        <v>0</v>
      </c>
      <c r="BG403" s="5">
        <v>0</v>
      </c>
      <c r="BH403" s="2">
        <v>33095.75</v>
      </c>
      <c r="BI403" s="12">
        <v>29549.78</v>
      </c>
      <c r="BJ403" s="2">
        <v>0</v>
      </c>
      <c r="BK403" s="5">
        <v>2757.98</v>
      </c>
      <c r="BL403" s="1" t="s">
        <v>326</v>
      </c>
    </row>
    <row r="404" spans="1:64" x14ac:dyDescent="0.3">
      <c r="A404" t="s">
        <v>430</v>
      </c>
      <c r="B404" s="1" t="s">
        <v>430</v>
      </c>
      <c r="C404" s="9" t="s">
        <v>431</v>
      </c>
      <c r="D404" s="1" t="s">
        <v>95</v>
      </c>
      <c r="E404" s="1" t="s">
        <v>88</v>
      </c>
      <c r="F404" s="10" t="s">
        <v>432</v>
      </c>
      <c r="G404" s="1">
        <v>3.5000000000000003E-2</v>
      </c>
      <c r="H404" s="1">
        <v>0.05</v>
      </c>
      <c r="I404" s="8">
        <v>43993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0</v>
      </c>
      <c r="U404" s="6">
        <v>0</v>
      </c>
      <c r="V404" s="6">
        <v>0</v>
      </c>
      <c r="W404" s="6">
        <v>0</v>
      </c>
      <c r="AI404" s="2">
        <v>197401</v>
      </c>
      <c r="AJ404" s="2">
        <v>12684</v>
      </c>
      <c r="AK404" s="2">
        <v>8812.5400000000009</v>
      </c>
      <c r="AL404" s="2">
        <v>566.25</v>
      </c>
      <c r="AM404" s="5">
        <v>1875.76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12605.1</v>
      </c>
      <c r="AT404" s="12">
        <v>11254.550000000001</v>
      </c>
      <c r="AU404" s="2">
        <v>0</v>
      </c>
      <c r="AV404" s="5">
        <v>1050.42</v>
      </c>
      <c r="AX404" s="2">
        <v>197401</v>
      </c>
      <c r="AY404" s="2">
        <v>12684</v>
      </c>
      <c r="AZ404" s="2">
        <v>8812.5400000000009</v>
      </c>
      <c r="BA404" s="2">
        <v>566.25</v>
      </c>
      <c r="BB404" s="5">
        <v>1875.76</v>
      </c>
      <c r="BC404" s="12">
        <v>0</v>
      </c>
      <c r="BD404" s="2">
        <v>0</v>
      </c>
      <c r="BE404" s="2">
        <v>0</v>
      </c>
      <c r="BF404" s="2">
        <v>0</v>
      </c>
      <c r="BG404" s="5">
        <v>0</v>
      </c>
      <c r="BH404" s="2">
        <v>12605.1</v>
      </c>
      <c r="BI404" s="12">
        <v>11254.550000000001</v>
      </c>
      <c r="BJ404" s="2">
        <v>0</v>
      </c>
      <c r="BK404" s="5">
        <v>1050.42</v>
      </c>
      <c r="BL404" s="1" t="s">
        <v>90</v>
      </c>
    </row>
    <row r="405" spans="1:64" x14ac:dyDescent="0.3">
      <c r="A405" t="s">
        <v>433</v>
      </c>
      <c r="B405" s="1" t="s">
        <v>433</v>
      </c>
      <c r="C405" s="9" t="s">
        <v>434</v>
      </c>
      <c r="D405" s="1" t="s">
        <v>95</v>
      </c>
      <c r="E405" s="1" t="s">
        <v>135</v>
      </c>
      <c r="F405" s="10" t="s">
        <v>435</v>
      </c>
      <c r="G405" s="1">
        <v>3.5000000000000003E-2</v>
      </c>
      <c r="H405" s="1">
        <v>0.05</v>
      </c>
      <c r="I405" s="8">
        <v>44000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0</v>
      </c>
      <c r="U405" s="6">
        <v>0</v>
      </c>
      <c r="V405" s="6">
        <v>0</v>
      </c>
      <c r="W405" s="6">
        <v>0</v>
      </c>
      <c r="AI405" s="2">
        <v>532067</v>
      </c>
      <c r="AJ405" s="2">
        <v>51115</v>
      </c>
      <c r="AK405" s="2">
        <v>23752.99</v>
      </c>
      <c r="AL405" s="2">
        <v>2281.92</v>
      </c>
      <c r="AM405" s="5">
        <v>5206.9799999999996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34990.92</v>
      </c>
      <c r="AT405" s="12">
        <v>31241.890000000003</v>
      </c>
      <c r="AU405" s="2">
        <v>0</v>
      </c>
      <c r="AV405" s="5">
        <v>2915.91</v>
      </c>
      <c r="AX405" s="2">
        <v>532067</v>
      </c>
      <c r="AY405" s="2">
        <v>51115</v>
      </c>
      <c r="AZ405" s="2">
        <v>23752.99</v>
      </c>
      <c r="BA405" s="2">
        <v>2281.92</v>
      </c>
      <c r="BB405" s="5">
        <v>5206.9799999999996</v>
      </c>
      <c r="BC405" s="12">
        <v>0</v>
      </c>
      <c r="BD405" s="2">
        <v>0</v>
      </c>
      <c r="BE405" s="2">
        <v>0</v>
      </c>
      <c r="BF405" s="2">
        <v>0</v>
      </c>
      <c r="BG405" s="5">
        <v>0</v>
      </c>
      <c r="BH405" s="2">
        <v>34990.92</v>
      </c>
      <c r="BI405" s="12">
        <v>31241.890000000003</v>
      </c>
      <c r="BJ405" s="2">
        <v>0</v>
      </c>
      <c r="BK405" s="5">
        <v>2915.91</v>
      </c>
      <c r="BL405" s="1" t="s">
        <v>436</v>
      </c>
    </row>
    <row r="406" spans="1:64" x14ac:dyDescent="0.3">
      <c r="A406" t="s">
        <v>437</v>
      </c>
      <c r="B406" s="1" t="s">
        <v>437</v>
      </c>
      <c r="C406" s="9" t="s">
        <v>438</v>
      </c>
      <c r="D406" s="1" t="s">
        <v>95</v>
      </c>
      <c r="E406" s="1" t="s">
        <v>88</v>
      </c>
      <c r="F406" s="10" t="s">
        <v>218</v>
      </c>
      <c r="G406" s="1">
        <v>3.5000000000000003E-2</v>
      </c>
      <c r="H406" s="1">
        <v>0.05</v>
      </c>
      <c r="I406" s="8">
        <v>44062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0</v>
      </c>
      <c r="U406" s="6">
        <v>0</v>
      </c>
      <c r="V406" s="6">
        <v>0</v>
      </c>
      <c r="W406" s="6">
        <v>0</v>
      </c>
      <c r="AI406" s="2">
        <v>1378133</v>
      </c>
      <c r="AJ406" s="2">
        <v>173873</v>
      </c>
      <c r="AK406" s="2">
        <v>61523.79</v>
      </c>
      <c r="AL406" s="2">
        <v>7762.19</v>
      </c>
      <c r="AM406" s="5">
        <v>13857.2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93120.36</v>
      </c>
      <c r="AT406" s="12">
        <v>83143.179999999993</v>
      </c>
      <c r="AU406" s="2">
        <v>0</v>
      </c>
      <c r="AV406" s="5">
        <v>7760.03</v>
      </c>
      <c r="AX406" s="2">
        <v>1378133</v>
      </c>
      <c r="AY406" s="2">
        <v>173873</v>
      </c>
      <c r="AZ406" s="2">
        <v>61523.79</v>
      </c>
      <c r="BA406" s="2">
        <v>7762.19</v>
      </c>
      <c r="BB406" s="5">
        <v>13857.2</v>
      </c>
      <c r="BC406" s="12">
        <v>0</v>
      </c>
      <c r="BD406" s="2">
        <v>0</v>
      </c>
      <c r="BE406" s="2">
        <v>0</v>
      </c>
      <c r="BF406" s="2">
        <v>0</v>
      </c>
      <c r="BG406" s="5">
        <v>0</v>
      </c>
      <c r="BH406" s="2">
        <v>93120.36</v>
      </c>
      <c r="BI406" s="12">
        <v>83143.179999999993</v>
      </c>
      <c r="BJ406" s="2">
        <v>0</v>
      </c>
      <c r="BK406" s="5">
        <v>7760.03</v>
      </c>
      <c r="BL406" s="1" t="s">
        <v>90</v>
      </c>
    </row>
    <row r="407" spans="1:64" x14ac:dyDescent="0.3">
      <c r="A407" t="s">
        <v>439</v>
      </c>
      <c r="B407" s="1" t="s">
        <v>439</v>
      </c>
      <c r="C407" s="9" t="s">
        <v>440</v>
      </c>
      <c r="D407" s="1" t="s">
        <v>95</v>
      </c>
      <c r="E407" s="1" t="s">
        <v>88</v>
      </c>
      <c r="F407" s="10" t="s">
        <v>441</v>
      </c>
      <c r="G407" s="1">
        <v>3.5000000000000003E-2</v>
      </c>
      <c r="H407" s="1">
        <v>0.05</v>
      </c>
      <c r="I407" s="8">
        <v>44774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0</v>
      </c>
      <c r="U407" s="6">
        <v>0</v>
      </c>
      <c r="V407" s="6">
        <v>0</v>
      </c>
      <c r="W407" s="6">
        <v>0</v>
      </c>
      <c r="AI407" s="2">
        <v>206531.9</v>
      </c>
      <c r="AJ407" s="2">
        <v>34108</v>
      </c>
      <c r="AK407" s="2">
        <v>9220.18</v>
      </c>
      <c r="AL407" s="2">
        <v>1522.68</v>
      </c>
      <c r="AM407" s="5">
        <v>2148.5700000000002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14438.4</v>
      </c>
      <c r="AT407" s="12">
        <v>12891.43</v>
      </c>
      <c r="AU407" s="2">
        <v>0</v>
      </c>
      <c r="AV407" s="5">
        <v>1203.2</v>
      </c>
      <c r="AX407" s="2">
        <v>206531.9</v>
      </c>
      <c r="AY407" s="2">
        <v>34108</v>
      </c>
      <c r="AZ407" s="2">
        <v>9220.18</v>
      </c>
      <c r="BA407" s="2">
        <v>1522.68</v>
      </c>
      <c r="BB407" s="5">
        <v>2148.5700000000002</v>
      </c>
      <c r="BC407" s="12">
        <v>0</v>
      </c>
      <c r="BD407" s="2">
        <v>0</v>
      </c>
      <c r="BE407" s="2">
        <v>0</v>
      </c>
      <c r="BF407" s="2">
        <v>0</v>
      </c>
      <c r="BG407" s="5">
        <v>0</v>
      </c>
      <c r="BH407" s="2">
        <v>14438.4</v>
      </c>
      <c r="BI407" s="12">
        <v>12891.43</v>
      </c>
      <c r="BJ407" s="2">
        <v>0</v>
      </c>
      <c r="BK407" s="5">
        <v>1203.2</v>
      </c>
      <c r="BL407" s="1" t="s">
        <v>90</v>
      </c>
    </row>
    <row r="408" spans="1:64" x14ac:dyDescent="0.3">
      <c r="A408" t="s">
        <v>439</v>
      </c>
      <c r="B408" s="1" t="s">
        <v>442</v>
      </c>
      <c r="C408" s="9" t="s">
        <v>443</v>
      </c>
      <c r="D408" s="1" t="s">
        <v>95</v>
      </c>
      <c r="E408" s="1" t="s">
        <v>88</v>
      </c>
      <c r="F408" s="10" t="s">
        <v>441</v>
      </c>
      <c r="G408" s="1">
        <v>0.04</v>
      </c>
      <c r="H408" s="1">
        <v>0.05</v>
      </c>
      <c r="I408" s="8">
        <v>44774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0</v>
      </c>
      <c r="U408" s="6">
        <v>0</v>
      </c>
      <c r="V408" s="6">
        <v>0</v>
      </c>
      <c r="W408" s="6">
        <v>0</v>
      </c>
      <c r="AI408" s="2">
        <v>0</v>
      </c>
      <c r="AJ408" s="2">
        <v>0</v>
      </c>
      <c r="AK408" s="2">
        <v>0</v>
      </c>
      <c r="AL408" s="2">
        <v>0</v>
      </c>
      <c r="AM408" s="5">
        <v>0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0</v>
      </c>
      <c r="AT408" s="12">
        <v>0</v>
      </c>
      <c r="AU408" s="2">
        <v>0</v>
      </c>
      <c r="AV408" s="5">
        <v>0</v>
      </c>
      <c r="AX408" s="2">
        <v>0</v>
      </c>
      <c r="AY408" s="2">
        <v>0</v>
      </c>
      <c r="AZ408" s="2">
        <v>0</v>
      </c>
      <c r="BA408" s="2">
        <v>0</v>
      </c>
      <c r="BB408" s="5">
        <v>0</v>
      </c>
      <c r="BC408" s="12">
        <v>0</v>
      </c>
      <c r="BD408" s="2">
        <v>0</v>
      </c>
      <c r="BE408" s="2">
        <v>0</v>
      </c>
      <c r="BF408" s="2">
        <v>0</v>
      </c>
      <c r="BG408" s="5">
        <v>0</v>
      </c>
      <c r="BH408" s="2">
        <v>0</v>
      </c>
      <c r="BI408" s="12">
        <v>0</v>
      </c>
      <c r="BJ408" s="2">
        <v>0</v>
      </c>
      <c r="BK408" s="5">
        <v>0</v>
      </c>
      <c r="BL408" s="1" t="s">
        <v>90</v>
      </c>
    </row>
    <row r="409" spans="1:64" x14ac:dyDescent="0.3">
      <c r="A409" t="s">
        <v>439</v>
      </c>
      <c r="B409" s="1" t="s">
        <v>444</v>
      </c>
      <c r="C409" s="9" t="s">
        <v>445</v>
      </c>
      <c r="D409" s="1" t="s">
        <v>95</v>
      </c>
      <c r="E409" s="1" t="s">
        <v>88</v>
      </c>
      <c r="F409" s="10" t="s">
        <v>441</v>
      </c>
      <c r="G409" s="1">
        <v>3.5000000000000003E-2</v>
      </c>
      <c r="H409" s="1">
        <v>0.05</v>
      </c>
      <c r="I409" s="8">
        <v>44774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0</v>
      </c>
      <c r="U409" s="6">
        <v>0</v>
      </c>
      <c r="V409" s="6">
        <v>0</v>
      </c>
      <c r="W409" s="6">
        <v>0</v>
      </c>
      <c r="AI409" s="2">
        <v>76444</v>
      </c>
      <c r="AJ409" s="2">
        <v>15912</v>
      </c>
      <c r="AK409" s="2">
        <v>3412.68</v>
      </c>
      <c r="AL409" s="2">
        <v>710.36</v>
      </c>
      <c r="AM409" s="5">
        <v>824.61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5541.37</v>
      </c>
      <c r="AT409" s="12">
        <v>4947.6499999999996</v>
      </c>
      <c r="AU409" s="2">
        <v>0</v>
      </c>
      <c r="AV409" s="5">
        <v>461.78</v>
      </c>
      <c r="AX409" s="2">
        <v>76444</v>
      </c>
      <c r="AY409" s="2">
        <v>15912</v>
      </c>
      <c r="AZ409" s="2">
        <v>3412.68</v>
      </c>
      <c r="BA409" s="2">
        <v>710.36</v>
      </c>
      <c r="BB409" s="5">
        <v>824.61</v>
      </c>
      <c r="BC409" s="12">
        <v>0</v>
      </c>
      <c r="BD409" s="2">
        <v>0</v>
      </c>
      <c r="BE409" s="2">
        <v>0</v>
      </c>
      <c r="BF409" s="2">
        <v>0</v>
      </c>
      <c r="BG409" s="5">
        <v>0</v>
      </c>
      <c r="BH409" s="2">
        <v>5541.37</v>
      </c>
      <c r="BI409" s="12">
        <v>4947.6499999999996</v>
      </c>
      <c r="BJ409" s="2">
        <v>0</v>
      </c>
      <c r="BK409" s="5">
        <v>461.78</v>
      </c>
      <c r="BL409" s="1" t="s">
        <v>90</v>
      </c>
    </row>
    <row r="410" spans="1:64" x14ac:dyDescent="0.3">
      <c r="A410" t="s">
        <v>448</v>
      </c>
      <c r="B410" s="1" t="s">
        <v>448</v>
      </c>
      <c r="C410" s="9" t="s">
        <v>449</v>
      </c>
      <c r="D410" s="1" t="s">
        <v>95</v>
      </c>
      <c r="E410" s="1" t="s">
        <v>128</v>
      </c>
      <c r="F410" s="10" t="s">
        <v>355</v>
      </c>
      <c r="G410" s="1">
        <v>4.4999999999999998E-2</v>
      </c>
      <c r="H410" s="1">
        <v>0.05</v>
      </c>
      <c r="I410" s="8">
        <v>45199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0</v>
      </c>
      <c r="U410" s="6">
        <v>0</v>
      </c>
      <c r="V410" s="6">
        <v>0</v>
      </c>
      <c r="W410" s="6">
        <v>0</v>
      </c>
      <c r="AI410" s="2">
        <v>701940</v>
      </c>
      <c r="AJ410" s="2">
        <v>57187</v>
      </c>
      <c r="AK410" s="2">
        <v>31336.61</v>
      </c>
      <c r="AL410" s="2">
        <v>2552.9899999999998</v>
      </c>
      <c r="AM410" s="5">
        <v>6777.92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45547.62</v>
      </c>
      <c r="AT410" s="12">
        <v>40667.519999999997</v>
      </c>
      <c r="AU410" s="2">
        <v>0</v>
      </c>
      <c r="AV410" s="5">
        <v>3795.64</v>
      </c>
      <c r="AX410" s="2">
        <v>701940</v>
      </c>
      <c r="AY410" s="2">
        <v>57187</v>
      </c>
      <c r="AZ410" s="2">
        <v>31336.61</v>
      </c>
      <c r="BA410" s="2">
        <v>2552.9899999999998</v>
      </c>
      <c r="BB410" s="5">
        <v>6777.92</v>
      </c>
      <c r="BC410" s="12">
        <v>0</v>
      </c>
      <c r="BD410" s="2">
        <v>0</v>
      </c>
      <c r="BE410" s="2">
        <v>0</v>
      </c>
      <c r="BF410" s="2">
        <v>0</v>
      </c>
      <c r="BG410" s="5">
        <v>0</v>
      </c>
      <c r="BH410" s="2">
        <v>45547.62</v>
      </c>
      <c r="BI410" s="12">
        <v>40667.519999999997</v>
      </c>
      <c r="BJ410" s="2">
        <v>0</v>
      </c>
      <c r="BK410" s="5">
        <v>3795.64</v>
      </c>
      <c r="BL410" s="1" t="s">
        <v>130</v>
      </c>
    </row>
    <row r="411" spans="1:64" x14ac:dyDescent="0.3">
      <c r="A411" t="s">
        <v>450</v>
      </c>
      <c r="B411" s="1" t="s">
        <v>450</v>
      </c>
      <c r="C411" s="9" t="s">
        <v>451</v>
      </c>
      <c r="D411" s="1" t="s">
        <v>95</v>
      </c>
      <c r="E411" s="1" t="s">
        <v>135</v>
      </c>
      <c r="F411" s="10" t="s">
        <v>193</v>
      </c>
      <c r="G411" s="1">
        <v>3.5000000000000003E-2</v>
      </c>
      <c r="H411" s="1">
        <v>0.05</v>
      </c>
      <c r="I411" s="8">
        <v>44183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0</v>
      </c>
      <c r="U411" s="6">
        <v>0</v>
      </c>
      <c r="V411" s="6">
        <v>0</v>
      </c>
      <c r="W411" s="6">
        <v>0</v>
      </c>
      <c r="AI411" s="2">
        <v>659120.5</v>
      </c>
      <c r="AJ411" s="2">
        <v>221070</v>
      </c>
      <c r="AK411" s="2">
        <v>29425.02</v>
      </c>
      <c r="AL411" s="2">
        <v>9869.2000000000007</v>
      </c>
      <c r="AM411" s="5">
        <v>7858.85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52811.44</v>
      </c>
      <c r="AT411" s="12">
        <v>47153.07</v>
      </c>
      <c r="AU411" s="2">
        <v>0</v>
      </c>
      <c r="AV411" s="5">
        <v>4400.95</v>
      </c>
      <c r="AX411" s="2">
        <v>659120.5</v>
      </c>
      <c r="AY411" s="2">
        <v>221070</v>
      </c>
      <c r="AZ411" s="2">
        <v>29425.02</v>
      </c>
      <c r="BA411" s="2">
        <v>9869.2000000000007</v>
      </c>
      <c r="BB411" s="5">
        <v>7858.85</v>
      </c>
      <c r="BC411" s="12">
        <v>0</v>
      </c>
      <c r="BD411" s="2">
        <v>0</v>
      </c>
      <c r="BE411" s="2">
        <v>0</v>
      </c>
      <c r="BF411" s="2">
        <v>0</v>
      </c>
      <c r="BG411" s="5">
        <v>0</v>
      </c>
      <c r="BH411" s="2">
        <v>52811.44</v>
      </c>
      <c r="BI411" s="12">
        <v>47153.07</v>
      </c>
      <c r="BJ411" s="2">
        <v>0</v>
      </c>
      <c r="BK411" s="5">
        <v>4400.95</v>
      </c>
      <c r="BL411" s="1" t="s">
        <v>436</v>
      </c>
    </row>
    <row r="412" spans="1:64" x14ac:dyDescent="0.3">
      <c r="A412" t="s">
        <v>450</v>
      </c>
      <c r="B412" s="1" t="s">
        <v>452</v>
      </c>
      <c r="C412" s="9" t="s">
        <v>453</v>
      </c>
      <c r="D412" s="1" t="s">
        <v>95</v>
      </c>
      <c r="E412" s="1" t="s">
        <v>135</v>
      </c>
      <c r="F412" s="10" t="s">
        <v>193</v>
      </c>
      <c r="G412" s="1">
        <v>0</v>
      </c>
      <c r="H412" s="1">
        <v>0.05</v>
      </c>
      <c r="I412" s="8">
        <v>45329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171264</v>
      </c>
      <c r="AJ412" s="2">
        <v>51450</v>
      </c>
      <c r="AK412" s="2">
        <v>7645.71</v>
      </c>
      <c r="AL412" s="2">
        <v>2296.88</v>
      </c>
      <c r="AM412" s="5">
        <v>1988.52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13362.84</v>
      </c>
      <c r="AT412" s="12">
        <v>11931.11</v>
      </c>
      <c r="AU412" s="2">
        <v>0</v>
      </c>
      <c r="AV412" s="5">
        <v>1113.57</v>
      </c>
      <c r="AX412" s="2">
        <v>171264</v>
      </c>
      <c r="AY412" s="2">
        <v>51450</v>
      </c>
      <c r="AZ412" s="2">
        <v>7645.71</v>
      </c>
      <c r="BA412" s="2">
        <v>2296.88</v>
      </c>
      <c r="BB412" s="5">
        <v>1988.52</v>
      </c>
      <c r="BC412" s="12">
        <v>0</v>
      </c>
      <c r="BD412" s="2">
        <v>0</v>
      </c>
      <c r="BE412" s="2">
        <v>0</v>
      </c>
      <c r="BF412" s="2">
        <v>0</v>
      </c>
      <c r="BG412" s="5">
        <v>0</v>
      </c>
      <c r="BH412" s="2">
        <v>13362.84</v>
      </c>
      <c r="BI412" s="12">
        <v>11931.11</v>
      </c>
      <c r="BJ412" s="2">
        <v>0</v>
      </c>
      <c r="BK412" s="5">
        <v>1113.57</v>
      </c>
      <c r="BL412" s="1" t="s">
        <v>137</v>
      </c>
    </row>
    <row r="413" spans="1:64" x14ac:dyDescent="0.3">
      <c r="A413" t="s">
        <v>475</v>
      </c>
      <c r="B413" s="1" t="s">
        <v>475</v>
      </c>
      <c r="C413" s="9" t="s">
        <v>476</v>
      </c>
      <c r="D413" s="1" t="s">
        <v>95</v>
      </c>
      <c r="E413" s="1" t="s">
        <v>88</v>
      </c>
      <c r="F413" s="10" t="s">
        <v>218</v>
      </c>
      <c r="G413" s="1">
        <v>3.5000000000000003E-2</v>
      </c>
      <c r="H413" s="1">
        <v>0.05</v>
      </c>
      <c r="I413" s="8">
        <v>44496</v>
      </c>
      <c r="J413" s="6">
        <v>429002</v>
      </c>
      <c r="K413" s="6">
        <v>168511</v>
      </c>
      <c r="L413" s="6">
        <v>19151.880000000005</v>
      </c>
      <c r="M413" s="6">
        <v>7522.8100000000013</v>
      </c>
      <c r="N413" s="7">
        <v>5334.9400000000005</v>
      </c>
      <c r="O413" s="6">
        <v>-421446.24</v>
      </c>
      <c r="P413" s="6">
        <v>-50817.87</v>
      </c>
      <c r="Q413" s="6">
        <v>-18814.560000000001</v>
      </c>
      <c r="R413" s="6">
        <v>-2268.65</v>
      </c>
      <c r="S413" s="7">
        <v>-4216.6400000000003</v>
      </c>
      <c r="T413" s="11">
        <v>7514.9500000000116</v>
      </c>
      <c r="U413" s="6">
        <v>6709.7800000000134</v>
      </c>
      <c r="V413" s="6">
        <v>0</v>
      </c>
      <c r="W413" s="6">
        <v>626.23999999999978</v>
      </c>
      <c r="AI413" s="2">
        <v>1404557</v>
      </c>
      <c r="AJ413" s="2">
        <v>597359</v>
      </c>
      <c r="AK413" s="2">
        <v>62703.44</v>
      </c>
      <c r="AL413" s="2">
        <v>26667.81</v>
      </c>
      <c r="AM413" s="5">
        <v>17874.25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120114.96</v>
      </c>
      <c r="AT413" s="12">
        <v>107245.5</v>
      </c>
      <c r="AU413" s="2">
        <v>0</v>
      </c>
      <c r="AV413" s="5">
        <v>10009.58</v>
      </c>
      <c r="AX413" s="2">
        <v>975555</v>
      </c>
      <c r="AY413" s="2">
        <v>428848</v>
      </c>
      <c r="AZ413" s="2">
        <v>43551.56</v>
      </c>
      <c r="BA413" s="2">
        <v>19145</v>
      </c>
      <c r="BB413" s="5">
        <v>12539.31</v>
      </c>
      <c r="BC413" s="12">
        <v>421446.24</v>
      </c>
      <c r="BD413" s="2">
        <v>50817.87</v>
      </c>
      <c r="BE413" s="2">
        <v>18814.560000000001</v>
      </c>
      <c r="BF413" s="2">
        <v>2268.65</v>
      </c>
      <c r="BG413" s="5">
        <v>4216.6400000000003</v>
      </c>
      <c r="BH413" s="2">
        <v>112600.01</v>
      </c>
      <c r="BI413" s="12">
        <v>100535.71999999999</v>
      </c>
      <c r="BJ413" s="2">
        <v>0</v>
      </c>
      <c r="BK413" s="5">
        <v>9383.34</v>
      </c>
      <c r="BL413" s="1" t="s">
        <v>90</v>
      </c>
    </row>
    <row r="414" spans="1:64" x14ac:dyDescent="0.3">
      <c r="A414" t="s">
        <v>475</v>
      </c>
      <c r="B414" s="1" t="s">
        <v>477</v>
      </c>
      <c r="C414" s="9" t="s">
        <v>478</v>
      </c>
      <c r="D414" s="1" t="s">
        <v>95</v>
      </c>
      <c r="E414" s="1" t="s">
        <v>88</v>
      </c>
      <c r="F414" s="10" t="s">
        <v>218</v>
      </c>
      <c r="G414" s="1">
        <v>0</v>
      </c>
      <c r="H414" s="1">
        <v>0.05</v>
      </c>
      <c r="I414" s="8">
        <v>45225</v>
      </c>
      <c r="J414" s="6">
        <v>70130</v>
      </c>
      <c r="K414" s="6">
        <v>33234</v>
      </c>
      <c r="L414" s="6">
        <v>3130.8000000000011</v>
      </c>
      <c r="M414" s="6">
        <v>1483.6599999999999</v>
      </c>
      <c r="N414" s="7">
        <v>922.88999999999987</v>
      </c>
      <c r="O414" s="6">
        <v>-120458.97</v>
      </c>
      <c r="P414" s="6">
        <v>-10937.52</v>
      </c>
      <c r="Q414" s="6">
        <v>-5377.63</v>
      </c>
      <c r="R414" s="6">
        <v>-488.29</v>
      </c>
      <c r="S414" s="7">
        <v>0</v>
      </c>
      <c r="T414" s="11">
        <v>-368</v>
      </c>
      <c r="U414" s="6">
        <v>-328.56999999999971</v>
      </c>
      <c r="V414" s="6">
        <v>0</v>
      </c>
      <c r="W414" s="6">
        <v>-140.16999999999985</v>
      </c>
      <c r="AI414" s="2">
        <v>235550</v>
      </c>
      <c r="AJ414" s="2">
        <v>123183</v>
      </c>
      <c r="AK414" s="2">
        <v>10515.62</v>
      </c>
      <c r="AL414" s="2">
        <v>5499.24</v>
      </c>
      <c r="AM414" s="5">
        <v>3202.97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21523.97</v>
      </c>
      <c r="AT414" s="12">
        <v>19217.830000000002</v>
      </c>
      <c r="AU414" s="2">
        <v>0</v>
      </c>
      <c r="AV414" s="5">
        <v>1793.66</v>
      </c>
      <c r="AX414" s="2">
        <v>165420</v>
      </c>
      <c r="AY414" s="2">
        <v>89949</v>
      </c>
      <c r="AZ414" s="2">
        <v>7384.82</v>
      </c>
      <c r="BA414" s="2">
        <v>4015.58</v>
      </c>
      <c r="BB414" s="5">
        <v>2280.08</v>
      </c>
      <c r="BC414" s="12">
        <v>120458.97</v>
      </c>
      <c r="BD414" s="2">
        <v>10937.52</v>
      </c>
      <c r="BE414" s="2">
        <v>5377.63</v>
      </c>
      <c r="BF414" s="2">
        <v>488.29</v>
      </c>
      <c r="BG414" s="5">
        <v>0</v>
      </c>
      <c r="BH414" s="2">
        <v>21891.97</v>
      </c>
      <c r="BI414" s="12">
        <v>19546.400000000001</v>
      </c>
      <c r="BJ414" s="2">
        <v>0</v>
      </c>
      <c r="BK414" s="5">
        <v>1933.83</v>
      </c>
      <c r="BL414" s="1" t="s">
        <v>90</v>
      </c>
    </row>
    <row r="415" spans="1:64" x14ac:dyDescent="0.3">
      <c r="A415" t="s">
        <v>479</v>
      </c>
      <c r="B415" s="1" t="s">
        <v>479</v>
      </c>
      <c r="C415" s="9" t="s">
        <v>480</v>
      </c>
      <c r="D415" s="1" t="s">
        <v>95</v>
      </c>
      <c r="E415" s="1" t="s">
        <v>135</v>
      </c>
      <c r="F415" s="10" t="s">
        <v>136</v>
      </c>
      <c r="G415" s="1">
        <v>0.04</v>
      </c>
      <c r="H415" s="1">
        <v>0.05</v>
      </c>
      <c r="I415" s="8">
        <v>44778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0</v>
      </c>
      <c r="U415" s="6">
        <v>0</v>
      </c>
      <c r="V415" s="6">
        <v>0</v>
      </c>
      <c r="W415" s="6">
        <v>0</v>
      </c>
      <c r="AI415" s="2">
        <v>902275</v>
      </c>
      <c r="AJ415" s="2">
        <v>127789</v>
      </c>
      <c r="AK415" s="2">
        <v>40280.129999999997</v>
      </c>
      <c r="AL415" s="2">
        <v>5704.87</v>
      </c>
      <c r="AM415" s="5">
        <v>9197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61803.839999999997</v>
      </c>
      <c r="AT415" s="12">
        <v>55182</v>
      </c>
      <c r="AU415" s="2">
        <v>0</v>
      </c>
      <c r="AV415" s="5">
        <v>5150.32</v>
      </c>
      <c r="AX415" s="2">
        <v>902275</v>
      </c>
      <c r="AY415" s="2">
        <v>127789</v>
      </c>
      <c r="AZ415" s="2">
        <v>40280.129999999997</v>
      </c>
      <c r="BA415" s="2">
        <v>5704.87</v>
      </c>
      <c r="BB415" s="5">
        <v>9197</v>
      </c>
      <c r="BC415" s="12">
        <v>0</v>
      </c>
      <c r="BD415" s="2">
        <v>0</v>
      </c>
      <c r="BE415" s="2">
        <v>0</v>
      </c>
      <c r="BF415" s="2">
        <v>0</v>
      </c>
      <c r="BG415" s="5">
        <v>0</v>
      </c>
      <c r="BH415" s="2">
        <v>61803.839999999997</v>
      </c>
      <c r="BI415" s="12">
        <v>55182</v>
      </c>
      <c r="BJ415" s="2">
        <v>0</v>
      </c>
      <c r="BK415" s="5">
        <v>5150.32</v>
      </c>
      <c r="BL415" s="1" t="s">
        <v>302</v>
      </c>
    </row>
    <row r="416" spans="1:64" x14ac:dyDescent="0.3">
      <c r="A416" t="s">
        <v>479</v>
      </c>
      <c r="B416" s="1" t="s">
        <v>481</v>
      </c>
      <c r="C416" s="9" t="s">
        <v>482</v>
      </c>
      <c r="D416" s="1" t="s">
        <v>95</v>
      </c>
      <c r="E416" s="1" t="s">
        <v>135</v>
      </c>
      <c r="F416" s="10" t="s">
        <v>136</v>
      </c>
      <c r="G416" s="1">
        <v>0</v>
      </c>
      <c r="H416" s="1">
        <v>0.05</v>
      </c>
      <c r="I416" s="8">
        <v>45177</v>
      </c>
      <c r="J416" s="6">
        <v>0</v>
      </c>
      <c r="K416" s="6">
        <v>0</v>
      </c>
      <c r="L416" s="6">
        <v>0</v>
      </c>
      <c r="M416" s="6">
        <v>0</v>
      </c>
      <c r="N416" s="7">
        <v>0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0</v>
      </c>
      <c r="U416" s="6">
        <v>0</v>
      </c>
      <c r="V416" s="6">
        <v>0</v>
      </c>
      <c r="W416" s="6">
        <v>0</v>
      </c>
      <c r="AI416" s="2">
        <v>171051</v>
      </c>
      <c r="AJ416" s="2">
        <v>30612</v>
      </c>
      <c r="AK416" s="2">
        <v>7636.21</v>
      </c>
      <c r="AL416" s="2">
        <v>1366.61</v>
      </c>
      <c r="AM416" s="5">
        <v>1800.56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12099.79</v>
      </c>
      <c r="AT416" s="12">
        <v>10803.38</v>
      </c>
      <c r="AU416" s="2">
        <v>0</v>
      </c>
      <c r="AV416" s="5">
        <v>1008.32</v>
      </c>
      <c r="AX416" s="2">
        <v>171051</v>
      </c>
      <c r="AY416" s="2">
        <v>30612</v>
      </c>
      <c r="AZ416" s="2">
        <v>7636.21</v>
      </c>
      <c r="BA416" s="2">
        <v>1366.61</v>
      </c>
      <c r="BB416" s="5">
        <v>1800.56</v>
      </c>
      <c r="BC416" s="12">
        <v>0</v>
      </c>
      <c r="BD416" s="2">
        <v>0</v>
      </c>
      <c r="BE416" s="2">
        <v>0</v>
      </c>
      <c r="BF416" s="2">
        <v>0</v>
      </c>
      <c r="BG416" s="5">
        <v>0</v>
      </c>
      <c r="BH416" s="2">
        <v>12099.79</v>
      </c>
      <c r="BI416" s="12">
        <v>10803.38</v>
      </c>
      <c r="BJ416" s="2">
        <v>0</v>
      </c>
      <c r="BK416" s="5">
        <v>1008.32</v>
      </c>
      <c r="BL416" s="1" t="s">
        <v>302</v>
      </c>
    </row>
    <row r="417" spans="1:64" x14ac:dyDescent="0.3">
      <c r="A417" t="s">
        <v>483</v>
      </c>
      <c r="B417" s="1" t="s">
        <v>483</v>
      </c>
      <c r="C417" s="9" t="s">
        <v>484</v>
      </c>
      <c r="D417" s="1" t="s">
        <v>95</v>
      </c>
      <c r="E417" s="1" t="s">
        <v>135</v>
      </c>
      <c r="F417" s="10" t="s">
        <v>485</v>
      </c>
      <c r="G417" s="1">
        <v>0.04</v>
      </c>
      <c r="H417" s="1">
        <v>0.05</v>
      </c>
      <c r="I417" s="8">
        <v>44828</v>
      </c>
      <c r="J417" s="6">
        <v>0</v>
      </c>
      <c r="K417" s="6">
        <v>0</v>
      </c>
      <c r="L417" s="6">
        <v>0</v>
      </c>
      <c r="M417" s="6">
        <v>0</v>
      </c>
      <c r="N417" s="7">
        <v>0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0</v>
      </c>
      <c r="U417" s="6">
        <v>0</v>
      </c>
      <c r="V417" s="6">
        <v>0</v>
      </c>
      <c r="W417" s="6">
        <v>0</v>
      </c>
      <c r="AI417" s="2">
        <v>322119</v>
      </c>
      <c r="AJ417" s="2">
        <v>57151</v>
      </c>
      <c r="AK417" s="2">
        <v>14380.31</v>
      </c>
      <c r="AL417" s="2">
        <v>2551.38</v>
      </c>
      <c r="AM417" s="5">
        <v>3386.34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22756.19</v>
      </c>
      <c r="AT417" s="12">
        <v>20318.03</v>
      </c>
      <c r="AU417" s="2">
        <v>0</v>
      </c>
      <c r="AV417" s="5">
        <v>1896.35</v>
      </c>
      <c r="AX417" s="2">
        <v>322119</v>
      </c>
      <c r="AY417" s="2">
        <v>57151</v>
      </c>
      <c r="AZ417" s="2">
        <v>14380.31</v>
      </c>
      <c r="BA417" s="2">
        <v>2551.38</v>
      </c>
      <c r="BB417" s="5">
        <v>3386.34</v>
      </c>
      <c r="BC417" s="12">
        <v>0</v>
      </c>
      <c r="BD417" s="2">
        <v>0</v>
      </c>
      <c r="BE417" s="2">
        <v>0</v>
      </c>
      <c r="BF417" s="2">
        <v>0</v>
      </c>
      <c r="BG417" s="5">
        <v>0</v>
      </c>
      <c r="BH417" s="2">
        <v>22756.19</v>
      </c>
      <c r="BI417" s="12">
        <v>20318.03</v>
      </c>
      <c r="BJ417" s="2">
        <v>0</v>
      </c>
      <c r="BK417" s="5">
        <v>1896.35</v>
      </c>
      <c r="BL417" s="1" t="s">
        <v>302</v>
      </c>
    </row>
    <row r="418" spans="1:64" x14ac:dyDescent="0.3">
      <c r="A418" t="s">
        <v>483</v>
      </c>
      <c r="B418" s="1" t="s">
        <v>486</v>
      </c>
      <c r="C418" s="9" t="s">
        <v>487</v>
      </c>
      <c r="D418" s="1" t="s">
        <v>95</v>
      </c>
      <c r="E418" s="1" t="s">
        <v>135</v>
      </c>
      <c r="F418" s="10" t="s">
        <v>485</v>
      </c>
      <c r="G418" s="1">
        <v>0.04</v>
      </c>
      <c r="H418" s="1">
        <v>0.05</v>
      </c>
      <c r="I418" s="8">
        <v>44828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0</v>
      </c>
      <c r="U418" s="6">
        <v>0</v>
      </c>
      <c r="V418" s="6">
        <v>0</v>
      </c>
      <c r="W418" s="6">
        <v>0</v>
      </c>
      <c r="AI418" s="2">
        <v>273069</v>
      </c>
      <c r="AJ418" s="2">
        <v>63767</v>
      </c>
      <c r="AK418" s="2">
        <v>12190.58</v>
      </c>
      <c r="AL418" s="2">
        <v>2846.74</v>
      </c>
      <c r="AM418" s="5">
        <v>3007.46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20210.150000000001</v>
      </c>
      <c r="AT418" s="12">
        <v>18044.78</v>
      </c>
      <c r="AU418" s="2">
        <v>0</v>
      </c>
      <c r="AV418" s="5">
        <v>1684.18</v>
      </c>
      <c r="AX418" s="2">
        <v>273069</v>
      </c>
      <c r="AY418" s="2">
        <v>63767</v>
      </c>
      <c r="AZ418" s="2">
        <v>12190.58</v>
      </c>
      <c r="BA418" s="2">
        <v>2846.74</v>
      </c>
      <c r="BB418" s="5">
        <v>3007.46</v>
      </c>
      <c r="BC418" s="12">
        <v>0</v>
      </c>
      <c r="BD418" s="2">
        <v>0</v>
      </c>
      <c r="BE418" s="2">
        <v>0</v>
      </c>
      <c r="BF418" s="2">
        <v>0</v>
      </c>
      <c r="BG418" s="5">
        <v>0</v>
      </c>
      <c r="BH418" s="2">
        <v>20210.150000000001</v>
      </c>
      <c r="BI418" s="12">
        <v>18044.78</v>
      </c>
      <c r="BJ418" s="2">
        <v>0</v>
      </c>
      <c r="BK418" s="5">
        <v>1684.18</v>
      </c>
      <c r="BL418" s="1" t="s">
        <v>302</v>
      </c>
    </row>
    <row r="419" spans="1:64" x14ac:dyDescent="0.3">
      <c r="A419" t="s">
        <v>483</v>
      </c>
      <c r="B419" s="1" t="s">
        <v>488</v>
      </c>
      <c r="C419" s="9" t="s">
        <v>489</v>
      </c>
      <c r="D419" s="1" t="s">
        <v>95</v>
      </c>
      <c r="E419" s="1" t="s">
        <v>135</v>
      </c>
      <c r="F419" s="10" t="s">
        <v>485</v>
      </c>
      <c r="G419" s="1">
        <v>0</v>
      </c>
      <c r="H419" s="1">
        <v>0.05</v>
      </c>
      <c r="I419" s="8">
        <v>45463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0</v>
      </c>
      <c r="U419" s="6">
        <v>0</v>
      </c>
      <c r="V419" s="6">
        <v>0</v>
      </c>
      <c r="W419" s="6">
        <v>0</v>
      </c>
      <c r="AI419" s="2">
        <v>361740</v>
      </c>
      <c r="AJ419" s="2">
        <v>0</v>
      </c>
      <c r="AK419" s="2">
        <v>16149.11</v>
      </c>
      <c r="AL419" s="2">
        <v>0</v>
      </c>
      <c r="AM419" s="5">
        <v>3229.82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21704.400000000001</v>
      </c>
      <c r="AT419" s="12">
        <v>19378.93</v>
      </c>
      <c r="AU419" s="2">
        <v>0</v>
      </c>
      <c r="AV419" s="5">
        <v>1808.7</v>
      </c>
      <c r="AX419" s="2">
        <v>361740</v>
      </c>
      <c r="AY419" s="2">
        <v>0</v>
      </c>
      <c r="AZ419" s="2">
        <v>16149.11</v>
      </c>
      <c r="BA419" s="2">
        <v>0</v>
      </c>
      <c r="BB419" s="5">
        <v>3229.82</v>
      </c>
      <c r="BC419" s="12">
        <v>0</v>
      </c>
      <c r="BD419" s="2">
        <v>0</v>
      </c>
      <c r="BE419" s="2">
        <v>0</v>
      </c>
      <c r="BF419" s="2">
        <v>0</v>
      </c>
      <c r="BG419" s="5">
        <v>0</v>
      </c>
      <c r="BH419" s="2">
        <v>21704.400000000001</v>
      </c>
      <c r="BI419" s="12">
        <v>19378.93</v>
      </c>
      <c r="BJ419" s="2">
        <v>0</v>
      </c>
      <c r="BK419" s="5">
        <v>1808.7</v>
      </c>
      <c r="BL419" s="1" t="s">
        <v>302</v>
      </c>
    </row>
    <row r="420" spans="1:64" x14ac:dyDescent="0.3">
      <c r="A420" t="s">
        <v>510</v>
      </c>
      <c r="B420" s="1" t="s">
        <v>510</v>
      </c>
      <c r="C420" s="9" t="s">
        <v>511</v>
      </c>
      <c r="D420" s="1" t="s">
        <v>95</v>
      </c>
      <c r="E420" s="1" t="s">
        <v>88</v>
      </c>
      <c r="F420" s="10" t="s">
        <v>218</v>
      </c>
      <c r="G420" s="1">
        <v>4.4999999999999998E-2</v>
      </c>
      <c r="H420" s="1">
        <v>0.05</v>
      </c>
      <c r="I420" s="8">
        <v>45260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0</v>
      </c>
      <c r="U420" s="6">
        <v>0</v>
      </c>
      <c r="V420" s="6">
        <v>0</v>
      </c>
      <c r="W420" s="6">
        <v>0</v>
      </c>
      <c r="AI420" s="2">
        <v>824334</v>
      </c>
      <c r="AJ420" s="2">
        <v>240893</v>
      </c>
      <c r="AK420" s="2">
        <v>36800.620000000003</v>
      </c>
      <c r="AL420" s="2">
        <v>10754.15</v>
      </c>
      <c r="AM420" s="5">
        <v>9510.9599999999991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63913.62</v>
      </c>
      <c r="AT420" s="12">
        <v>57065.73</v>
      </c>
      <c r="AU420" s="2">
        <v>0</v>
      </c>
      <c r="AV420" s="5">
        <v>5326.14</v>
      </c>
      <c r="AX420" s="2">
        <v>824334</v>
      </c>
      <c r="AY420" s="2">
        <v>240893</v>
      </c>
      <c r="AZ420" s="2">
        <v>36800.620000000003</v>
      </c>
      <c r="BA420" s="2">
        <v>10754.15</v>
      </c>
      <c r="BB420" s="5">
        <v>9510.9599999999991</v>
      </c>
      <c r="BC420" s="12">
        <v>0</v>
      </c>
      <c r="BD420" s="2">
        <v>0</v>
      </c>
      <c r="BE420" s="2">
        <v>0</v>
      </c>
      <c r="BF420" s="2">
        <v>0</v>
      </c>
      <c r="BG420" s="5">
        <v>0</v>
      </c>
      <c r="BH420" s="2">
        <v>63913.62</v>
      </c>
      <c r="BI420" s="12">
        <v>57065.73</v>
      </c>
      <c r="BJ420" s="2">
        <v>0</v>
      </c>
      <c r="BK420" s="5">
        <v>5326.14</v>
      </c>
      <c r="BL420" s="1" t="s">
        <v>90</v>
      </c>
    </row>
    <row r="421" spans="1:64" x14ac:dyDescent="0.3">
      <c r="A421" t="s">
        <v>510</v>
      </c>
      <c r="B421" s="1" t="s">
        <v>512</v>
      </c>
      <c r="C421" s="9" t="s">
        <v>513</v>
      </c>
      <c r="D421" s="1" t="s">
        <v>95</v>
      </c>
      <c r="E421" s="1" t="s">
        <v>88</v>
      </c>
      <c r="F421" s="10" t="s">
        <v>218</v>
      </c>
      <c r="G421" s="1">
        <v>4.4999999999999998E-2</v>
      </c>
      <c r="H421" s="1">
        <v>0.05</v>
      </c>
      <c r="I421" s="8">
        <v>45260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0</v>
      </c>
      <c r="U421" s="6">
        <v>0</v>
      </c>
      <c r="V421" s="6">
        <v>0</v>
      </c>
      <c r="W421" s="6">
        <v>0</v>
      </c>
      <c r="AI421" s="2">
        <v>354027</v>
      </c>
      <c r="AJ421" s="2">
        <v>98360</v>
      </c>
      <c r="AK421" s="2">
        <v>15804.78</v>
      </c>
      <c r="AL421" s="2">
        <v>4391.07</v>
      </c>
      <c r="AM421" s="5">
        <v>4039.17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27143.22</v>
      </c>
      <c r="AT421" s="12">
        <v>24235.019999999997</v>
      </c>
      <c r="AU421" s="2">
        <v>0</v>
      </c>
      <c r="AV421" s="5">
        <v>2261.94</v>
      </c>
      <c r="AX421" s="2">
        <v>354027</v>
      </c>
      <c r="AY421" s="2">
        <v>98360</v>
      </c>
      <c r="AZ421" s="2">
        <v>15804.78</v>
      </c>
      <c r="BA421" s="2">
        <v>4391.07</v>
      </c>
      <c r="BB421" s="5">
        <v>4039.17</v>
      </c>
      <c r="BC421" s="12">
        <v>0</v>
      </c>
      <c r="BD421" s="2">
        <v>0</v>
      </c>
      <c r="BE421" s="2">
        <v>0</v>
      </c>
      <c r="BF421" s="2">
        <v>0</v>
      </c>
      <c r="BG421" s="5">
        <v>0</v>
      </c>
      <c r="BH421" s="2">
        <v>27143.22</v>
      </c>
      <c r="BI421" s="12">
        <v>24235.019999999997</v>
      </c>
      <c r="BJ421" s="2">
        <v>0</v>
      </c>
      <c r="BK421" s="5">
        <v>2261.94</v>
      </c>
      <c r="BL421" s="1" t="s">
        <v>90</v>
      </c>
    </row>
    <row r="422" spans="1:64" x14ac:dyDescent="0.3">
      <c r="A422" t="s">
        <v>510</v>
      </c>
      <c r="B422" s="1" t="s">
        <v>514</v>
      </c>
      <c r="C422" s="9" t="s">
        <v>515</v>
      </c>
      <c r="D422" s="1" t="s">
        <v>95</v>
      </c>
      <c r="E422" s="1" t="s">
        <v>88</v>
      </c>
      <c r="F422" s="10" t="s">
        <v>218</v>
      </c>
      <c r="G422" s="1">
        <v>0</v>
      </c>
      <c r="H422" s="1">
        <v>0.05</v>
      </c>
      <c r="I422" s="8">
        <v>45260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0</v>
      </c>
      <c r="U422" s="6">
        <v>0</v>
      </c>
      <c r="V422" s="6">
        <v>0</v>
      </c>
      <c r="W422" s="6">
        <v>0</v>
      </c>
      <c r="AI422" s="2">
        <v>746500</v>
      </c>
      <c r="AJ422" s="2">
        <v>141051</v>
      </c>
      <c r="AK422" s="2">
        <v>33325.89</v>
      </c>
      <c r="AL422" s="2">
        <v>6296.92</v>
      </c>
      <c r="AM422" s="5">
        <v>7924.56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53253.05</v>
      </c>
      <c r="AT422" s="12">
        <v>47547.369999999995</v>
      </c>
      <c r="AU422" s="2">
        <v>0</v>
      </c>
      <c r="AV422" s="5">
        <v>4437.76</v>
      </c>
      <c r="AX422" s="2">
        <v>746500</v>
      </c>
      <c r="AY422" s="2">
        <v>141051</v>
      </c>
      <c r="AZ422" s="2">
        <v>33325.89</v>
      </c>
      <c r="BA422" s="2">
        <v>6296.92</v>
      </c>
      <c r="BB422" s="5">
        <v>7924.56</v>
      </c>
      <c r="BC422" s="12">
        <v>0</v>
      </c>
      <c r="BD422" s="2">
        <v>0</v>
      </c>
      <c r="BE422" s="2">
        <v>0</v>
      </c>
      <c r="BF422" s="2">
        <v>0</v>
      </c>
      <c r="BG422" s="5">
        <v>0</v>
      </c>
      <c r="BH422" s="2">
        <v>53253.05</v>
      </c>
      <c r="BI422" s="12">
        <v>47547.369999999995</v>
      </c>
      <c r="BJ422" s="2">
        <v>0</v>
      </c>
      <c r="BK422" s="5">
        <v>4437.76</v>
      </c>
      <c r="BL422" s="1" t="s">
        <v>90</v>
      </c>
    </row>
    <row r="423" spans="1:64" x14ac:dyDescent="0.3">
      <c r="A423" t="s">
        <v>516</v>
      </c>
      <c r="B423" s="1" t="s">
        <v>516</v>
      </c>
      <c r="C423" s="9" t="s">
        <v>517</v>
      </c>
      <c r="D423" s="1" t="s">
        <v>95</v>
      </c>
      <c r="E423" s="1" t="s">
        <v>128</v>
      </c>
      <c r="F423" s="10" t="s">
        <v>325</v>
      </c>
      <c r="G423" s="1">
        <v>4.4999999999999998E-2</v>
      </c>
      <c r="H423" s="1">
        <v>0.05</v>
      </c>
      <c r="I423" s="8">
        <v>45270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0</v>
      </c>
      <c r="U423" s="6">
        <v>0</v>
      </c>
      <c r="V423" s="6">
        <v>0</v>
      </c>
      <c r="W423" s="6">
        <v>0</v>
      </c>
      <c r="AI423" s="2">
        <v>580282</v>
      </c>
      <c r="AJ423" s="2">
        <v>125925</v>
      </c>
      <c r="AK423" s="2">
        <v>25905.45</v>
      </c>
      <c r="AL423" s="2">
        <v>5621.65</v>
      </c>
      <c r="AM423" s="5">
        <v>6305.42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42372.42</v>
      </c>
      <c r="AT423" s="12">
        <v>37832.519999999997</v>
      </c>
      <c r="AU423" s="2">
        <v>0</v>
      </c>
      <c r="AV423" s="5">
        <v>3531.04</v>
      </c>
      <c r="AX423" s="2">
        <v>580282</v>
      </c>
      <c r="AY423" s="2">
        <v>125925</v>
      </c>
      <c r="AZ423" s="2">
        <v>25905.45</v>
      </c>
      <c r="BA423" s="2">
        <v>5621.65</v>
      </c>
      <c r="BB423" s="5">
        <v>6305.42</v>
      </c>
      <c r="BC423" s="12">
        <v>0</v>
      </c>
      <c r="BD423" s="2">
        <v>0</v>
      </c>
      <c r="BE423" s="2">
        <v>0</v>
      </c>
      <c r="BF423" s="2">
        <v>0</v>
      </c>
      <c r="BG423" s="5">
        <v>0</v>
      </c>
      <c r="BH423" s="2">
        <v>42372.42</v>
      </c>
      <c r="BI423" s="12">
        <v>37832.519999999997</v>
      </c>
      <c r="BJ423" s="2">
        <v>0</v>
      </c>
      <c r="BK423" s="5">
        <v>3531.04</v>
      </c>
      <c r="BL423" s="1" t="s">
        <v>326</v>
      </c>
    </row>
    <row r="424" spans="1:64" x14ac:dyDescent="0.3">
      <c r="A424" t="s">
        <v>532</v>
      </c>
      <c r="B424" s="1" t="s">
        <v>532</v>
      </c>
      <c r="C424" s="9" t="s">
        <v>533</v>
      </c>
      <c r="D424" s="1" t="s">
        <v>95</v>
      </c>
      <c r="E424" s="1" t="s">
        <v>88</v>
      </c>
      <c r="F424" s="10" t="s">
        <v>534</v>
      </c>
      <c r="G424" s="1">
        <v>3.5000000000000003E-2</v>
      </c>
      <c r="H424" s="1">
        <v>0.05</v>
      </c>
      <c r="I424" s="8">
        <v>45611</v>
      </c>
      <c r="J424" s="6">
        <v>15267</v>
      </c>
      <c r="K424" s="6">
        <v>3664</v>
      </c>
      <c r="L424" s="6">
        <v>681.5600000000004</v>
      </c>
      <c r="M424" s="6">
        <v>163.56999999999994</v>
      </c>
      <c r="N424" s="7">
        <v>169.02999999999997</v>
      </c>
      <c r="O424" s="6">
        <v>-33986.94</v>
      </c>
      <c r="P424" s="6">
        <v>-4971.4799999999996</v>
      </c>
      <c r="Q424" s="6">
        <v>-1517.28</v>
      </c>
      <c r="R424" s="6">
        <v>-221.94</v>
      </c>
      <c r="S424" s="7">
        <v>-347.84</v>
      </c>
      <c r="T424" s="11">
        <v>-1201.6399999999994</v>
      </c>
      <c r="U424" s="6">
        <v>-1072.9000000000015</v>
      </c>
      <c r="V424" s="6">
        <v>0</v>
      </c>
      <c r="W424" s="6">
        <v>-100.13999999999999</v>
      </c>
      <c r="AI424" s="2">
        <v>130061</v>
      </c>
      <c r="AJ424" s="2">
        <v>37968</v>
      </c>
      <c r="AK424" s="2">
        <v>5806.29</v>
      </c>
      <c r="AL424" s="2">
        <v>1695</v>
      </c>
      <c r="AM424" s="5">
        <v>1500.26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10081.74</v>
      </c>
      <c r="AT424" s="12">
        <v>9001.5499999999993</v>
      </c>
      <c r="AU424" s="2">
        <v>0</v>
      </c>
      <c r="AV424" s="5">
        <v>840.14</v>
      </c>
      <c r="AX424" s="2">
        <v>114794</v>
      </c>
      <c r="AY424" s="2">
        <v>34304</v>
      </c>
      <c r="AZ424" s="2">
        <v>5124.7299999999996</v>
      </c>
      <c r="BA424" s="2">
        <v>1531.43</v>
      </c>
      <c r="BB424" s="5">
        <v>1331.23</v>
      </c>
      <c r="BC424" s="12">
        <v>33986.94</v>
      </c>
      <c r="BD424" s="2">
        <v>4971.4799999999996</v>
      </c>
      <c r="BE424" s="2">
        <v>1517.28</v>
      </c>
      <c r="BF424" s="2">
        <v>221.94</v>
      </c>
      <c r="BG424" s="5">
        <v>347.84</v>
      </c>
      <c r="BH424" s="2">
        <v>11283.38</v>
      </c>
      <c r="BI424" s="12">
        <v>10074.450000000001</v>
      </c>
      <c r="BJ424" s="2">
        <v>0</v>
      </c>
      <c r="BK424" s="5">
        <v>940.28</v>
      </c>
      <c r="BL424" s="1" t="s">
        <v>90</v>
      </c>
    </row>
    <row r="425" spans="1:64" x14ac:dyDescent="0.3">
      <c r="A425" t="s">
        <v>535</v>
      </c>
      <c r="B425" s="1" t="s">
        <v>535</v>
      </c>
      <c r="C425" s="9" t="s">
        <v>536</v>
      </c>
      <c r="D425" s="1" t="s">
        <v>95</v>
      </c>
      <c r="E425" s="1" t="s">
        <v>88</v>
      </c>
      <c r="F425" s="10" t="s">
        <v>432</v>
      </c>
      <c r="G425" s="1">
        <v>3.5000000000000003E-2</v>
      </c>
      <c r="H425" s="1">
        <v>0.05</v>
      </c>
      <c r="I425" s="8">
        <v>45616</v>
      </c>
      <c r="J425" s="6">
        <v>101835</v>
      </c>
      <c r="K425" s="6">
        <v>71781</v>
      </c>
      <c r="L425" s="6">
        <v>4546.2000000000007</v>
      </c>
      <c r="M425" s="6">
        <v>3204.51</v>
      </c>
      <c r="N425" s="7">
        <v>1550.1399999999999</v>
      </c>
      <c r="O425" s="6">
        <v>-124048.88999999998</v>
      </c>
      <c r="P425" s="6">
        <v>-23389.02</v>
      </c>
      <c r="Q425" s="6">
        <v>-5537.89</v>
      </c>
      <c r="R425" s="6">
        <v>-1044.1500000000001</v>
      </c>
      <c r="S425" s="7">
        <v>-1316.41</v>
      </c>
      <c r="T425" s="11">
        <v>1570.6900000000023</v>
      </c>
      <c r="U425" s="6">
        <v>1402.3999999999978</v>
      </c>
      <c r="V425" s="6">
        <v>0</v>
      </c>
      <c r="W425" s="6">
        <v>130.89000000000033</v>
      </c>
      <c r="AI425" s="2">
        <v>359045</v>
      </c>
      <c r="AJ425" s="2">
        <v>257128</v>
      </c>
      <c r="AK425" s="2">
        <v>16028.79</v>
      </c>
      <c r="AL425" s="2">
        <v>11478.93</v>
      </c>
      <c r="AM425" s="5">
        <v>5501.54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36970.370000000003</v>
      </c>
      <c r="AT425" s="12">
        <v>33009.26</v>
      </c>
      <c r="AU425" s="2">
        <v>0</v>
      </c>
      <c r="AV425" s="5">
        <v>3080.86</v>
      </c>
      <c r="AX425" s="2">
        <v>257210</v>
      </c>
      <c r="AY425" s="2">
        <v>185347</v>
      </c>
      <c r="AZ425" s="2">
        <v>11482.59</v>
      </c>
      <c r="BA425" s="2">
        <v>8274.42</v>
      </c>
      <c r="BB425" s="5">
        <v>3951.4</v>
      </c>
      <c r="BC425" s="12">
        <v>124048.88999999998</v>
      </c>
      <c r="BD425" s="2">
        <v>23389.02</v>
      </c>
      <c r="BE425" s="2">
        <v>5537.89</v>
      </c>
      <c r="BF425" s="2">
        <v>1044.1500000000001</v>
      </c>
      <c r="BG425" s="5">
        <v>1316.41</v>
      </c>
      <c r="BH425" s="2">
        <v>35399.68</v>
      </c>
      <c r="BI425" s="12">
        <v>31606.860000000004</v>
      </c>
      <c r="BJ425" s="2">
        <v>0</v>
      </c>
      <c r="BK425" s="5">
        <v>2949.97</v>
      </c>
      <c r="BL425" s="1" t="s">
        <v>90</v>
      </c>
    </row>
    <row r="426" spans="1:64" x14ac:dyDescent="0.3">
      <c r="A426" t="s">
        <v>535</v>
      </c>
      <c r="B426" s="1" t="s">
        <v>537</v>
      </c>
      <c r="C426" s="9" t="s">
        <v>538</v>
      </c>
      <c r="D426" s="1" t="s">
        <v>95</v>
      </c>
      <c r="E426" s="1" t="s">
        <v>88</v>
      </c>
      <c r="F426" s="10" t="s">
        <v>432</v>
      </c>
      <c r="G426" s="1">
        <v>3.5000000000000003E-2</v>
      </c>
      <c r="H426" s="1">
        <v>0.05</v>
      </c>
      <c r="I426" s="8">
        <v>45616</v>
      </c>
      <c r="J426" s="6">
        <v>100050</v>
      </c>
      <c r="K426" s="6">
        <v>44708</v>
      </c>
      <c r="L426" s="6">
        <v>4466.5200000000004</v>
      </c>
      <c r="M426" s="6">
        <v>1995.8900000000003</v>
      </c>
      <c r="N426" s="7">
        <v>1292.4800000000005</v>
      </c>
      <c r="O426" s="6">
        <v>-144945.26999999999</v>
      </c>
      <c r="P426" s="6">
        <v>-17772.66</v>
      </c>
      <c r="Q426" s="6">
        <v>-6470.77</v>
      </c>
      <c r="R426" s="6">
        <v>-793.42</v>
      </c>
      <c r="S426" s="7">
        <v>-1452.84</v>
      </c>
      <c r="T426" s="11">
        <v>-1077.6000000000022</v>
      </c>
      <c r="U426" s="6">
        <v>-962.13999999999214</v>
      </c>
      <c r="V426" s="6">
        <v>0</v>
      </c>
      <c r="W426" s="6">
        <v>-89.800000000000182</v>
      </c>
      <c r="AI426" s="2">
        <v>356240</v>
      </c>
      <c r="AJ426" s="2">
        <v>173657</v>
      </c>
      <c r="AK426" s="2">
        <v>15903.57</v>
      </c>
      <c r="AL426" s="2">
        <v>7752.54</v>
      </c>
      <c r="AM426" s="5">
        <v>4731.22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31793.81</v>
      </c>
      <c r="AT426" s="12">
        <v>28387.33</v>
      </c>
      <c r="AU426" s="2">
        <v>0</v>
      </c>
      <c r="AV426" s="5">
        <v>2649.48</v>
      </c>
      <c r="AX426" s="2">
        <v>256190</v>
      </c>
      <c r="AY426" s="2">
        <v>128949</v>
      </c>
      <c r="AZ426" s="2">
        <v>11437.05</v>
      </c>
      <c r="BA426" s="2">
        <v>5756.65</v>
      </c>
      <c r="BB426" s="5">
        <v>3438.74</v>
      </c>
      <c r="BC426" s="12">
        <v>144945.26999999999</v>
      </c>
      <c r="BD426" s="2">
        <v>17772.66</v>
      </c>
      <c r="BE426" s="2">
        <v>6470.77</v>
      </c>
      <c r="BF426" s="2">
        <v>793.42</v>
      </c>
      <c r="BG426" s="5">
        <v>1452.84</v>
      </c>
      <c r="BH426" s="2">
        <v>32871.410000000003</v>
      </c>
      <c r="BI426" s="12">
        <v>29349.469999999994</v>
      </c>
      <c r="BJ426" s="2">
        <v>0</v>
      </c>
      <c r="BK426" s="5">
        <v>2739.28</v>
      </c>
      <c r="BL426" s="1" t="s">
        <v>90</v>
      </c>
    </row>
    <row r="427" spans="1:64" x14ac:dyDescent="0.3">
      <c r="A427" t="s">
        <v>539</v>
      </c>
      <c r="B427" s="1" t="s">
        <v>539</v>
      </c>
      <c r="C427" s="9" t="s">
        <v>540</v>
      </c>
      <c r="D427" s="1" t="s">
        <v>95</v>
      </c>
      <c r="E427" s="1" t="s">
        <v>128</v>
      </c>
      <c r="F427" s="10" t="s">
        <v>309</v>
      </c>
      <c r="G427" s="1">
        <v>3.5000000000000003E-2</v>
      </c>
      <c r="H427" s="1">
        <v>0.05</v>
      </c>
      <c r="I427" s="8">
        <v>45627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  <c r="T427" s="11">
        <v>0</v>
      </c>
      <c r="U427" s="6">
        <v>0</v>
      </c>
      <c r="V427" s="6">
        <v>0</v>
      </c>
      <c r="W427" s="6">
        <v>0</v>
      </c>
      <c r="AI427" s="2">
        <v>945225.25</v>
      </c>
      <c r="AJ427" s="2">
        <v>33663</v>
      </c>
      <c r="AK427" s="2">
        <v>42197.55</v>
      </c>
      <c r="AL427" s="2">
        <v>1502.81</v>
      </c>
      <c r="AM427" s="5">
        <v>8740.07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58733.279999999999</v>
      </c>
      <c r="AT427" s="12">
        <v>52440.43</v>
      </c>
      <c r="AU427" s="2">
        <v>0</v>
      </c>
      <c r="AV427" s="5">
        <v>4894.4399999999996</v>
      </c>
      <c r="AX427" s="2">
        <v>945225.25</v>
      </c>
      <c r="AY427" s="2">
        <v>33663</v>
      </c>
      <c r="AZ427" s="2">
        <v>42197.55</v>
      </c>
      <c r="BA427" s="2">
        <v>1502.81</v>
      </c>
      <c r="BB427" s="5">
        <v>8740.07</v>
      </c>
      <c r="BC427" s="12">
        <v>0</v>
      </c>
      <c r="BD427" s="2">
        <v>0</v>
      </c>
      <c r="BE427" s="2">
        <v>0</v>
      </c>
      <c r="BF427" s="2">
        <v>0</v>
      </c>
      <c r="BG427" s="5">
        <v>0</v>
      </c>
      <c r="BH427" s="2">
        <v>58733.279999999999</v>
      </c>
      <c r="BI427" s="12">
        <v>52440.43</v>
      </c>
      <c r="BJ427" s="2">
        <v>0</v>
      </c>
      <c r="BK427" s="5">
        <v>4894.4399999999996</v>
      </c>
      <c r="BL427" s="1" t="s">
        <v>130</v>
      </c>
    </row>
    <row r="428" spans="1:64" x14ac:dyDescent="0.3">
      <c r="A428" t="s">
        <v>539</v>
      </c>
      <c r="B428" s="1" t="s">
        <v>541</v>
      </c>
      <c r="C428" s="9" t="s">
        <v>542</v>
      </c>
      <c r="D428" s="1" t="s">
        <v>95</v>
      </c>
      <c r="E428" s="1" t="s">
        <v>128</v>
      </c>
      <c r="F428" s="10" t="s">
        <v>309</v>
      </c>
      <c r="G428" s="1">
        <v>0</v>
      </c>
      <c r="H428" s="1">
        <v>0.05</v>
      </c>
      <c r="I428" s="8">
        <v>45589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0</v>
      </c>
      <c r="U428" s="6">
        <v>0</v>
      </c>
      <c r="V428" s="6">
        <v>0</v>
      </c>
      <c r="W428" s="6">
        <v>0</v>
      </c>
      <c r="AI428" s="2">
        <v>414231.95</v>
      </c>
      <c r="AJ428" s="2">
        <v>6618</v>
      </c>
      <c r="AK428" s="2">
        <v>18492.5</v>
      </c>
      <c r="AL428" s="2">
        <v>295.45</v>
      </c>
      <c r="AM428" s="5">
        <v>3757.59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25251</v>
      </c>
      <c r="AT428" s="12">
        <v>22545.54</v>
      </c>
      <c r="AU428" s="2">
        <v>0</v>
      </c>
      <c r="AV428" s="5">
        <v>2104.25</v>
      </c>
      <c r="AX428" s="2">
        <v>414231.95</v>
      </c>
      <c r="AY428" s="2">
        <v>6618</v>
      </c>
      <c r="AZ428" s="2">
        <v>18492.5</v>
      </c>
      <c r="BA428" s="2">
        <v>295.45</v>
      </c>
      <c r="BB428" s="5">
        <v>3757.59</v>
      </c>
      <c r="BC428" s="12">
        <v>0</v>
      </c>
      <c r="BD428" s="2">
        <v>0</v>
      </c>
      <c r="BE428" s="2">
        <v>0</v>
      </c>
      <c r="BF428" s="2">
        <v>0</v>
      </c>
      <c r="BG428" s="5">
        <v>0</v>
      </c>
      <c r="BH428" s="2">
        <v>25251</v>
      </c>
      <c r="BI428" s="12">
        <v>22545.54</v>
      </c>
      <c r="BJ428" s="2">
        <v>0</v>
      </c>
      <c r="BK428" s="5">
        <v>2104.25</v>
      </c>
      <c r="BL428" s="1" t="s">
        <v>130</v>
      </c>
    </row>
    <row r="429" spans="1:64" x14ac:dyDescent="0.3">
      <c r="A429" t="s">
        <v>543</v>
      </c>
      <c r="B429" s="1" t="s">
        <v>543</v>
      </c>
      <c r="C429" s="9" t="s">
        <v>544</v>
      </c>
      <c r="D429" s="1" t="s">
        <v>95</v>
      </c>
      <c r="E429" s="1" t="s">
        <v>88</v>
      </c>
      <c r="F429" s="10" t="s">
        <v>545</v>
      </c>
      <c r="G429" s="1">
        <v>3.5000000000000003E-2</v>
      </c>
      <c r="H429" s="1">
        <v>0.05</v>
      </c>
      <c r="I429" s="8">
        <v>45636</v>
      </c>
      <c r="J429" s="6">
        <v>0</v>
      </c>
      <c r="K429" s="6">
        <v>0</v>
      </c>
      <c r="L429" s="6">
        <v>0</v>
      </c>
      <c r="M429" s="6">
        <v>0</v>
      </c>
      <c r="N429" s="7">
        <v>0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0</v>
      </c>
      <c r="U429" s="6">
        <v>0</v>
      </c>
      <c r="V429" s="6">
        <v>0</v>
      </c>
      <c r="W429" s="6">
        <v>0</v>
      </c>
      <c r="AI429" s="2">
        <v>1142995</v>
      </c>
      <c r="AJ429" s="2">
        <v>771392</v>
      </c>
      <c r="AK429" s="2">
        <v>51026.559999999998</v>
      </c>
      <c r="AL429" s="2">
        <v>34437.14</v>
      </c>
      <c r="AM429" s="5">
        <v>17092.740000000002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114863.21</v>
      </c>
      <c r="AT429" s="12">
        <v>102556.44</v>
      </c>
      <c r="AU429" s="2">
        <v>0</v>
      </c>
      <c r="AV429" s="5">
        <v>9571.94</v>
      </c>
      <c r="AX429" s="2">
        <v>1142995</v>
      </c>
      <c r="AY429" s="2">
        <v>771392</v>
      </c>
      <c r="AZ429" s="2">
        <v>51026.559999999998</v>
      </c>
      <c r="BA429" s="2">
        <v>34437.14</v>
      </c>
      <c r="BB429" s="5">
        <v>17092.740000000002</v>
      </c>
      <c r="BC429" s="12">
        <v>0</v>
      </c>
      <c r="BD429" s="2">
        <v>0</v>
      </c>
      <c r="BE429" s="2">
        <v>0</v>
      </c>
      <c r="BF429" s="2">
        <v>0</v>
      </c>
      <c r="BG429" s="5">
        <v>0</v>
      </c>
      <c r="BH429" s="2">
        <v>114863.21</v>
      </c>
      <c r="BI429" s="12">
        <v>102556.44</v>
      </c>
      <c r="BJ429" s="2">
        <v>0</v>
      </c>
      <c r="BK429" s="5">
        <v>9571.94</v>
      </c>
      <c r="BL429" s="1" t="s">
        <v>546</v>
      </c>
    </row>
    <row r="430" spans="1:64" x14ac:dyDescent="0.3">
      <c r="A430" t="s">
        <v>543</v>
      </c>
      <c r="B430" s="1" t="s">
        <v>547</v>
      </c>
      <c r="C430" s="9" t="s">
        <v>548</v>
      </c>
      <c r="D430" s="1" t="s">
        <v>95</v>
      </c>
      <c r="E430" s="1" t="s">
        <v>88</v>
      </c>
      <c r="F430" s="10" t="s">
        <v>545</v>
      </c>
      <c r="G430" s="1">
        <v>3.5000000000000003E-2</v>
      </c>
      <c r="H430" s="1">
        <v>0.05</v>
      </c>
      <c r="I430" s="8">
        <v>45636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0</v>
      </c>
      <c r="U430" s="6">
        <v>0</v>
      </c>
      <c r="V430" s="6">
        <v>0</v>
      </c>
      <c r="W430" s="6">
        <v>0</v>
      </c>
      <c r="AI430" s="2">
        <v>176579</v>
      </c>
      <c r="AJ430" s="2">
        <v>3790</v>
      </c>
      <c r="AK430" s="2">
        <v>7882.99</v>
      </c>
      <c r="AL430" s="2">
        <v>169.2</v>
      </c>
      <c r="AM430" s="5">
        <v>1610.44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10822.15</v>
      </c>
      <c r="AT430" s="12">
        <v>9662.6299999999992</v>
      </c>
      <c r="AU430" s="2">
        <v>0</v>
      </c>
      <c r="AV430" s="5">
        <v>901.84</v>
      </c>
      <c r="AX430" s="2">
        <v>176579</v>
      </c>
      <c r="AY430" s="2">
        <v>3790</v>
      </c>
      <c r="AZ430" s="2">
        <v>7882.99</v>
      </c>
      <c r="BA430" s="2">
        <v>169.2</v>
      </c>
      <c r="BB430" s="5">
        <v>1610.44</v>
      </c>
      <c r="BC430" s="12">
        <v>0</v>
      </c>
      <c r="BD430" s="2">
        <v>0</v>
      </c>
      <c r="BE430" s="2">
        <v>0</v>
      </c>
      <c r="BF430" s="2">
        <v>0</v>
      </c>
      <c r="BG430" s="5">
        <v>0</v>
      </c>
      <c r="BH430" s="2">
        <v>10822.15</v>
      </c>
      <c r="BI430" s="12">
        <v>9662.6299999999992</v>
      </c>
      <c r="BJ430" s="2">
        <v>0</v>
      </c>
      <c r="BK430" s="5">
        <v>901.84</v>
      </c>
      <c r="BL430" s="1" t="s">
        <v>546</v>
      </c>
    </row>
    <row r="431" spans="1:64" x14ac:dyDescent="0.3">
      <c r="A431" t="s">
        <v>543</v>
      </c>
      <c r="B431" s="1" t="s">
        <v>549</v>
      </c>
      <c r="C431" s="9" t="s">
        <v>550</v>
      </c>
      <c r="D431" s="1" t="s">
        <v>95</v>
      </c>
      <c r="E431" s="1" t="s">
        <v>88</v>
      </c>
      <c r="F431" s="10" t="s">
        <v>545</v>
      </c>
      <c r="G431" s="1">
        <v>0</v>
      </c>
      <c r="H431" s="1">
        <v>0.05</v>
      </c>
      <c r="I431" s="8">
        <v>45444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0</v>
      </c>
      <c r="U431" s="6">
        <v>0</v>
      </c>
      <c r="V431" s="6">
        <v>0</v>
      </c>
      <c r="W431" s="6">
        <v>0</v>
      </c>
      <c r="AI431" s="2">
        <v>156645</v>
      </c>
      <c r="AJ431" s="2">
        <v>5165</v>
      </c>
      <c r="AK431" s="2">
        <v>6993.08</v>
      </c>
      <c r="AL431" s="2">
        <v>230.58</v>
      </c>
      <c r="AM431" s="5">
        <v>1444.73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9708.6</v>
      </c>
      <c r="AT431" s="12">
        <v>8668.39</v>
      </c>
      <c r="AU431" s="2">
        <v>0</v>
      </c>
      <c r="AV431" s="5">
        <v>809.05</v>
      </c>
      <c r="AX431" s="2">
        <v>156645</v>
      </c>
      <c r="AY431" s="2">
        <v>5165</v>
      </c>
      <c r="AZ431" s="2">
        <v>6993.08</v>
      </c>
      <c r="BA431" s="2">
        <v>230.58</v>
      </c>
      <c r="BB431" s="5">
        <v>1444.73</v>
      </c>
      <c r="BC431" s="12">
        <v>0</v>
      </c>
      <c r="BD431" s="2">
        <v>0</v>
      </c>
      <c r="BE431" s="2">
        <v>0</v>
      </c>
      <c r="BF431" s="2">
        <v>0</v>
      </c>
      <c r="BG431" s="5">
        <v>0</v>
      </c>
      <c r="BH431" s="2">
        <v>9708.6</v>
      </c>
      <c r="BI431" s="12">
        <v>8668.39</v>
      </c>
      <c r="BJ431" s="2">
        <v>0</v>
      </c>
      <c r="BK431" s="5">
        <v>809.05</v>
      </c>
      <c r="BL431" s="1" t="s">
        <v>546</v>
      </c>
    </row>
    <row r="432" spans="1:64" x14ac:dyDescent="0.3">
      <c r="A432" t="s">
        <v>551</v>
      </c>
      <c r="B432" s="1" t="s">
        <v>551</v>
      </c>
      <c r="C432" s="9" t="s">
        <v>552</v>
      </c>
      <c r="D432" s="1" t="s">
        <v>95</v>
      </c>
      <c r="E432" s="1" t="s">
        <v>135</v>
      </c>
      <c r="F432" s="10" t="s">
        <v>193</v>
      </c>
      <c r="G432" s="1">
        <v>3.5000000000000003E-2</v>
      </c>
      <c r="H432" s="1">
        <v>0.05</v>
      </c>
      <c r="I432" s="8">
        <v>45694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0</v>
      </c>
      <c r="U432" s="6">
        <v>0</v>
      </c>
      <c r="V432" s="6">
        <v>0</v>
      </c>
      <c r="W432" s="6">
        <v>0</v>
      </c>
      <c r="AI432" s="2">
        <v>980818</v>
      </c>
      <c r="AJ432" s="2">
        <v>449747</v>
      </c>
      <c r="AK432" s="2">
        <v>43786.52</v>
      </c>
      <c r="AL432" s="2">
        <v>20077.990000000002</v>
      </c>
      <c r="AM432" s="5">
        <v>12772.9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85833.9</v>
      </c>
      <c r="AT432" s="12">
        <v>76637.409999999989</v>
      </c>
      <c r="AU432" s="2">
        <v>0</v>
      </c>
      <c r="AV432" s="5">
        <v>7152.82</v>
      </c>
      <c r="AX432" s="2">
        <v>980818</v>
      </c>
      <c r="AY432" s="2">
        <v>449747</v>
      </c>
      <c r="AZ432" s="2">
        <v>43786.52</v>
      </c>
      <c r="BA432" s="2">
        <v>20077.990000000002</v>
      </c>
      <c r="BB432" s="5">
        <v>12772.9</v>
      </c>
      <c r="BC432" s="12">
        <v>0</v>
      </c>
      <c r="BD432" s="2">
        <v>0</v>
      </c>
      <c r="BE432" s="2">
        <v>0</v>
      </c>
      <c r="BF432" s="2">
        <v>0</v>
      </c>
      <c r="BG432" s="5">
        <v>0</v>
      </c>
      <c r="BH432" s="2">
        <v>85833.9</v>
      </c>
      <c r="BI432" s="12">
        <v>76637.409999999989</v>
      </c>
      <c r="BJ432" s="2">
        <v>0</v>
      </c>
      <c r="BK432" s="5">
        <v>7152.82</v>
      </c>
      <c r="BL432" s="1" t="s">
        <v>137</v>
      </c>
    </row>
    <row r="433" spans="1:64" x14ac:dyDescent="0.3">
      <c r="A433" t="s">
        <v>551</v>
      </c>
      <c r="B433" s="1" t="s">
        <v>553</v>
      </c>
      <c r="C433" s="9" t="s">
        <v>554</v>
      </c>
      <c r="D433" s="1" t="s">
        <v>95</v>
      </c>
      <c r="E433" s="1" t="s">
        <v>135</v>
      </c>
      <c r="F433" s="10" t="s">
        <v>193</v>
      </c>
      <c r="G433" s="1">
        <v>0.04</v>
      </c>
      <c r="H433" s="1">
        <v>0.05</v>
      </c>
      <c r="I433" s="8">
        <v>45694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0</v>
      </c>
      <c r="U433" s="6">
        <v>0</v>
      </c>
      <c r="V433" s="6">
        <v>0</v>
      </c>
      <c r="W433" s="6">
        <v>0</v>
      </c>
      <c r="AI433" s="2">
        <v>45775</v>
      </c>
      <c r="AJ433" s="2">
        <v>23672</v>
      </c>
      <c r="AK433" s="2">
        <v>2043.53</v>
      </c>
      <c r="AL433" s="2">
        <v>1056.79</v>
      </c>
      <c r="AM433" s="5">
        <v>620.05999999999995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4166.83</v>
      </c>
      <c r="AT433" s="12">
        <v>3720.3799999999997</v>
      </c>
      <c r="AU433" s="2">
        <v>0</v>
      </c>
      <c r="AV433" s="5">
        <v>347.24</v>
      </c>
      <c r="AX433" s="2">
        <v>45775</v>
      </c>
      <c r="AY433" s="2">
        <v>23672</v>
      </c>
      <c r="AZ433" s="2">
        <v>2043.53</v>
      </c>
      <c r="BA433" s="2">
        <v>1056.79</v>
      </c>
      <c r="BB433" s="5">
        <v>620.05999999999995</v>
      </c>
      <c r="BC433" s="12">
        <v>0</v>
      </c>
      <c r="BD433" s="2">
        <v>0</v>
      </c>
      <c r="BE433" s="2">
        <v>0</v>
      </c>
      <c r="BF433" s="2">
        <v>0</v>
      </c>
      <c r="BG433" s="5">
        <v>0</v>
      </c>
      <c r="BH433" s="2">
        <v>4166.83</v>
      </c>
      <c r="BI433" s="12">
        <v>3720.3799999999997</v>
      </c>
      <c r="BJ433" s="2">
        <v>0</v>
      </c>
      <c r="BK433" s="5">
        <v>347.24</v>
      </c>
      <c r="BL433" s="1" t="s">
        <v>436</v>
      </c>
    </row>
    <row r="434" spans="1:64" x14ac:dyDescent="0.3">
      <c r="A434" t="s">
        <v>555</v>
      </c>
      <c r="B434" s="1" t="s">
        <v>555</v>
      </c>
      <c r="C434" s="9" t="s">
        <v>556</v>
      </c>
      <c r="D434" s="1" t="s">
        <v>95</v>
      </c>
      <c r="E434" s="1" t="s">
        <v>88</v>
      </c>
      <c r="F434" s="10" t="s">
        <v>218</v>
      </c>
      <c r="G434" s="1">
        <v>3.5000000000000003E-2</v>
      </c>
      <c r="H434" s="1">
        <v>0.05</v>
      </c>
      <c r="I434" s="8">
        <v>45752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0</v>
      </c>
      <c r="U434" s="6">
        <v>0</v>
      </c>
      <c r="V434" s="6">
        <v>0</v>
      </c>
      <c r="W434" s="6">
        <v>0</v>
      </c>
      <c r="AI434" s="2">
        <v>434860</v>
      </c>
      <c r="AJ434" s="2">
        <v>137639</v>
      </c>
      <c r="AK434" s="2">
        <v>18636.86</v>
      </c>
      <c r="AL434" s="2">
        <v>5898.82</v>
      </c>
      <c r="AM434" s="5">
        <v>5111.6000000000004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33204.949999999997</v>
      </c>
      <c r="AT434" s="12">
        <v>29647.279999999999</v>
      </c>
      <c r="AU434" s="2">
        <v>0</v>
      </c>
      <c r="AV434" s="5">
        <v>2862.5</v>
      </c>
      <c r="AX434" s="2">
        <v>434860</v>
      </c>
      <c r="AY434" s="2">
        <v>137639</v>
      </c>
      <c r="AZ434" s="2">
        <v>18636.86</v>
      </c>
      <c r="BA434" s="2">
        <v>5898.82</v>
      </c>
      <c r="BB434" s="5">
        <v>5111.6000000000004</v>
      </c>
      <c r="BC434" s="12">
        <v>0</v>
      </c>
      <c r="BD434" s="2">
        <v>0</v>
      </c>
      <c r="BE434" s="2">
        <v>0</v>
      </c>
      <c r="BF434" s="2">
        <v>0</v>
      </c>
      <c r="BG434" s="5">
        <v>0</v>
      </c>
      <c r="BH434" s="2">
        <v>33204.949999999997</v>
      </c>
      <c r="BI434" s="12">
        <v>29647.279999999999</v>
      </c>
      <c r="BJ434" s="2">
        <v>0</v>
      </c>
      <c r="BK434" s="5">
        <v>2862.5</v>
      </c>
      <c r="BL434" s="1" t="s">
        <v>90</v>
      </c>
    </row>
    <row r="435" spans="1:64" x14ac:dyDescent="0.3">
      <c r="A435" t="s">
        <v>557</v>
      </c>
      <c r="B435" s="1" t="s">
        <v>557</v>
      </c>
      <c r="C435" s="9" t="s">
        <v>558</v>
      </c>
      <c r="D435" s="1" t="s">
        <v>95</v>
      </c>
      <c r="E435" s="1" t="s">
        <v>135</v>
      </c>
      <c r="F435" s="10" t="s">
        <v>485</v>
      </c>
      <c r="G435" s="1">
        <v>3.5000000000000003E-2</v>
      </c>
      <c r="H435" s="1">
        <v>0.05</v>
      </c>
      <c r="I435" s="8">
        <v>43929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0</v>
      </c>
      <c r="U435" s="6">
        <v>0</v>
      </c>
      <c r="V435" s="6">
        <v>0</v>
      </c>
      <c r="W435" s="6">
        <v>0</v>
      </c>
      <c r="AI435" s="2">
        <v>121358</v>
      </c>
      <c r="AJ435" s="2">
        <v>16791</v>
      </c>
      <c r="AK435" s="2">
        <v>5417.77</v>
      </c>
      <c r="AL435" s="2">
        <v>749.6</v>
      </c>
      <c r="AM435" s="5">
        <v>1233.47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8288.94</v>
      </c>
      <c r="AT435" s="12">
        <v>7400.8400000000011</v>
      </c>
      <c r="AU435" s="2">
        <v>0</v>
      </c>
      <c r="AV435" s="5">
        <v>690.74</v>
      </c>
      <c r="AX435" s="2">
        <v>121358</v>
      </c>
      <c r="AY435" s="2">
        <v>16791</v>
      </c>
      <c r="AZ435" s="2">
        <v>5417.77</v>
      </c>
      <c r="BA435" s="2">
        <v>749.6</v>
      </c>
      <c r="BB435" s="5">
        <v>1233.47</v>
      </c>
      <c r="BC435" s="12">
        <v>0</v>
      </c>
      <c r="BD435" s="2">
        <v>0</v>
      </c>
      <c r="BE435" s="2">
        <v>0</v>
      </c>
      <c r="BF435" s="2">
        <v>0</v>
      </c>
      <c r="BG435" s="5">
        <v>0</v>
      </c>
      <c r="BH435" s="2">
        <v>8288.94</v>
      </c>
      <c r="BI435" s="12">
        <v>7400.8400000000011</v>
      </c>
      <c r="BJ435" s="2">
        <v>0</v>
      </c>
      <c r="BK435" s="5">
        <v>690.74</v>
      </c>
      <c r="BL435" s="1" t="s">
        <v>302</v>
      </c>
    </row>
    <row r="436" spans="1:64" x14ac:dyDescent="0.3">
      <c r="A436" t="s">
        <v>571</v>
      </c>
      <c r="B436" s="1" t="s">
        <v>571</v>
      </c>
      <c r="C436" s="9" t="s">
        <v>572</v>
      </c>
      <c r="D436" s="1" t="s">
        <v>95</v>
      </c>
      <c r="E436" s="1" t="s">
        <v>128</v>
      </c>
      <c r="F436" s="10" t="s">
        <v>401</v>
      </c>
      <c r="G436" s="1">
        <v>3.5000000000000003E-2</v>
      </c>
      <c r="H436" s="1">
        <v>0.05</v>
      </c>
      <c r="I436" s="8">
        <v>44256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0</v>
      </c>
      <c r="U436" s="6">
        <v>0</v>
      </c>
      <c r="V436" s="6">
        <v>0</v>
      </c>
      <c r="W436" s="6">
        <v>0</v>
      </c>
      <c r="AI436" s="2">
        <v>258200</v>
      </c>
      <c r="AJ436" s="2">
        <v>11596</v>
      </c>
      <c r="AK436" s="2">
        <v>11526.79</v>
      </c>
      <c r="AL436" s="2">
        <v>517.67999999999995</v>
      </c>
      <c r="AM436" s="5">
        <v>2408.89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16187.76</v>
      </c>
      <c r="AT436" s="12">
        <v>14453.36</v>
      </c>
      <c r="AU436" s="2">
        <v>0</v>
      </c>
      <c r="AV436" s="5">
        <v>1348.98</v>
      </c>
      <c r="AX436" s="2">
        <v>258200</v>
      </c>
      <c r="AY436" s="2">
        <v>11596</v>
      </c>
      <c r="AZ436" s="2">
        <v>11526.79</v>
      </c>
      <c r="BA436" s="2">
        <v>517.67999999999995</v>
      </c>
      <c r="BB436" s="5">
        <v>2408.89</v>
      </c>
      <c r="BC436" s="12">
        <v>0</v>
      </c>
      <c r="BD436" s="2">
        <v>0</v>
      </c>
      <c r="BE436" s="2">
        <v>0</v>
      </c>
      <c r="BF436" s="2">
        <v>0</v>
      </c>
      <c r="BG436" s="5">
        <v>0</v>
      </c>
      <c r="BH436" s="2">
        <v>16187.76</v>
      </c>
      <c r="BI436" s="12">
        <v>14453.36</v>
      </c>
      <c r="BJ436" s="2">
        <v>0</v>
      </c>
      <c r="BK436" s="5">
        <v>1348.98</v>
      </c>
      <c r="BL436" s="1" t="s">
        <v>130</v>
      </c>
    </row>
    <row r="437" spans="1:64" x14ac:dyDescent="0.3">
      <c r="A437" t="s">
        <v>571</v>
      </c>
      <c r="B437" s="1" t="s">
        <v>573</v>
      </c>
      <c r="C437" s="9" t="s">
        <v>574</v>
      </c>
      <c r="D437" s="1" t="s">
        <v>95</v>
      </c>
      <c r="E437" s="1" t="s">
        <v>128</v>
      </c>
      <c r="F437" s="10" t="s">
        <v>401</v>
      </c>
      <c r="G437" s="1">
        <v>3.5000000000000003E-2</v>
      </c>
      <c r="H437" s="1">
        <v>0.05</v>
      </c>
      <c r="I437" s="8">
        <v>44256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0</v>
      </c>
      <c r="U437" s="6">
        <v>0</v>
      </c>
      <c r="V437" s="6">
        <v>0</v>
      </c>
      <c r="W437" s="6">
        <v>0</v>
      </c>
      <c r="AI437" s="2">
        <v>378113</v>
      </c>
      <c r="AJ437" s="2">
        <v>15186</v>
      </c>
      <c r="AK437" s="2">
        <v>16880.04</v>
      </c>
      <c r="AL437" s="2">
        <v>677.95</v>
      </c>
      <c r="AM437" s="5">
        <v>3511.6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23597.94</v>
      </c>
      <c r="AT437" s="12">
        <v>21069.59</v>
      </c>
      <c r="AU437" s="2">
        <v>0</v>
      </c>
      <c r="AV437" s="5">
        <v>1966.5</v>
      </c>
      <c r="AX437" s="2">
        <v>378113</v>
      </c>
      <c r="AY437" s="2">
        <v>15186</v>
      </c>
      <c r="AZ437" s="2">
        <v>16880.04</v>
      </c>
      <c r="BA437" s="2">
        <v>677.95</v>
      </c>
      <c r="BB437" s="5">
        <v>3511.6</v>
      </c>
      <c r="BC437" s="12">
        <v>0</v>
      </c>
      <c r="BD437" s="2">
        <v>0</v>
      </c>
      <c r="BE437" s="2">
        <v>0</v>
      </c>
      <c r="BF437" s="2">
        <v>0</v>
      </c>
      <c r="BG437" s="5">
        <v>0</v>
      </c>
      <c r="BH437" s="2">
        <v>23597.94</v>
      </c>
      <c r="BI437" s="12">
        <v>21069.59</v>
      </c>
      <c r="BJ437" s="2">
        <v>0</v>
      </c>
      <c r="BK437" s="5">
        <v>1966.5</v>
      </c>
      <c r="BL437" s="1" t="s">
        <v>130</v>
      </c>
    </row>
    <row r="438" spans="1:64" x14ac:dyDescent="0.3">
      <c r="A438" t="s">
        <v>575</v>
      </c>
      <c r="B438" s="1" t="s">
        <v>575</v>
      </c>
      <c r="C438" s="9" t="s">
        <v>576</v>
      </c>
      <c r="D438" s="1" t="s">
        <v>95</v>
      </c>
      <c r="E438" s="1" t="s">
        <v>135</v>
      </c>
      <c r="F438" s="10" t="s">
        <v>435</v>
      </c>
      <c r="G438" s="1">
        <v>3.5000000000000003E-2</v>
      </c>
      <c r="H438" s="1">
        <v>0.05</v>
      </c>
      <c r="I438" s="8">
        <v>44273</v>
      </c>
      <c r="J438" s="6">
        <v>574451</v>
      </c>
      <c r="K438" s="6">
        <v>191575</v>
      </c>
      <c r="L438" s="6">
        <v>25645.13</v>
      </c>
      <c r="M438" s="6">
        <v>8552.4599999999991</v>
      </c>
      <c r="N438" s="7">
        <v>6839.52</v>
      </c>
      <c r="O438" s="6">
        <v>-752597.70000000007</v>
      </c>
      <c r="P438" s="6">
        <v>-136569</v>
      </c>
      <c r="Q438" s="6">
        <v>-33598.11</v>
      </c>
      <c r="R438" s="6">
        <v>-6096.83</v>
      </c>
      <c r="S438" s="7">
        <v>-7938.99</v>
      </c>
      <c r="T438" s="11">
        <v>-7388.4400000000023</v>
      </c>
      <c r="U438" s="6">
        <v>-6596.82</v>
      </c>
      <c r="V438" s="6">
        <v>0</v>
      </c>
      <c r="W438" s="6">
        <v>-615.69999999999982</v>
      </c>
      <c r="AI438" s="2">
        <v>574451</v>
      </c>
      <c r="AJ438" s="2">
        <v>191575</v>
      </c>
      <c r="AK438" s="2">
        <v>25645.13</v>
      </c>
      <c r="AL438" s="2">
        <v>8552.4599999999991</v>
      </c>
      <c r="AM438" s="5">
        <v>6839.52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45961.56</v>
      </c>
      <c r="AT438" s="12">
        <v>41037.11</v>
      </c>
      <c r="AU438" s="2">
        <v>0</v>
      </c>
      <c r="AV438" s="5">
        <v>3830.13</v>
      </c>
      <c r="AX438" s="2">
        <v>0</v>
      </c>
      <c r="AY438" s="2">
        <v>0</v>
      </c>
      <c r="AZ438" s="2">
        <v>0</v>
      </c>
      <c r="BA438" s="2">
        <v>0</v>
      </c>
      <c r="BB438" s="5">
        <v>0</v>
      </c>
      <c r="BC438" s="12">
        <v>752597.70000000007</v>
      </c>
      <c r="BD438" s="2">
        <v>136569</v>
      </c>
      <c r="BE438" s="2">
        <v>33598.11</v>
      </c>
      <c r="BF438" s="2">
        <v>6096.83</v>
      </c>
      <c r="BG438" s="5">
        <v>7938.99</v>
      </c>
      <c r="BH438" s="2">
        <v>53350</v>
      </c>
      <c r="BI438" s="12">
        <v>47633.93</v>
      </c>
      <c r="BJ438" s="2">
        <v>0</v>
      </c>
      <c r="BK438" s="5">
        <v>4445.83</v>
      </c>
      <c r="BL438" s="1" t="s">
        <v>436</v>
      </c>
    </row>
    <row r="439" spans="1:64" x14ac:dyDescent="0.3">
      <c r="A439" t="s">
        <v>584</v>
      </c>
      <c r="B439" s="1" t="s">
        <v>584</v>
      </c>
      <c r="C439" s="9" t="s">
        <v>585</v>
      </c>
      <c r="D439" s="1" t="s">
        <v>95</v>
      </c>
      <c r="E439" s="1" t="s">
        <v>135</v>
      </c>
      <c r="F439" s="10" t="s">
        <v>435</v>
      </c>
      <c r="G439" s="1">
        <v>3.5000000000000003E-2</v>
      </c>
      <c r="H439" s="1">
        <v>0.05</v>
      </c>
      <c r="I439" s="8">
        <v>44420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545308</v>
      </c>
      <c r="AJ439" s="2">
        <v>84135</v>
      </c>
      <c r="AK439" s="2">
        <v>24344.11</v>
      </c>
      <c r="AL439" s="2">
        <v>3756.03</v>
      </c>
      <c r="AM439" s="5">
        <v>5620.03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37766.589999999997</v>
      </c>
      <c r="AT439" s="12">
        <v>33720.17</v>
      </c>
      <c r="AU439" s="2">
        <v>0</v>
      </c>
      <c r="AV439" s="5">
        <v>3147.22</v>
      </c>
      <c r="AX439" s="2">
        <v>545308</v>
      </c>
      <c r="AY439" s="2">
        <v>84135</v>
      </c>
      <c r="AZ439" s="2">
        <v>24344.11</v>
      </c>
      <c r="BA439" s="2">
        <v>3756.03</v>
      </c>
      <c r="BB439" s="5">
        <v>5620.03</v>
      </c>
      <c r="BC439" s="12">
        <v>0</v>
      </c>
      <c r="BD439" s="2">
        <v>0</v>
      </c>
      <c r="BE439" s="2">
        <v>0</v>
      </c>
      <c r="BF439" s="2">
        <v>0</v>
      </c>
      <c r="BG439" s="5">
        <v>0</v>
      </c>
      <c r="BH439" s="2">
        <v>37766.589999999997</v>
      </c>
      <c r="BI439" s="12">
        <v>33720.17</v>
      </c>
      <c r="BJ439" s="2">
        <v>0</v>
      </c>
      <c r="BK439" s="5">
        <v>3147.22</v>
      </c>
      <c r="BL439" s="1" t="s">
        <v>137</v>
      </c>
    </row>
    <row r="440" spans="1:64" x14ac:dyDescent="0.3">
      <c r="A440" t="s">
        <v>588</v>
      </c>
      <c r="B440" s="1" t="s">
        <v>588</v>
      </c>
      <c r="C440" s="9" t="s">
        <v>589</v>
      </c>
      <c r="D440" s="1" t="s">
        <v>95</v>
      </c>
      <c r="E440" s="1" t="s">
        <v>135</v>
      </c>
      <c r="F440" s="10" t="s">
        <v>435</v>
      </c>
      <c r="G440" s="1">
        <v>3.5000000000000003E-2</v>
      </c>
      <c r="H440" s="1">
        <v>0.05</v>
      </c>
      <c r="I440" s="8">
        <v>44544</v>
      </c>
      <c r="J440" s="6">
        <v>777822</v>
      </c>
      <c r="K440" s="6">
        <v>211126</v>
      </c>
      <c r="L440" s="6">
        <v>34724.199999999997</v>
      </c>
      <c r="M440" s="6">
        <v>9425.27</v>
      </c>
      <c r="N440" s="7">
        <v>8829.89</v>
      </c>
      <c r="O440" s="6">
        <v>-501939.60000000003</v>
      </c>
      <c r="P440" s="6">
        <v>-91082.400000000009</v>
      </c>
      <c r="Q440" s="6">
        <v>-22408.02</v>
      </c>
      <c r="R440" s="6">
        <v>-4066.18</v>
      </c>
      <c r="S440" s="7">
        <v>-5294.84</v>
      </c>
      <c r="T440" s="11">
        <v>23755.559999999998</v>
      </c>
      <c r="U440" s="6">
        <v>21210.32</v>
      </c>
      <c r="V440" s="6">
        <v>0</v>
      </c>
      <c r="W440" s="6">
        <v>1979.6299999999997</v>
      </c>
      <c r="AI440" s="2">
        <v>777822</v>
      </c>
      <c r="AJ440" s="2">
        <v>211126</v>
      </c>
      <c r="AK440" s="2">
        <v>34724.199999999997</v>
      </c>
      <c r="AL440" s="2">
        <v>9425.27</v>
      </c>
      <c r="AM440" s="5">
        <v>8829.89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59336.88</v>
      </c>
      <c r="AT440" s="12">
        <v>52979.360000000001</v>
      </c>
      <c r="AU440" s="2">
        <v>0</v>
      </c>
      <c r="AV440" s="5">
        <v>4944.74</v>
      </c>
      <c r="AX440" s="2">
        <v>0</v>
      </c>
      <c r="AY440" s="2">
        <v>0</v>
      </c>
      <c r="AZ440" s="2">
        <v>0</v>
      </c>
      <c r="BA440" s="2">
        <v>0</v>
      </c>
      <c r="BB440" s="5">
        <v>0</v>
      </c>
      <c r="BC440" s="12">
        <v>501939.60000000003</v>
      </c>
      <c r="BD440" s="2">
        <v>91082.400000000009</v>
      </c>
      <c r="BE440" s="2">
        <v>22408.02</v>
      </c>
      <c r="BF440" s="2">
        <v>4066.18</v>
      </c>
      <c r="BG440" s="5">
        <v>5294.84</v>
      </c>
      <c r="BH440" s="2">
        <v>35581.32</v>
      </c>
      <c r="BI440" s="12">
        <v>31769.040000000001</v>
      </c>
      <c r="BJ440" s="2">
        <v>0</v>
      </c>
      <c r="BK440" s="5">
        <v>2965.11</v>
      </c>
      <c r="BL440" s="1" t="s">
        <v>137</v>
      </c>
    </row>
    <row r="441" spans="1:64" x14ac:dyDescent="0.3">
      <c r="A441" t="s">
        <v>588</v>
      </c>
      <c r="B441" s="1" t="s">
        <v>590</v>
      </c>
      <c r="C441" s="9" t="s">
        <v>591</v>
      </c>
      <c r="D441" s="1" t="s">
        <v>95</v>
      </c>
      <c r="E441" s="1" t="s">
        <v>135</v>
      </c>
      <c r="F441" s="10" t="s">
        <v>435</v>
      </c>
      <c r="G441" s="1">
        <v>0</v>
      </c>
      <c r="H441" s="1">
        <v>0.05</v>
      </c>
      <c r="I441" s="8">
        <v>44544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0</v>
      </c>
      <c r="AJ441" s="2">
        <v>0</v>
      </c>
      <c r="AK441" s="2">
        <v>0</v>
      </c>
      <c r="AL441" s="2">
        <v>0</v>
      </c>
      <c r="AM441" s="5">
        <v>0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0</v>
      </c>
      <c r="AT441" s="12">
        <v>0</v>
      </c>
      <c r="AU441" s="2">
        <v>0</v>
      </c>
      <c r="AV441" s="5">
        <v>0</v>
      </c>
      <c r="AX441" s="2">
        <v>0</v>
      </c>
      <c r="AY441" s="2">
        <v>0</v>
      </c>
      <c r="AZ441" s="2">
        <v>0</v>
      </c>
      <c r="BA441" s="2">
        <v>0</v>
      </c>
      <c r="BB441" s="5">
        <v>0</v>
      </c>
      <c r="BC441" s="12">
        <v>0</v>
      </c>
      <c r="BD441" s="2">
        <v>0</v>
      </c>
      <c r="BE441" s="2">
        <v>0</v>
      </c>
      <c r="BF441" s="2">
        <v>0</v>
      </c>
      <c r="BG441" s="5">
        <v>0</v>
      </c>
      <c r="BH441" s="2">
        <v>0</v>
      </c>
      <c r="BI441" s="12">
        <v>0</v>
      </c>
      <c r="BJ441" s="2">
        <v>0</v>
      </c>
      <c r="BK441" s="5">
        <v>0</v>
      </c>
      <c r="BL441" s="1" t="s">
        <v>137</v>
      </c>
    </row>
    <row r="442" spans="1:64" x14ac:dyDescent="0.3">
      <c r="A442" t="s">
        <v>592</v>
      </c>
      <c r="B442" s="1" t="s">
        <v>592</v>
      </c>
      <c r="C442" s="9" t="s">
        <v>593</v>
      </c>
      <c r="D442" s="1" t="s">
        <v>95</v>
      </c>
      <c r="E442" s="1" t="s">
        <v>88</v>
      </c>
      <c r="F442" s="10" t="s">
        <v>545</v>
      </c>
      <c r="G442" s="1">
        <v>3.5000000000000003E-2</v>
      </c>
      <c r="H442" s="1">
        <v>0.05</v>
      </c>
      <c r="I442" s="8">
        <v>44518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0</v>
      </c>
      <c r="U442" s="6">
        <v>0</v>
      </c>
      <c r="V442" s="6">
        <v>0</v>
      </c>
      <c r="W442" s="6">
        <v>0</v>
      </c>
      <c r="AI442" s="2">
        <v>190936</v>
      </c>
      <c r="AJ442" s="2">
        <v>19727</v>
      </c>
      <c r="AK442" s="2">
        <v>8523.93</v>
      </c>
      <c r="AL442" s="2">
        <v>880.67</v>
      </c>
      <c r="AM442" s="5">
        <v>1880.92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12639.78</v>
      </c>
      <c r="AT442" s="12">
        <v>11285.52</v>
      </c>
      <c r="AU442" s="2">
        <v>0</v>
      </c>
      <c r="AV442" s="5">
        <v>1053.32</v>
      </c>
      <c r="AX442" s="2">
        <v>190936</v>
      </c>
      <c r="AY442" s="2">
        <v>19727</v>
      </c>
      <c r="AZ442" s="2">
        <v>8523.93</v>
      </c>
      <c r="BA442" s="2">
        <v>880.67</v>
      </c>
      <c r="BB442" s="5">
        <v>1880.92</v>
      </c>
      <c r="BC442" s="12">
        <v>0</v>
      </c>
      <c r="BD442" s="2">
        <v>0</v>
      </c>
      <c r="BE442" s="2">
        <v>0</v>
      </c>
      <c r="BF442" s="2">
        <v>0</v>
      </c>
      <c r="BG442" s="5">
        <v>0</v>
      </c>
      <c r="BH442" s="2">
        <v>12639.78</v>
      </c>
      <c r="BI442" s="12">
        <v>11285.52</v>
      </c>
      <c r="BJ442" s="2">
        <v>0</v>
      </c>
      <c r="BK442" s="5">
        <v>1053.32</v>
      </c>
      <c r="BL442" s="1" t="s">
        <v>546</v>
      </c>
    </row>
    <row r="443" spans="1:64" x14ac:dyDescent="0.3">
      <c r="A443" t="s">
        <v>602</v>
      </c>
      <c r="B443" s="1" t="s">
        <v>603</v>
      </c>
      <c r="C443" s="9" t="s">
        <v>604</v>
      </c>
      <c r="D443" s="1" t="s">
        <v>95</v>
      </c>
      <c r="E443" s="1" t="s">
        <v>135</v>
      </c>
      <c r="F443" s="10" t="s">
        <v>435</v>
      </c>
      <c r="G443" s="1">
        <v>4.4999999999999998E-2</v>
      </c>
      <c r="H443" s="1">
        <v>0.05</v>
      </c>
      <c r="I443" s="8">
        <v>45186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0</v>
      </c>
      <c r="U443" s="6">
        <v>0</v>
      </c>
      <c r="V443" s="6">
        <v>0</v>
      </c>
      <c r="W443" s="6">
        <v>0</v>
      </c>
      <c r="AI443" s="2">
        <v>67914</v>
      </c>
      <c r="AJ443" s="2">
        <v>33750</v>
      </c>
      <c r="AK443" s="2">
        <v>3031.87</v>
      </c>
      <c r="AL443" s="2">
        <v>1506.7</v>
      </c>
      <c r="AM443" s="5">
        <v>907.71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6099.83</v>
      </c>
      <c r="AT443" s="12">
        <v>5446.28</v>
      </c>
      <c r="AU443" s="2">
        <v>0</v>
      </c>
      <c r="AV443" s="5">
        <v>508.32</v>
      </c>
      <c r="AX443" s="2">
        <v>67914</v>
      </c>
      <c r="AY443" s="2">
        <v>33750</v>
      </c>
      <c r="AZ443" s="2">
        <v>3031.87</v>
      </c>
      <c r="BA443" s="2">
        <v>1506.7</v>
      </c>
      <c r="BB443" s="5">
        <v>907.71</v>
      </c>
      <c r="BC443" s="12">
        <v>0</v>
      </c>
      <c r="BD443" s="2">
        <v>0</v>
      </c>
      <c r="BE443" s="2">
        <v>0</v>
      </c>
      <c r="BF443" s="2">
        <v>0</v>
      </c>
      <c r="BG443" s="5">
        <v>0</v>
      </c>
      <c r="BH443" s="2">
        <v>6099.83</v>
      </c>
      <c r="BI443" s="12">
        <v>5446.28</v>
      </c>
      <c r="BJ443" s="2">
        <v>0</v>
      </c>
      <c r="BK443" s="5">
        <v>508.32</v>
      </c>
      <c r="BL443" s="1" t="s">
        <v>436</v>
      </c>
    </row>
    <row r="444" spans="1:64" x14ac:dyDescent="0.3">
      <c r="A444" t="s">
        <v>602</v>
      </c>
      <c r="B444" s="1" t="s">
        <v>602</v>
      </c>
      <c r="C444" s="9" t="s">
        <v>605</v>
      </c>
      <c r="D444" s="1" t="s">
        <v>95</v>
      </c>
      <c r="E444" s="1" t="s">
        <v>135</v>
      </c>
      <c r="F444" s="10" t="s">
        <v>435</v>
      </c>
      <c r="G444" s="1">
        <v>0.04</v>
      </c>
      <c r="H444" s="1">
        <v>0.05</v>
      </c>
      <c r="I444" s="8">
        <v>45186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0</v>
      </c>
      <c r="U444" s="6">
        <v>0</v>
      </c>
      <c r="V444" s="6">
        <v>0</v>
      </c>
      <c r="W444" s="6">
        <v>0</v>
      </c>
      <c r="AI444" s="2">
        <v>495197</v>
      </c>
      <c r="AJ444" s="2">
        <v>164665.5</v>
      </c>
      <c r="AK444" s="2">
        <v>22107.01</v>
      </c>
      <c r="AL444" s="2">
        <v>7351.14</v>
      </c>
      <c r="AM444" s="5">
        <v>5891.62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39591.74</v>
      </c>
      <c r="AT444" s="12">
        <v>35349.769999999997</v>
      </c>
      <c r="AU444" s="2">
        <v>0</v>
      </c>
      <c r="AV444" s="5">
        <v>3299.31</v>
      </c>
      <c r="AX444" s="2">
        <v>495197</v>
      </c>
      <c r="AY444" s="2">
        <v>164665.5</v>
      </c>
      <c r="AZ444" s="2">
        <v>22107.01</v>
      </c>
      <c r="BA444" s="2">
        <v>7351.14</v>
      </c>
      <c r="BB444" s="5">
        <v>5891.62</v>
      </c>
      <c r="BC444" s="12">
        <v>0</v>
      </c>
      <c r="BD444" s="2">
        <v>0</v>
      </c>
      <c r="BE444" s="2">
        <v>0</v>
      </c>
      <c r="BF444" s="2">
        <v>0</v>
      </c>
      <c r="BG444" s="5">
        <v>0</v>
      </c>
      <c r="BH444" s="2">
        <v>39591.74</v>
      </c>
      <c r="BI444" s="12">
        <v>35349.769999999997</v>
      </c>
      <c r="BJ444" s="2">
        <v>0</v>
      </c>
      <c r="BK444" s="5">
        <v>3299.31</v>
      </c>
      <c r="BL444" s="1" t="s">
        <v>137</v>
      </c>
    </row>
    <row r="445" spans="1:64" x14ac:dyDescent="0.3">
      <c r="A445" t="s">
        <v>602</v>
      </c>
      <c r="B445" s="1" t="s">
        <v>606</v>
      </c>
      <c r="C445" s="9" t="s">
        <v>607</v>
      </c>
      <c r="D445" s="1" t="s">
        <v>95</v>
      </c>
      <c r="E445" s="1" t="s">
        <v>135</v>
      </c>
      <c r="F445" s="10" t="s">
        <v>435</v>
      </c>
      <c r="G445" s="1">
        <v>3.5000000000000003E-2</v>
      </c>
      <c r="H445" s="1">
        <v>0.05</v>
      </c>
      <c r="I445" s="8">
        <v>45186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79826</v>
      </c>
      <c r="AJ445" s="2">
        <v>31390</v>
      </c>
      <c r="AK445" s="2">
        <v>3563.66</v>
      </c>
      <c r="AL445" s="2">
        <v>1401.34</v>
      </c>
      <c r="AM445" s="5">
        <v>993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6672.96</v>
      </c>
      <c r="AT445" s="12">
        <v>5958</v>
      </c>
      <c r="AU445" s="2">
        <v>0</v>
      </c>
      <c r="AV445" s="5">
        <v>556.08000000000004</v>
      </c>
      <c r="AX445" s="2">
        <v>79826</v>
      </c>
      <c r="AY445" s="2">
        <v>31390</v>
      </c>
      <c r="AZ445" s="2">
        <v>3563.66</v>
      </c>
      <c r="BA445" s="2">
        <v>1401.34</v>
      </c>
      <c r="BB445" s="5">
        <v>993</v>
      </c>
      <c r="BC445" s="12">
        <v>0</v>
      </c>
      <c r="BD445" s="2">
        <v>0</v>
      </c>
      <c r="BE445" s="2">
        <v>0</v>
      </c>
      <c r="BF445" s="2">
        <v>0</v>
      </c>
      <c r="BG445" s="5">
        <v>0</v>
      </c>
      <c r="BH445" s="2">
        <v>6672.96</v>
      </c>
      <c r="BI445" s="12">
        <v>5958</v>
      </c>
      <c r="BJ445" s="2">
        <v>0</v>
      </c>
      <c r="BK445" s="5">
        <v>556.08000000000004</v>
      </c>
      <c r="BL445" s="1" t="s">
        <v>137</v>
      </c>
    </row>
    <row r="446" spans="1:64" x14ac:dyDescent="0.3">
      <c r="A446" t="s">
        <v>608</v>
      </c>
      <c r="B446" s="1" t="s">
        <v>608</v>
      </c>
      <c r="C446" s="9" t="s">
        <v>609</v>
      </c>
      <c r="D446" s="1" t="s">
        <v>95</v>
      </c>
      <c r="E446" s="1" t="s">
        <v>135</v>
      </c>
      <c r="F446" s="10" t="s">
        <v>435</v>
      </c>
      <c r="G446" s="1">
        <v>3.5000000000000003E-2</v>
      </c>
      <c r="H446" s="1">
        <v>0.05</v>
      </c>
      <c r="I446" s="8">
        <v>44898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0</v>
      </c>
      <c r="U446" s="6">
        <v>0</v>
      </c>
      <c r="V446" s="6">
        <v>0</v>
      </c>
      <c r="W446" s="6">
        <v>0</v>
      </c>
      <c r="AI446" s="2">
        <v>522958</v>
      </c>
      <c r="AJ446" s="2">
        <v>81480</v>
      </c>
      <c r="AK446" s="2">
        <v>23346.34</v>
      </c>
      <c r="AL446" s="2">
        <v>3637.5</v>
      </c>
      <c r="AM446" s="5">
        <v>5396.77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36266.28</v>
      </c>
      <c r="AT446" s="12">
        <v>32380.61</v>
      </c>
      <c r="AU446" s="2">
        <v>0</v>
      </c>
      <c r="AV446" s="5">
        <v>3022.19</v>
      </c>
      <c r="AX446" s="2">
        <v>522958</v>
      </c>
      <c r="AY446" s="2">
        <v>81480</v>
      </c>
      <c r="AZ446" s="2">
        <v>23346.34</v>
      </c>
      <c r="BA446" s="2">
        <v>3637.5</v>
      </c>
      <c r="BB446" s="5">
        <v>5396.77</v>
      </c>
      <c r="BC446" s="12">
        <v>0</v>
      </c>
      <c r="BD446" s="2">
        <v>0</v>
      </c>
      <c r="BE446" s="2">
        <v>0</v>
      </c>
      <c r="BF446" s="2">
        <v>0</v>
      </c>
      <c r="BG446" s="5">
        <v>0</v>
      </c>
      <c r="BH446" s="2">
        <v>36266.28</v>
      </c>
      <c r="BI446" s="12">
        <v>32380.61</v>
      </c>
      <c r="BJ446" s="2">
        <v>0</v>
      </c>
      <c r="BK446" s="5">
        <v>3022.19</v>
      </c>
      <c r="BL446" s="1" t="s">
        <v>137</v>
      </c>
    </row>
    <row r="447" spans="1:64" x14ac:dyDescent="0.3">
      <c r="A447" t="s">
        <v>608</v>
      </c>
      <c r="B447" s="1" t="s">
        <v>610</v>
      </c>
      <c r="C447" s="9" t="s">
        <v>611</v>
      </c>
      <c r="D447" s="1" t="s">
        <v>95</v>
      </c>
      <c r="E447" s="1" t="s">
        <v>135</v>
      </c>
      <c r="F447" s="10" t="s">
        <v>435</v>
      </c>
      <c r="G447" s="1">
        <v>0</v>
      </c>
      <c r="H447" s="1">
        <v>0.05</v>
      </c>
      <c r="I447" s="8">
        <v>44898</v>
      </c>
      <c r="J447" s="6">
        <v>0</v>
      </c>
      <c r="K447" s="6">
        <v>0</v>
      </c>
      <c r="L447" s="6">
        <v>0</v>
      </c>
      <c r="M447" s="6">
        <v>0</v>
      </c>
      <c r="N447" s="7">
        <v>0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0</v>
      </c>
      <c r="U447" s="6">
        <v>0</v>
      </c>
      <c r="V447" s="6">
        <v>0</v>
      </c>
      <c r="W447" s="6">
        <v>0</v>
      </c>
      <c r="AI447" s="2">
        <v>493041</v>
      </c>
      <c r="AJ447" s="2">
        <v>101810</v>
      </c>
      <c r="AK447" s="2">
        <v>22010.76</v>
      </c>
      <c r="AL447" s="2">
        <v>4545.09</v>
      </c>
      <c r="AM447" s="5">
        <v>5311.17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35691.06</v>
      </c>
      <c r="AT447" s="12">
        <v>31867.019999999997</v>
      </c>
      <c r="AU447" s="2">
        <v>0</v>
      </c>
      <c r="AV447" s="5">
        <v>2974.26</v>
      </c>
      <c r="AX447" s="2">
        <v>493041</v>
      </c>
      <c r="AY447" s="2">
        <v>101810</v>
      </c>
      <c r="AZ447" s="2">
        <v>22010.76</v>
      </c>
      <c r="BA447" s="2">
        <v>4545.09</v>
      </c>
      <c r="BB447" s="5">
        <v>5311.17</v>
      </c>
      <c r="BC447" s="12">
        <v>0</v>
      </c>
      <c r="BD447" s="2">
        <v>0</v>
      </c>
      <c r="BE447" s="2">
        <v>0</v>
      </c>
      <c r="BF447" s="2">
        <v>0</v>
      </c>
      <c r="BG447" s="5">
        <v>0</v>
      </c>
      <c r="BH447" s="2">
        <v>35691.06</v>
      </c>
      <c r="BI447" s="12">
        <v>31867.019999999997</v>
      </c>
      <c r="BJ447" s="2">
        <v>0</v>
      </c>
      <c r="BK447" s="5">
        <v>2974.26</v>
      </c>
      <c r="BL447" s="1" t="s">
        <v>137</v>
      </c>
    </row>
    <row r="448" spans="1:64" x14ac:dyDescent="0.3">
      <c r="A448" t="s">
        <v>612</v>
      </c>
      <c r="B448" s="1" t="s">
        <v>612</v>
      </c>
      <c r="C448" s="9" t="s">
        <v>613</v>
      </c>
      <c r="D448" s="1" t="s">
        <v>95</v>
      </c>
      <c r="E448" s="1" t="s">
        <v>128</v>
      </c>
      <c r="F448" s="10" t="s">
        <v>129</v>
      </c>
      <c r="G448" s="1">
        <v>4.4999999999999998E-2</v>
      </c>
      <c r="H448" s="1">
        <v>0.05</v>
      </c>
      <c r="I448" s="8">
        <v>44964</v>
      </c>
      <c r="J448" s="6">
        <v>299313</v>
      </c>
      <c r="K448" s="6">
        <v>39500</v>
      </c>
      <c r="L448" s="6">
        <v>13362.19</v>
      </c>
      <c r="M448" s="6">
        <v>1763.39</v>
      </c>
      <c r="N448" s="7">
        <v>3025.12</v>
      </c>
      <c r="O448" s="6">
        <v>-518739</v>
      </c>
      <c r="P448" s="6">
        <v>-30997.5</v>
      </c>
      <c r="Q448" s="6">
        <v>-23157.99</v>
      </c>
      <c r="R448" s="6">
        <v>-1383.82</v>
      </c>
      <c r="S448" s="7">
        <v>-4908.3599999999997</v>
      </c>
      <c r="T448" s="11">
        <v>-12655.410000000003</v>
      </c>
      <c r="U448" s="6">
        <v>-11299.470000000001</v>
      </c>
      <c r="V448" s="6">
        <v>0</v>
      </c>
      <c r="W448" s="6">
        <v>-1054.6199999999999</v>
      </c>
      <c r="AI448" s="2">
        <v>299313</v>
      </c>
      <c r="AJ448" s="2">
        <v>39500</v>
      </c>
      <c r="AK448" s="2">
        <v>13362.19</v>
      </c>
      <c r="AL448" s="2">
        <v>1763.39</v>
      </c>
      <c r="AM448" s="5">
        <v>3025.12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20328.78</v>
      </c>
      <c r="AT448" s="12">
        <v>18150.7</v>
      </c>
      <c r="AU448" s="2">
        <v>0</v>
      </c>
      <c r="AV448" s="5">
        <v>1694.06</v>
      </c>
      <c r="AX448" s="2">
        <v>0</v>
      </c>
      <c r="AY448" s="2">
        <v>0</v>
      </c>
      <c r="AZ448" s="2">
        <v>0</v>
      </c>
      <c r="BA448" s="2">
        <v>0</v>
      </c>
      <c r="BB448" s="5">
        <v>0</v>
      </c>
      <c r="BC448" s="12">
        <v>518739</v>
      </c>
      <c r="BD448" s="2">
        <v>30997.5</v>
      </c>
      <c r="BE448" s="2">
        <v>23157.99</v>
      </c>
      <c r="BF448" s="2">
        <v>1383.82</v>
      </c>
      <c r="BG448" s="5">
        <v>4908.3599999999997</v>
      </c>
      <c r="BH448" s="2">
        <v>32984.19</v>
      </c>
      <c r="BI448" s="12">
        <v>29450.170000000002</v>
      </c>
      <c r="BJ448" s="2">
        <v>0</v>
      </c>
      <c r="BK448" s="5">
        <v>2748.68</v>
      </c>
      <c r="BL448" s="1" t="s">
        <v>130</v>
      </c>
    </row>
    <row r="449" spans="1:64" x14ac:dyDescent="0.3">
      <c r="A449" t="s">
        <v>612</v>
      </c>
      <c r="B449" s="1" t="s">
        <v>614</v>
      </c>
      <c r="C449" s="9" t="s">
        <v>615</v>
      </c>
      <c r="D449" s="1" t="s">
        <v>95</v>
      </c>
      <c r="E449" s="1" t="s">
        <v>128</v>
      </c>
      <c r="F449" s="10" t="s">
        <v>129</v>
      </c>
      <c r="G449" s="1">
        <v>0</v>
      </c>
      <c r="H449" s="1">
        <v>0.05</v>
      </c>
      <c r="I449" s="8">
        <v>44964</v>
      </c>
      <c r="J449" s="6">
        <v>277445</v>
      </c>
      <c r="K449" s="6">
        <v>0</v>
      </c>
      <c r="L449" s="6">
        <v>12385.94</v>
      </c>
      <c r="M449" s="6">
        <v>0</v>
      </c>
      <c r="N449" s="7">
        <v>2477.19</v>
      </c>
      <c r="O449" s="6">
        <v>-155369.40000000002</v>
      </c>
      <c r="P449" s="6">
        <v>-16178.7</v>
      </c>
      <c r="Q449" s="6">
        <v>-6936.13</v>
      </c>
      <c r="R449" s="6">
        <v>-722.27</v>
      </c>
      <c r="S449" s="7">
        <v>0</v>
      </c>
      <c r="T449" s="11">
        <v>8069.2999999999993</v>
      </c>
      <c r="U449" s="6">
        <v>7204.7300000000014</v>
      </c>
      <c r="V449" s="6">
        <v>0</v>
      </c>
      <c r="W449" s="6">
        <v>529.48</v>
      </c>
      <c r="AI449" s="2">
        <v>277445</v>
      </c>
      <c r="AJ449" s="2">
        <v>0</v>
      </c>
      <c r="AK449" s="2">
        <v>12385.94</v>
      </c>
      <c r="AL449" s="2">
        <v>0</v>
      </c>
      <c r="AM449" s="5">
        <v>2477.19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16646.71</v>
      </c>
      <c r="AT449" s="12">
        <v>14863.130000000001</v>
      </c>
      <c r="AU449" s="2">
        <v>0</v>
      </c>
      <c r="AV449" s="5">
        <v>1387.22</v>
      </c>
      <c r="AX449" s="2">
        <v>0</v>
      </c>
      <c r="AY449" s="2">
        <v>0</v>
      </c>
      <c r="AZ449" s="2">
        <v>0</v>
      </c>
      <c r="BA449" s="2">
        <v>0</v>
      </c>
      <c r="BB449" s="5">
        <v>0</v>
      </c>
      <c r="BC449" s="12">
        <v>155369.40000000002</v>
      </c>
      <c r="BD449" s="2">
        <v>16178.7</v>
      </c>
      <c r="BE449" s="2">
        <v>6936.13</v>
      </c>
      <c r="BF449" s="2">
        <v>722.27</v>
      </c>
      <c r="BG449" s="5">
        <v>0</v>
      </c>
      <c r="BH449" s="2">
        <v>8577.41</v>
      </c>
      <c r="BI449" s="12">
        <v>7658.4</v>
      </c>
      <c r="BJ449" s="2">
        <v>0</v>
      </c>
      <c r="BK449" s="5">
        <v>857.74</v>
      </c>
      <c r="BL449" s="1" t="s">
        <v>130</v>
      </c>
    </row>
    <row r="450" spans="1:64" x14ac:dyDescent="0.3">
      <c r="A450" t="s">
        <v>612</v>
      </c>
      <c r="B450" s="1" t="s">
        <v>616</v>
      </c>
      <c r="C450" s="9" t="s">
        <v>617</v>
      </c>
      <c r="D450" s="1" t="s">
        <v>95</v>
      </c>
      <c r="E450" s="1" t="s">
        <v>128</v>
      </c>
      <c r="F450" s="10" t="s">
        <v>129</v>
      </c>
      <c r="G450" s="1">
        <v>4.4999999999999998E-2</v>
      </c>
      <c r="H450" s="1">
        <v>0.05</v>
      </c>
      <c r="I450" s="8">
        <v>44964</v>
      </c>
      <c r="J450" s="6">
        <v>159112</v>
      </c>
      <c r="K450" s="6">
        <v>0</v>
      </c>
      <c r="L450" s="6">
        <v>7103.21</v>
      </c>
      <c r="M450" s="6">
        <v>0</v>
      </c>
      <c r="N450" s="7">
        <v>1420.64</v>
      </c>
      <c r="O450" s="6">
        <v>-270057.90000000002</v>
      </c>
      <c r="P450" s="6">
        <v>-18739.199999999997</v>
      </c>
      <c r="Q450" s="6">
        <v>-12056.16</v>
      </c>
      <c r="R450" s="6">
        <v>-836.57</v>
      </c>
      <c r="S450" s="7">
        <v>-2578.54</v>
      </c>
      <c r="T450" s="11">
        <v>-7781.1100000000006</v>
      </c>
      <c r="U450" s="6">
        <v>-6947.42</v>
      </c>
      <c r="V450" s="6">
        <v>0</v>
      </c>
      <c r="W450" s="6">
        <v>-648.43000000000006</v>
      </c>
      <c r="AI450" s="2">
        <v>159112</v>
      </c>
      <c r="AJ450" s="2">
        <v>0</v>
      </c>
      <c r="AK450" s="2">
        <v>7103.21</v>
      </c>
      <c r="AL450" s="2">
        <v>0</v>
      </c>
      <c r="AM450" s="5">
        <v>1420.64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9546.7099999999991</v>
      </c>
      <c r="AT450" s="12">
        <v>8523.85</v>
      </c>
      <c r="AU450" s="2">
        <v>0</v>
      </c>
      <c r="AV450" s="5">
        <v>795.56</v>
      </c>
      <c r="AX450" s="2">
        <v>0</v>
      </c>
      <c r="AY450" s="2">
        <v>0</v>
      </c>
      <c r="AZ450" s="2">
        <v>0</v>
      </c>
      <c r="BA450" s="2">
        <v>0</v>
      </c>
      <c r="BB450" s="5">
        <v>0</v>
      </c>
      <c r="BC450" s="12">
        <v>270057.90000000002</v>
      </c>
      <c r="BD450" s="2">
        <v>18739.199999999997</v>
      </c>
      <c r="BE450" s="2">
        <v>12056.16</v>
      </c>
      <c r="BF450" s="2">
        <v>836.57</v>
      </c>
      <c r="BG450" s="5">
        <v>2578.54</v>
      </c>
      <c r="BH450" s="2">
        <v>17327.82</v>
      </c>
      <c r="BI450" s="12">
        <v>15471.27</v>
      </c>
      <c r="BJ450" s="2">
        <v>0</v>
      </c>
      <c r="BK450" s="5">
        <v>1443.99</v>
      </c>
      <c r="BL450" s="1" t="s">
        <v>130</v>
      </c>
    </row>
    <row r="451" spans="1:64" x14ac:dyDescent="0.3">
      <c r="A451" t="s">
        <v>612</v>
      </c>
      <c r="B451" s="1" t="s">
        <v>618</v>
      </c>
      <c r="C451" s="9" t="s">
        <v>619</v>
      </c>
      <c r="D451" s="1" t="s">
        <v>95</v>
      </c>
      <c r="E451" s="1" t="s">
        <v>128</v>
      </c>
      <c r="F451" s="10" t="s">
        <v>129</v>
      </c>
      <c r="G451" s="1">
        <v>4.4999999999999998E-2</v>
      </c>
      <c r="H451" s="1">
        <v>0.05</v>
      </c>
      <c r="I451" s="8">
        <v>44964</v>
      </c>
      <c r="J451" s="6">
        <v>339516</v>
      </c>
      <c r="K451" s="6">
        <v>18920</v>
      </c>
      <c r="L451" s="6">
        <v>15156.96</v>
      </c>
      <c r="M451" s="6">
        <v>844.64</v>
      </c>
      <c r="N451" s="7">
        <v>3200.32</v>
      </c>
      <c r="O451" s="6">
        <v>-315010.20000000007</v>
      </c>
      <c r="P451" s="6">
        <v>-12004.199999999999</v>
      </c>
      <c r="Q451" s="6">
        <v>-14062.96</v>
      </c>
      <c r="R451" s="6">
        <v>-535.9</v>
      </c>
      <c r="S451" s="7">
        <v>-2919.77</v>
      </c>
      <c r="T451" s="11">
        <v>1885.2800000000025</v>
      </c>
      <c r="U451" s="6">
        <v>1683.2900000000009</v>
      </c>
      <c r="V451" s="6">
        <v>0</v>
      </c>
      <c r="W451" s="6">
        <v>157.11000000000013</v>
      </c>
      <c r="AI451" s="2">
        <v>339516</v>
      </c>
      <c r="AJ451" s="2">
        <v>18920</v>
      </c>
      <c r="AK451" s="2">
        <v>15156.96</v>
      </c>
      <c r="AL451" s="2">
        <v>844.64</v>
      </c>
      <c r="AM451" s="5">
        <v>3200.32</v>
      </c>
      <c r="AN451" s="12">
        <v>0</v>
      </c>
      <c r="AO451" s="2">
        <v>0</v>
      </c>
      <c r="AP451" s="2">
        <v>0</v>
      </c>
      <c r="AQ451" s="2">
        <v>0</v>
      </c>
      <c r="AR451" s="5">
        <v>0</v>
      </c>
      <c r="AS451" s="2">
        <v>21506.15</v>
      </c>
      <c r="AT451" s="12">
        <v>19201.919999999998</v>
      </c>
      <c r="AU451" s="2">
        <v>0</v>
      </c>
      <c r="AV451" s="5">
        <v>1792.18</v>
      </c>
      <c r="AX451" s="2">
        <v>0</v>
      </c>
      <c r="AY451" s="2">
        <v>0</v>
      </c>
      <c r="AZ451" s="2">
        <v>0</v>
      </c>
      <c r="BA451" s="2">
        <v>0</v>
      </c>
      <c r="BB451" s="5">
        <v>0</v>
      </c>
      <c r="BC451" s="12">
        <v>315010.20000000007</v>
      </c>
      <c r="BD451" s="2">
        <v>12004.199999999999</v>
      </c>
      <c r="BE451" s="2">
        <v>14062.96</v>
      </c>
      <c r="BF451" s="2">
        <v>535.9</v>
      </c>
      <c r="BG451" s="5">
        <v>2919.77</v>
      </c>
      <c r="BH451" s="2">
        <v>19620.87</v>
      </c>
      <c r="BI451" s="12">
        <v>17518.629999999997</v>
      </c>
      <c r="BJ451" s="2">
        <v>0</v>
      </c>
      <c r="BK451" s="5">
        <v>1635.07</v>
      </c>
      <c r="BL451" s="1" t="s">
        <v>130</v>
      </c>
    </row>
    <row r="452" spans="1:64" x14ac:dyDescent="0.3">
      <c r="A452" t="s">
        <v>612</v>
      </c>
      <c r="B452" s="1" t="s">
        <v>620</v>
      </c>
      <c r="C452" s="9" t="s">
        <v>621</v>
      </c>
      <c r="D452" s="1" t="s">
        <v>95</v>
      </c>
      <c r="E452" s="1" t="s">
        <v>128</v>
      </c>
      <c r="F452" s="10" t="s">
        <v>129</v>
      </c>
      <c r="G452" s="1">
        <v>0</v>
      </c>
      <c r="H452" s="1">
        <v>0.05</v>
      </c>
      <c r="I452" s="8">
        <v>45569</v>
      </c>
      <c r="J452" s="6">
        <v>232987</v>
      </c>
      <c r="K452" s="6">
        <v>2620</v>
      </c>
      <c r="L452" s="6">
        <v>10401.209999999999</v>
      </c>
      <c r="M452" s="6">
        <v>116.96</v>
      </c>
      <c r="N452" s="7">
        <v>2103.63</v>
      </c>
      <c r="O452" s="6">
        <v>-217049.69999999998</v>
      </c>
      <c r="P452" s="6">
        <v>-10077.6</v>
      </c>
      <c r="Q452" s="6">
        <v>-9689.7099999999991</v>
      </c>
      <c r="R452" s="6">
        <v>-449.89</v>
      </c>
      <c r="S452" s="7">
        <v>0</v>
      </c>
      <c r="T452" s="11">
        <v>2780.0699999999997</v>
      </c>
      <c r="U452" s="6">
        <v>2482.2000000000007</v>
      </c>
      <c r="V452" s="6">
        <v>0</v>
      </c>
      <c r="W452" s="6">
        <v>42.399999999999864</v>
      </c>
      <c r="AI452" s="2">
        <v>232987</v>
      </c>
      <c r="AJ452" s="2">
        <v>2620</v>
      </c>
      <c r="AK452" s="2">
        <v>10401.209999999999</v>
      </c>
      <c r="AL452" s="2">
        <v>116.96</v>
      </c>
      <c r="AM452" s="5">
        <v>2103.63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14136.42</v>
      </c>
      <c r="AT452" s="12">
        <v>12621.8</v>
      </c>
      <c r="AU452" s="2">
        <v>0</v>
      </c>
      <c r="AV452" s="5">
        <v>1178.04</v>
      </c>
      <c r="AX452" s="2">
        <v>0</v>
      </c>
      <c r="AY452" s="2">
        <v>0</v>
      </c>
      <c r="AZ452" s="2">
        <v>0</v>
      </c>
      <c r="BA452" s="2">
        <v>0</v>
      </c>
      <c r="BB452" s="5">
        <v>0</v>
      </c>
      <c r="BC452" s="12">
        <v>217049.69999999998</v>
      </c>
      <c r="BD452" s="2">
        <v>10077.6</v>
      </c>
      <c r="BE452" s="2">
        <v>9689.7099999999991</v>
      </c>
      <c r="BF452" s="2">
        <v>449.89</v>
      </c>
      <c r="BG452" s="5">
        <v>0</v>
      </c>
      <c r="BH452" s="2">
        <v>11356.35</v>
      </c>
      <c r="BI452" s="12">
        <v>10139.599999999999</v>
      </c>
      <c r="BJ452" s="2">
        <v>0</v>
      </c>
      <c r="BK452" s="5">
        <v>1135.6400000000001</v>
      </c>
      <c r="BL452" s="1" t="s">
        <v>130</v>
      </c>
    </row>
    <row r="453" spans="1:64" x14ac:dyDescent="0.3">
      <c r="A453" t="s">
        <v>635</v>
      </c>
      <c r="B453" s="1" t="s">
        <v>635</v>
      </c>
      <c r="C453" s="9" t="s">
        <v>636</v>
      </c>
      <c r="D453" s="1" t="s">
        <v>95</v>
      </c>
      <c r="E453" s="1" t="s">
        <v>135</v>
      </c>
      <c r="F453" s="10" t="s">
        <v>485</v>
      </c>
      <c r="G453" s="1">
        <v>4.4999999999999998E-2</v>
      </c>
      <c r="H453" s="1">
        <v>0.05</v>
      </c>
      <c r="I453" s="8">
        <v>45124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0</v>
      </c>
      <c r="P453" s="6">
        <v>0</v>
      </c>
      <c r="Q453" s="6">
        <v>0</v>
      </c>
      <c r="R453" s="6">
        <v>0</v>
      </c>
      <c r="S453" s="7">
        <v>0</v>
      </c>
      <c r="T453" s="11">
        <v>0</v>
      </c>
      <c r="U453" s="6">
        <v>0</v>
      </c>
      <c r="V453" s="6">
        <v>0</v>
      </c>
      <c r="W453" s="6">
        <v>0</v>
      </c>
      <c r="AI453" s="2">
        <v>663191</v>
      </c>
      <c r="AJ453" s="2">
        <v>93226</v>
      </c>
      <c r="AK453" s="2">
        <v>29606.74</v>
      </c>
      <c r="AL453" s="2">
        <v>4161.88</v>
      </c>
      <c r="AM453" s="5">
        <v>6753.72</v>
      </c>
      <c r="AN453" s="12">
        <v>0</v>
      </c>
      <c r="AO453" s="2">
        <v>0</v>
      </c>
      <c r="AP453" s="2">
        <v>0</v>
      </c>
      <c r="AQ453" s="2">
        <v>0</v>
      </c>
      <c r="AR453" s="5">
        <v>0</v>
      </c>
      <c r="AS453" s="2">
        <v>45385.02</v>
      </c>
      <c r="AT453" s="12">
        <v>40522.340000000004</v>
      </c>
      <c r="AU453" s="2">
        <v>0</v>
      </c>
      <c r="AV453" s="5">
        <v>3782.08</v>
      </c>
      <c r="AX453" s="2">
        <v>663191</v>
      </c>
      <c r="AY453" s="2">
        <v>93226</v>
      </c>
      <c r="AZ453" s="2">
        <v>29606.74</v>
      </c>
      <c r="BA453" s="2">
        <v>4161.88</v>
      </c>
      <c r="BB453" s="5">
        <v>6753.72</v>
      </c>
      <c r="BC453" s="12">
        <v>0</v>
      </c>
      <c r="BD453" s="2">
        <v>0</v>
      </c>
      <c r="BE453" s="2">
        <v>0</v>
      </c>
      <c r="BF453" s="2">
        <v>0</v>
      </c>
      <c r="BG453" s="5">
        <v>0</v>
      </c>
      <c r="BH453" s="2">
        <v>45385.02</v>
      </c>
      <c r="BI453" s="12">
        <v>40522.340000000004</v>
      </c>
      <c r="BJ453" s="2">
        <v>0</v>
      </c>
      <c r="BK453" s="5">
        <v>3782.08</v>
      </c>
      <c r="BL453" s="1" t="s">
        <v>302</v>
      </c>
    </row>
    <row r="454" spans="1:64" x14ac:dyDescent="0.3">
      <c r="A454" t="s">
        <v>650</v>
      </c>
      <c r="B454" s="1" t="s">
        <v>650</v>
      </c>
      <c r="C454" s="9" t="s">
        <v>651</v>
      </c>
      <c r="D454" s="1" t="s">
        <v>95</v>
      </c>
      <c r="E454" s="1" t="s">
        <v>88</v>
      </c>
      <c r="F454" s="10" t="s">
        <v>432</v>
      </c>
      <c r="G454" s="1">
        <v>4.4999999999999998E-2</v>
      </c>
      <c r="H454" s="1">
        <v>0.05</v>
      </c>
      <c r="I454" s="8">
        <v>45287</v>
      </c>
      <c r="J454" s="6">
        <v>120169</v>
      </c>
      <c r="K454" s="6">
        <v>117576</v>
      </c>
      <c r="L454" s="6">
        <v>5364.6799999999985</v>
      </c>
      <c r="M454" s="6">
        <v>5248.9300000000021</v>
      </c>
      <c r="N454" s="7">
        <v>2122.7200000000003</v>
      </c>
      <c r="O454" s="6">
        <v>-171095.84999999998</v>
      </c>
      <c r="P454" s="6">
        <v>-33565.409999999996</v>
      </c>
      <c r="Q454" s="6">
        <v>-7638.21</v>
      </c>
      <c r="R454" s="6">
        <v>-1498.46</v>
      </c>
      <c r="S454" s="7">
        <v>-1827.33</v>
      </c>
      <c r="T454" s="11">
        <v>1985.010000000002</v>
      </c>
      <c r="U454" s="6">
        <v>1772.3300000000017</v>
      </c>
      <c r="V454" s="6">
        <v>0</v>
      </c>
      <c r="W454" s="6">
        <v>165.41000000000031</v>
      </c>
      <c r="AI454" s="2">
        <v>425954</v>
      </c>
      <c r="AJ454" s="2">
        <v>390107</v>
      </c>
      <c r="AK454" s="2">
        <v>19015.8</v>
      </c>
      <c r="AL454" s="2">
        <v>17415.490000000002</v>
      </c>
      <c r="AM454" s="5">
        <v>7286.26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48963.66</v>
      </c>
      <c r="AT454" s="12">
        <v>43717.55</v>
      </c>
      <c r="AU454" s="2">
        <v>0</v>
      </c>
      <c r="AV454" s="5">
        <v>4080.3</v>
      </c>
      <c r="AX454" s="2">
        <v>305785</v>
      </c>
      <c r="AY454" s="2">
        <v>272531</v>
      </c>
      <c r="AZ454" s="2">
        <v>13651.12</v>
      </c>
      <c r="BA454" s="2">
        <v>12166.56</v>
      </c>
      <c r="BB454" s="5">
        <v>5163.54</v>
      </c>
      <c r="BC454" s="12">
        <v>171095.84999999998</v>
      </c>
      <c r="BD454" s="2">
        <v>33565.409999999996</v>
      </c>
      <c r="BE454" s="2">
        <v>7638.21</v>
      </c>
      <c r="BF454" s="2">
        <v>1498.46</v>
      </c>
      <c r="BG454" s="5">
        <v>1827.33</v>
      </c>
      <c r="BH454" s="2">
        <v>46978.65</v>
      </c>
      <c r="BI454" s="12">
        <v>41945.22</v>
      </c>
      <c r="BJ454" s="2">
        <v>0</v>
      </c>
      <c r="BK454" s="5">
        <v>3914.89</v>
      </c>
      <c r="BL454" s="1" t="s">
        <v>90</v>
      </c>
    </row>
    <row r="455" spans="1:64" x14ac:dyDescent="0.3">
      <c r="A455" t="s">
        <v>650</v>
      </c>
      <c r="B455" s="1" t="s">
        <v>652</v>
      </c>
      <c r="C455" s="9" t="s">
        <v>653</v>
      </c>
      <c r="D455" s="1" t="s">
        <v>95</v>
      </c>
      <c r="E455" s="1" t="s">
        <v>88</v>
      </c>
      <c r="F455" s="10" t="s">
        <v>432</v>
      </c>
      <c r="G455" s="1">
        <v>4.4999999999999998E-2</v>
      </c>
      <c r="H455" s="1">
        <v>0.05</v>
      </c>
      <c r="I455" s="8">
        <v>45287</v>
      </c>
      <c r="J455" s="6">
        <v>10195</v>
      </c>
      <c r="K455" s="6">
        <v>16724</v>
      </c>
      <c r="L455" s="6">
        <v>455.14</v>
      </c>
      <c r="M455" s="6">
        <v>746.60000000000014</v>
      </c>
      <c r="N455" s="7">
        <v>240.34999999999997</v>
      </c>
      <c r="O455" s="6">
        <v>-87001.56</v>
      </c>
      <c r="P455" s="6">
        <v>-19188.18</v>
      </c>
      <c r="Q455" s="6">
        <v>-3884</v>
      </c>
      <c r="R455" s="6">
        <v>-856.62</v>
      </c>
      <c r="S455" s="7">
        <v>-948.12</v>
      </c>
      <c r="T455" s="11">
        <v>-4756.2499999999991</v>
      </c>
      <c r="U455" s="6">
        <v>-4246.6499999999987</v>
      </c>
      <c r="V455" s="6">
        <v>0</v>
      </c>
      <c r="W455" s="6">
        <v>-396.34999999999997</v>
      </c>
      <c r="AI455" s="2">
        <v>24825</v>
      </c>
      <c r="AJ455" s="2">
        <v>58887</v>
      </c>
      <c r="AK455" s="2">
        <v>1108.26</v>
      </c>
      <c r="AL455" s="2">
        <v>2628.88</v>
      </c>
      <c r="AM455" s="5">
        <v>747.43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5022.72</v>
      </c>
      <c r="AT455" s="12">
        <v>4484.5700000000006</v>
      </c>
      <c r="AU455" s="2">
        <v>0</v>
      </c>
      <c r="AV455" s="5">
        <v>418.56</v>
      </c>
      <c r="AX455" s="2">
        <v>14630</v>
      </c>
      <c r="AY455" s="2">
        <v>42163</v>
      </c>
      <c r="AZ455" s="2">
        <v>653.12</v>
      </c>
      <c r="BA455" s="2">
        <v>1882.28</v>
      </c>
      <c r="BB455" s="5">
        <v>507.08</v>
      </c>
      <c r="BC455" s="12">
        <v>87001.56</v>
      </c>
      <c r="BD455" s="2">
        <v>19188.18</v>
      </c>
      <c r="BE455" s="2">
        <v>3884</v>
      </c>
      <c r="BF455" s="2">
        <v>856.62</v>
      </c>
      <c r="BG455" s="5">
        <v>948.12</v>
      </c>
      <c r="BH455" s="2">
        <v>9778.9699999999993</v>
      </c>
      <c r="BI455" s="12">
        <v>8731.2199999999993</v>
      </c>
      <c r="BJ455" s="2">
        <v>0</v>
      </c>
      <c r="BK455" s="5">
        <v>814.91</v>
      </c>
      <c r="BL455" s="1" t="s">
        <v>90</v>
      </c>
    </row>
    <row r="456" spans="1:64" x14ac:dyDescent="0.3">
      <c r="A456" t="s">
        <v>650</v>
      </c>
      <c r="B456" s="1" t="s">
        <v>654</v>
      </c>
      <c r="C456" s="9" t="s">
        <v>655</v>
      </c>
      <c r="D456" s="1" t="s">
        <v>95</v>
      </c>
      <c r="E456" s="1" t="s">
        <v>88</v>
      </c>
      <c r="F456" s="10" t="s">
        <v>432</v>
      </c>
      <c r="G456" s="1">
        <v>0</v>
      </c>
      <c r="H456" s="1">
        <v>0.05</v>
      </c>
      <c r="I456" s="8">
        <v>45287</v>
      </c>
      <c r="J456" s="6">
        <v>62390</v>
      </c>
      <c r="K456" s="6">
        <v>39714</v>
      </c>
      <c r="L456" s="6">
        <v>2785.2699999999995</v>
      </c>
      <c r="M456" s="6">
        <v>1772.9499999999998</v>
      </c>
      <c r="N456" s="7">
        <v>911.64000000000033</v>
      </c>
      <c r="O456" s="6">
        <v>-38791.350000000006</v>
      </c>
      <c r="P456" s="6">
        <v>-4170.24</v>
      </c>
      <c r="Q456" s="6">
        <v>-1731.76</v>
      </c>
      <c r="R456" s="6">
        <v>-186.17</v>
      </c>
      <c r="S456" s="7">
        <v>0</v>
      </c>
      <c r="T456" s="11">
        <v>3978.16</v>
      </c>
      <c r="U456" s="6">
        <v>3551.9300000000003</v>
      </c>
      <c r="V456" s="6">
        <v>0</v>
      </c>
      <c r="W456" s="6">
        <v>295.71000000000004</v>
      </c>
      <c r="AI456" s="2">
        <v>218295</v>
      </c>
      <c r="AJ456" s="2">
        <v>143303</v>
      </c>
      <c r="AK456" s="2">
        <v>9745.31</v>
      </c>
      <c r="AL456" s="2">
        <v>6397.46</v>
      </c>
      <c r="AM456" s="5">
        <v>3228.55</v>
      </c>
      <c r="AN456" s="12">
        <v>0</v>
      </c>
      <c r="AO456" s="2">
        <v>0</v>
      </c>
      <c r="AP456" s="2">
        <v>0</v>
      </c>
      <c r="AQ456" s="2">
        <v>0</v>
      </c>
      <c r="AR456" s="5">
        <v>0</v>
      </c>
      <c r="AS456" s="2">
        <v>21695.88</v>
      </c>
      <c r="AT456" s="12">
        <v>19371.32</v>
      </c>
      <c r="AU456" s="2">
        <v>0</v>
      </c>
      <c r="AV456" s="5">
        <v>1807.99</v>
      </c>
      <c r="AX456" s="2">
        <v>155905</v>
      </c>
      <c r="AY456" s="2">
        <v>103589</v>
      </c>
      <c r="AZ456" s="2">
        <v>6960.04</v>
      </c>
      <c r="BA456" s="2">
        <v>4624.51</v>
      </c>
      <c r="BB456" s="5">
        <v>2316.91</v>
      </c>
      <c r="BC456" s="12">
        <v>38791.350000000006</v>
      </c>
      <c r="BD456" s="2">
        <v>4170.24</v>
      </c>
      <c r="BE456" s="2">
        <v>1731.76</v>
      </c>
      <c r="BF456" s="2">
        <v>186.17</v>
      </c>
      <c r="BG456" s="5">
        <v>0</v>
      </c>
      <c r="BH456" s="2">
        <v>17717.72</v>
      </c>
      <c r="BI456" s="12">
        <v>15819.39</v>
      </c>
      <c r="BJ456" s="2">
        <v>0</v>
      </c>
      <c r="BK456" s="5">
        <v>1512.28</v>
      </c>
      <c r="BL456" s="1" t="s">
        <v>90</v>
      </c>
    </row>
    <row r="457" spans="1:64" x14ac:dyDescent="0.3">
      <c r="A457" t="s">
        <v>674</v>
      </c>
      <c r="B457" s="1" t="s">
        <v>674</v>
      </c>
      <c r="C457" s="9" t="s">
        <v>675</v>
      </c>
      <c r="D457" s="1" t="s">
        <v>95</v>
      </c>
      <c r="E457" s="1" t="s">
        <v>88</v>
      </c>
      <c r="F457" s="10" t="s">
        <v>432</v>
      </c>
      <c r="G457" s="1">
        <v>3.5000000000000003E-2</v>
      </c>
      <c r="H457" s="1">
        <v>0.05</v>
      </c>
      <c r="I457" s="8">
        <v>45567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0</v>
      </c>
      <c r="U457" s="6">
        <v>0</v>
      </c>
      <c r="V457" s="6">
        <v>0</v>
      </c>
      <c r="W457" s="6">
        <v>0</v>
      </c>
      <c r="AI457" s="2">
        <v>864689</v>
      </c>
      <c r="AJ457" s="2">
        <v>144916</v>
      </c>
      <c r="AK457" s="2">
        <v>38602.19</v>
      </c>
      <c r="AL457" s="2">
        <v>6469.46</v>
      </c>
      <c r="AM457" s="5">
        <v>9014.33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60576.3</v>
      </c>
      <c r="AT457" s="12">
        <v>54085.98</v>
      </c>
      <c r="AU457" s="2">
        <v>0</v>
      </c>
      <c r="AV457" s="5">
        <v>5048.03</v>
      </c>
      <c r="AX457" s="2">
        <v>864689</v>
      </c>
      <c r="AY457" s="2">
        <v>144916</v>
      </c>
      <c r="AZ457" s="2">
        <v>38602.19</v>
      </c>
      <c r="BA457" s="2">
        <v>6469.46</v>
      </c>
      <c r="BB457" s="5">
        <v>9014.33</v>
      </c>
      <c r="BC457" s="12">
        <v>0</v>
      </c>
      <c r="BD457" s="2">
        <v>0</v>
      </c>
      <c r="BE457" s="2">
        <v>0</v>
      </c>
      <c r="BF457" s="2">
        <v>0</v>
      </c>
      <c r="BG457" s="5">
        <v>0</v>
      </c>
      <c r="BH457" s="2">
        <v>60576.3</v>
      </c>
      <c r="BI457" s="12">
        <v>54085.98</v>
      </c>
      <c r="BJ457" s="2">
        <v>0</v>
      </c>
      <c r="BK457" s="5">
        <v>5048.03</v>
      </c>
      <c r="BL457" s="1" t="s">
        <v>90</v>
      </c>
    </row>
    <row r="458" spans="1:64" x14ac:dyDescent="0.3">
      <c r="A458" t="s">
        <v>678</v>
      </c>
      <c r="B458" s="1" t="s">
        <v>678</v>
      </c>
      <c r="C458" s="9" t="s">
        <v>679</v>
      </c>
      <c r="D458" s="1" t="s">
        <v>95</v>
      </c>
      <c r="E458" s="1" t="s">
        <v>128</v>
      </c>
      <c r="F458" s="10" t="s">
        <v>309</v>
      </c>
      <c r="G458" s="1">
        <v>3.5000000000000003E-2</v>
      </c>
      <c r="H458" s="1">
        <v>0.05</v>
      </c>
      <c r="I458" s="8">
        <v>45719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0</v>
      </c>
      <c r="U458" s="6">
        <v>0</v>
      </c>
      <c r="V458" s="6">
        <v>0</v>
      </c>
      <c r="W458" s="6">
        <v>0</v>
      </c>
      <c r="AI458" s="2">
        <v>567317</v>
      </c>
      <c r="AJ458" s="2">
        <v>26532</v>
      </c>
      <c r="AK458" s="2">
        <v>25326.65</v>
      </c>
      <c r="AL458" s="2">
        <v>1184.46</v>
      </c>
      <c r="AM458" s="5">
        <v>5302.22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35630.93</v>
      </c>
      <c r="AT458" s="12">
        <v>31813.33</v>
      </c>
      <c r="AU458" s="2">
        <v>0</v>
      </c>
      <c r="AV458" s="5">
        <v>2969.24</v>
      </c>
      <c r="AX458" s="2">
        <v>567317</v>
      </c>
      <c r="AY458" s="2">
        <v>26532</v>
      </c>
      <c r="AZ458" s="2">
        <v>25326.65</v>
      </c>
      <c r="BA458" s="2">
        <v>1184.46</v>
      </c>
      <c r="BB458" s="5">
        <v>5302.22</v>
      </c>
      <c r="BC458" s="12">
        <v>0</v>
      </c>
      <c r="BD458" s="2">
        <v>0</v>
      </c>
      <c r="BE458" s="2">
        <v>0</v>
      </c>
      <c r="BF458" s="2">
        <v>0</v>
      </c>
      <c r="BG458" s="5">
        <v>0</v>
      </c>
      <c r="BH458" s="2">
        <v>35630.93</v>
      </c>
      <c r="BI458" s="12">
        <v>31813.33</v>
      </c>
      <c r="BJ458" s="2">
        <v>0</v>
      </c>
      <c r="BK458" s="5">
        <v>2969.24</v>
      </c>
      <c r="BL458" s="1" t="s">
        <v>130</v>
      </c>
    </row>
    <row r="459" spans="1:64" x14ac:dyDescent="0.3">
      <c r="A459" t="s">
        <v>678</v>
      </c>
      <c r="B459" s="1" t="s">
        <v>680</v>
      </c>
      <c r="C459" s="9" t="s">
        <v>681</v>
      </c>
      <c r="D459" s="1" t="s">
        <v>95</v>
      </c>
      <c r="E459" s="1" t="s">
        <v>128</v>
      </c>
      <c r="F459" s="10" t="s">
        <v>309</v>
      </c>
      <c r="G459" s="1">
        <v>0</v>
      </c>
      <c r="H459" s="1">
        <v>0.05</v>
      </c>
      <c r="I459" s="8">
        <v>45719</v>
      </c>
      <c r="J459" s="6">
        <v>0</v>
      </c>
      <c r="K459" s="6">
        <v>0</v>
      </c>
      <c r="L459" s="6">
        <v>0</v>
      </c>
      <c r="M459" s="6">
        <v>0</v>
      </c>
      <c r="N459" s="7">
        <v>0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0</v>
      </c>
      <c r="U459" s="6">
        <v>0</v>
      </c>
      <c r="V459" s="6">
        <v>0</v>
      </c>
      <c r="W459" s="6">
        <v>0</v>
      </c>
      <c r="AI459" s="2">
        <v>135662</v>
      </c>
      <c r="AJ459" s="2">
        <v>0</v>
      </c>
      <c r="AK459" s="2">
        <v>6056.34</v>
      </c>
      <c r="AL459" s="2">
        <v>0</v>
      </c>
      <c r="AM459" s="5">
        <v>1211.27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8139.72</v>
      </c>
      <c r="AT459" s="12">
        <v>7267.6100000000006</v>
      </c>
      <c r="AU459" s="2">
        <v>0</v>
      </c>
      <c r="AV459" s="5">
        <v>678.31</v>
      </c>
      <c r="AX459" s="2">
        <v>135662</v>
      </c>
      <c r="AY459" s="2">
        <v>0</v>
      </c>
      <c r="AZ459" s="2">
        <v>6056.34</v>
      </c>
      <c r="BA459" s="2">
        <v>0</v>
      </c>
      <c r="BB459" s="5">
        <v>1211.27</v>
      </c>
      <c r="BC459" s="12">
        <v>0</v>
      </c>
      <c r="BD459" s="2">
        <v>0</v>
      </c>
      <c r="BE459" s="2">
        <v>0</v>
      </c>
      <c r="BF459" s="2">
        <v>0</v>
      </c>
      <c r="BG459" s="5">
        <v>0</v>
      </c>
      <c r="BH459" s="2">
        <v>8139.72</v>
      </c>
      <c r="BI459" s="12">
        <v>7267.6100000000006</v>
      </c>
      <c r="BJ459" s="2">
        <v>0</v>
      </c>
      <c r="BK459" s="5">
        <v>678.31</v>
      </c>
      <c r="BL459" s="1" t="s">
        <v>130</v>
      </c>
    </row>
    <row r="460" spans="1:64" x14ac:dyDescent="0.3">
      <c r="A460" t="s">
        <v>678</v>
      </c>
      <c r="B460" s="1" t="s">
        <v>682</v>
      </c>
      <c r="C460" s="9" t="s">
        <v>683</v>
      </c>
      <c r="D460" s="1" t="s">
        <v>95</v>
      </c>
      <c r="E460" s="1" t="s">
        <v>128</v>
      </c>
      <c r="F460" s="10" t="s">
        <v>129</v>
      </c>
      <c r="G460" s="1">
        <v>0</v>
      </c>
      <c r="H460" s="1">
        <v>0.05</v>
      </c>
      <c r="I460" s="8">
        <v>45719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0</v>
      </c>
      <c r="U460" s="6">
        <v>0</v>
      </c>
      <c r="V460" s="6">
        <v>0</v>
      </c>
      <c r="W460" s="6">
        <v>0</v>
      </c>
      <c r="AI460" s="2">
        <v>233666</v>
      </c>
      <c r="AJ460" s="2">
        <v>15224</v>
      </c>
      <c r="AK460" s="2">
        <v>10431.52</v>
      </c>
      <c r="AL460" s="2">
        <v>679.64</v>
      </c>
      <c r="AM460" s="5">
        <v>2222.23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14933.4</v>
      </c>
      <c r="AT460" s="12">
        <v>13333.39</v>
      </c>
      <c r="AU460" s="2">
        <v>0</v>
      </c>
      <c r="AV460" s="5">
        <v>1244.45</v>
      </c>
      <c r="AX460" s="2">
        <v>233666</v>
      </c>
      <c r="AY460" s="2">
        <v>15224</v>
      </c>
      <c r="AZ460" s="2">
        <v>10431.52</v>
      </c>
      <c r="BA460" s="2">
        <v>679.64</v>
      </c>
      <c r="BB460" s="5">
        <v>2222.23</v>
      </c>
      <c r="BC460" s="12">
        <v>0</v>
      </c>
      <c r="BD460" s="2">
        <v>0</v>
      </c>
      <c r="BE460" s="2">
        <v>0</v>
      </c>
      <c r="BF460" s="2">
        <v>0</v>
      </c>
      <c r="BG460" s="5">
        <v>0</v>
      </c>
      <c r="BH460" s="2">
        <v>14933.4</v>
      </c>
      <c r="BI460" s="12">
        <v>13333.39</v>
      </c>
      <c r="BJ460" s="2">
        <v>0</v>
      </c>
      <c r="BK460" s="5">
        <v>1244.45</v>
      </c>
      <c r="BL460" s="1" t="s">
        <v>130</v>
      </c>
    </row>
    <row r="461" spans="1:64" x14ac:dyDescent="0.3">
      <c r="A461" t="s">
        <v>686</v>
      </c>
      <c r="B461" s="1" t="s">
        <v>686</v>
      </c>
      <c r="C461" s="9" t="s">
        <v>687</v>
      </c>
      <c r="D461" s="1" t="s">
        <v>95</v>
      </c>
      <c r="E461" s="1" t="s">
        <v>135</v>
      </c>
      <c r="F461" s="10" t="s">
        <v>348</v>
      </c>
      <c r="G461" s="1">
        <v>3.5000000000000003E-2</v>
      </c>
      <c r="H461" s="1">
        <v>0.05</v>
      </c>
      <c r="I461" s="8">
        <v>44538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0</v>
      </c>
      <c r="U461" s="6">
        <v>0</v>
      </c>
      <c r="V461" s="6">
        <v>0</v>
      </c>
      <c r="W461" s="6">
        <v>0</v>
      </c>
      <c r="AI461" s="2">
        <v>403509</v>
      </c>
      <c r="AJ461" s="2">
        <v>97034</v>
      </c>
      <c r="AK461" s="2">
        <v>18013.79</v>
      </c>
      <c r="AL461" s="2">
        <v>4331.87</v>
      </c>
      <c r="AM461" s="5">
        <v>4469.13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30032.560000000001</v>
      </c>
      <c r="AT461" s="12">
        <v>26814.79</v>
      </c>
      <c r="AU461" s="2">
        <v>0</v>
      </c>
      <c r="AV461" s="5">
        <v>2502.7199999999998</v>
      </c>
      <c r="AX461" s="2">
        <v>403509</v>
      </c>
      <c r="AY461" s="2">
        <v>97034</v>
      </c>
      <c r="AZ461" s="2">
        <v>18013.79</v>
      </c>
      <c r="BA461" s="2">
        <v>4331.87</v>
      </c>
      <c r="BB461" s="5">
        <v>4469.13</v>
      </c>
      <c r="BC461" s="12">
        <v>0</v>
      </c>
      <c r="BD461" s="2">
        <v>0</v>
      </c>
      <c r="BE461" s="2">
        <v>0</v>
      </c>
      <c r="BF461" s="2">
        <v>0</v>
      </c>
      <c r="BG461" s="5">
        <v>0</v>
      </c>
      <c r="BH461" s="2">
        <v>30032.560000000001</v>
      </c>
      <c r="BI461" s="12">
        <v>26814.79</v>
      </c>
      <c r="BJ461" s="2">
        <v>0</v>
      </c>
      <c r="BK461" s="5">
        <v>2502.7199999999998</v>
      </c>
      <c r="BL461" s="1" t="s">
        <v>137</v>
      </c>
    </row>
    <row r="462" spans="1:64" x14ac:dyDescent="0.3">
      <c r="A462" t="s">
        <v>688</v>
      </c>
      <c r="B462" s="1" t="s">
        <v>688</v>
      </c>
      <c r="C462" s="9" t="s">
        <v>689</v>
      </c>
      <c r="D462" s="1" t="s">
        <v>95</v>
      </c>
      <c r="E462" s="1" t="s">
        <v>128</v>
      </c>
      <c r="F462" s="10" t="s">
        <v>325</v>
      </c>
      <c r="G462" s="1">
        <v>3.5000000000000003E-2</v>
      </c>
      <c r="H462" s="1">
        <v>0.05</v>
      </c>
      <c r="I462" s="8">
        <v>45667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0</v>
      </c>
      <c r="U462" s="6">
        <v>0</v>
      </c>
      <c r="V462" s="6">
        <v>0</v>
      </c>
      <c r="W462" s="6">
        <v>0</v>
      </c>
      <c r="AI462" s="2">
        <v>2132201</v>
      </c>
      <c r="AJ462" s="2">
        <v>97694</v>
      </c>
      <c r="AK462" s="2">
        <v>95187.54</v>
      </c>
      <c r="AL462" s="2">
        <v>4361.34</v>
      </c>
      <c r="AM462" s="5">
        <v>19909.78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133793.70000000001</v>
      </c>
      <c r="AT462" s="12">
        <v>119458.65999999999</v>
      </c>
      <c r="AU462" s="2">
        <v>0</v>
      </c>
      <c r="AV462" s="5">
        <v>11149.48</v>
      </c>
      <c r="AX462" s="2">
        <v>2132201</v>
      </c>
      <c r="AY462" s="2">
        <v>97694</v>
      </c>
      <c r="AZ462" s="2">
        <v>95187.54</v>
      </c>
      <c r="BA462" s="2">
        <v>4361.34</v>
      </c>
      <c r="BB462" s="5">
        <v>19909.78</v>
      </c>
      <c r="BC462" s="12">
        <v>0</v>
      </c>
      <c r="BD462" s="2">
        <v>0</v>
      </c>
      <c r="BE462" s="2">
        <v>0</v>
      </c>
      <c r="BF462" s="2">
        <v>0</v>
      </c>
      <c r="BG462" s="5">
        <v>0</v>
      </c>
      <c r="BH462" s="2">
        <v>133793.70000000001</v>
      </c>
      <c r="BI462" s="12">
        <v>119458.65999999999</v>
      </c>
      <c r="BJ462" s="2">
        <v>0</v>
      </c>
      <c r="BK462" s="5">
        <v>11149.48</v>
      </c>
      <c r="BL462" s="1" t="s">
        <v>326</v>
      </c>
    </row>
    <row r="463" spans="1:64" x14ac:dyDescent="0.3">
      <c r="A463" t="s">
        <v>704</v>
      </c>
      <c r="B463" s="1" t="s">
        <v>704</v>
      </c>
      <c r="C463" s="9" t="s">
        <v>705</v>
      </c>
      <c r="D463" s="1" t="s">
        <v>95</v>
      </c>
      <c r="E463" s="1" t="s">
        <v>135</v>
      </c>
      <c r="F463" s="10" t="s">
        <v>435</v>
      </c>
      <c r="G463" s="1">
        <v>3.5000000000000003E-2</v>
      </c>
      <c r="H463" s="1">
        <v>0.05</v>
      </c>
      <c r="I463" s="8">
        <v>44482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0</v>
      </c>
      <c r="U463" s="6">
        <v>0</v>
      </c>
      <c r="V463" s="6">
        <v>0</v>
      </c>
      <c r="W463" s="6">
        <v>0</v>
      </c>
      <c r="AI463" s="2">
        <v>200311</v>
      </c>
      <c r="AJ463" s="2">
        <v>50790</v>
      </c>
      <c r="AK463" s="2">
        <v>8942.4599999999991</v>
      </c>
      <c r="AL463" s="2">
        <v>2267.41</v>
      </c>
      <c r="AM463" s="5">
        <v>2241.9699999999998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15066.06</v>
      </c>
      <c r="AT463" s="12">
        <v>13451.839999999998</v>
      </c>
      <c r="AU463" s="2">
        <v>0</v>
      </c>
      <c r="AV463" s="5">
        <v>1255.51</v>
      </c>
      <c r="AX463" s="2">
        <v>200311</v>
      </c>
      <c r="AY463" s="2">
        <v>50790</v>
      </c>
      <c r="AZ463" s="2">
        <v>8942.4599999999991</v>
      </c>
      <c r="BA463" s="2">
        <v>2267.41</v>
      </c>
      <c r="BB463" s="5">
        <v>2241.9699999999998</v>
      </c>
      <c r="BC463" s="12">
        <v>0</v>
      </c>
      <c r="BD463" s="2">
        <v>0</v>
      </c>
      <c r="BE463" s="2">
        <v>0</v>
      </c>
      <c r="BF463" s="2">
        <v>0</v>
      </c>
      <c r="BG463" s="5">
        <v>0</v>
      </c>
      <c r="BH463" s="2">
        <v>15066.06</v>
      </c>
      <c r="BI463" s="12">
        <v>13451.839999999998</v>
      </c>
      <c r="BJ463" s="2">
        <v>0</v>
      </c>
      <c r="BK463" s="5">
        <v>1255.51</v>
      </c>
      <c r="BL463" s="1" t="s">
        <v>137</v>
      </c>
    </row>
    <row r="464" spans="1:64" x14ac:dyDescent="0.3">
      <c r="A464" t="s">
        <v>706</v>
      </c>
      <c r="B464" s="1" t="s">
        <v>706</v>
      </c>
      <c r="C464" s="9" t="s">
        <v>707</v>
      </c>
      <c r="D464" s="1" t="s">
        <v>95</v>
      </c>
      <c r="E464" s="1" t="s">
        <v>88</v>
      </c>
      <c r="F464" s="10" t="s">
        <v>218</v>
      </c>
      <c r="G464" s="1">
        <v>3.5000000000000003E-2</v>
      </c>
      <c r="H464" s="1">
        <v>0.05</v>
      </c>
      <c r="I464" s="8">
        <v>44044</v>
      </c>
      <c r="J464" s="6">
        <v>171451</v>
      </c>
      <c r="K464" s="6">
        <v>48115</v>
      </c>
      <c r="L464" s="6">
        <v>7654.06</v>
      </c>
      <c r="M464" s="6">
        <v>2147.9899999999998</v>
      </c>
      <c r="N464" s="7">
        <v>1960.41</v>
      </c>
      <c r="O464" s="6">
        <v>-291539.39999999997</v>
      </c>
      <c r="P464" s="6">
        <v>-71847.599999999991</v>
      </c>
      <c r="Q464" s="6">
        <v>-13015.15</v>
      </c>
      <c r="R464" s="6">
        <v>-3207.48</v>
      </c>
      <c r="S464" s="7">
        <v>-3244.53</v>
      </c>
      <c r="T464" s="11">
        <v>-8629.260000000002</v>
      </c>
      <c r="U464" s="6">
        <v>-7704.7000000000007</v>
      </c>
      <c r="V464" s="6">
        <v>0</v>
      </c>
      <c r="W464" s="6">
        <v>-719.10000000000014</v>
      </c>
      <c r="AI464" s="2">
        <v>171451</v>
      </c>
      <c r="AJ464" s="2">
        <v>48115</v>
      </c>
      <c r="AK464" s="2">
        <v>7654.06</v>
      </c>
      <c r="AL464" s="2">
        <v>2147.9899999999998</v>
      </c>
      <c r="AM464" s="5">
        <v>1960.41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13173.96</v>
      </c>
      <c r="AT464" s="12">
        <v>11762.46</v>
      </c>
      <c r="AU464" s="2">
        <v>0</v>
      </c>
      <c r="AV464" s="5">
        <v>1097.83</v>
      </c>
      <c r="AX464" s="2">
        <v>0</v>
      </c>
      <c r="AY464" s="2">
        <v>0</v>
      </c>
      <c r="AZ464" s="2">
        <v>0</v>
      </c>
      <c r="BA464" s="2">
        <v>0</v>
      </c>
      <c r="BB464" s="5">
        <v>0</v>
      </c>
      <c r="BC464" s="12">
        <v>291539.39999999997</v>
      </c>
      <c r="BD464" s="2">
        <v>71847.599999999991</v>
      </c>
      <c r="BE464" s="2">
        <v>13015.15</v>
      </c>
      <c r="BF464" s="2">
        <v>3207.48</v>
      </c>
      <c r="BG464" s="5">
        <v>3244.53</v>
      </c>
      <c r="BH464" s="2">
        <v>21803.22</v>
      </c>
      <c r="BI464" s="12">
        <v>19467.16</v>
      </c>
      <c r="BJ464" s="2">
        <v>0</v>
      </c>
      <c r="BK464" s="5">
        <v>1816.93</v>
      </c>
      <c r="BL464" s="1" t="s">
        <v>90</v>
      </c>
    </row>
    <row r="465" spans="1:64" x14ac:dyDescent="0.3">
      <c r="A465" t="s">
        <v>706</v>
      </c>
      <c r="B465" s="1" t="s">
        <v>708</v>
      </c>
      <c r="C465" s="9" t="s">
        <v>709</v>
      </c>
      <c r="D465" s="1" t="s">
        <v>95</v>
      </c>
      <c r="E465" s="1" t="s">
        <v>88</v>
      </c>
      <c r="F465" s="10" t="s">
        <v>218</v>
      </c>
      <c r="G465" s="1">
        <v>0.04</v>
      </c>
      <c r="H465" s="1">
        <v>0.05</v>
      </c>
      <c r="I465" s="8">
        <v>44044</v>
      </c>
      <c r="J465" s="6">
        <v>133960</v>
      </c>
      <c r="K465" s="6">
        <v>42535</v>
      </c>
      <c r="L465" s="6">
        <v>5980.36</v>
      </c>
      <c r="M465" s="6">
        <v>1898.88</v>
      </c>
      <c r="N465" s="7">
        <v>1575.85</v>
      </c>
      <c r="O465" s="6">
        <v>-178931.40000000002</v>
      </c>
      <c r="P465" s="6">
        <v>-37781.100000000006</v>
      </c>
      <c r="Q465" s="6">
        <v>-7988.01</v>
      </c>
      <c r="R465" s="6">
        <v>-1686.66</v>
      </c>
      <c r="S465" s="7">
        <v>-1934.94</v>
      </c>
      <c r="T465" s="11">
        <v>-2413.0599999999995</v>
      </c>
      <c r="U465" s="6">
        <v>-2154.5200000000004</v>
      </c>
      <c r="V465" s="6">
        <v>0</v>
      </c>
      <c r="W465" s="6">
        <v>-201.07999999999993</v>
      </c>
      <c r="AI465" s="2">
        <v>133960</v>
      </c>
      <c r="AJ465" s="2">
        <v>42535</v>
      </c>
      <c r="AK465" s="2">
        <v>5980.36</v>
      </c>
      <c r="AL465" s="2">
        <v>1898.88</v>
      </c>
      <c r="AM465" s="5">
        <v>1575.85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10589.7</v>
      </c>
      <c r="AT465" s="12">
        <v>9455.09</v>
      </c>
      <c r="AU465" s="2">
        <v>0</v>
      </c>
      <c r="AV465" s="5">
        <v>882.48</v>
      </c>
      <c r="AX465" s="2">
        <v>0</v>
      </c>
      <c r="AY465" s="2">
        <v>0</v>
      </c>
      <c r="AZ465" s="2">
        <v>0</v>
      </c>
      <c r="BA465" s="2">
        <v>0</v>
      </c>
      <c r="BB465" s="5">
        <v>0</v>
      </c>
      <c r="BC465" s="12">
        <v>178931.40000000002</v>
      </c>
      <c r="BD465" s="2">
        <v>37781.100000000006</v>
      </c>
      <c r="BE465" s="2">
        <v>7988.01</v>
      </c>
      <c r="BF465" s="2">
        <v>1686.66</v>
      </c>
      <c r="BG465" s="5">
        <v>1934.94</v>
      </c>
      <c r="BH465" s="2">
        <v>13002.76</v>
      </c>
      <c r="BI465" s="12">
        <v>11609.61</v>
      </c>
      <c r="BJ465" s="2">
        <v>0</v>
      </c>
      <c r="BK465" s="5">
        <v>1083.56</v>
      </c>
      <c r="BL465" s="1" t="s">
        <v>90</v>
      </c>
    </row>
    <row r="466" spans="1:64" x14ac:dyDescent="0.3">
      <c r="A466" t="s">
        <v>710</v>
      </c>
      <c r="B466" s="1" t="s">
        <v>710</v>
      </c>
      <c r="C466" s="9" t="s">
        <v>711</v>
      </c>
      <c r="D466" s="1" t="s">
        <v>95</v>
      </c>
      <c r="E466" s="1" t="s">
        <v>88</v>
      </c>
      <c r="F466" s="10" t="s">
        <v>545</v>
      </c>
      <c r="G466" s="1">
        <v>3.5000000000000003E-2</v>
      </c>
      <c r="H466" s="1">
        <v>0.05</v>
      </c>
      <c r="I466" s="8">
        <v>44130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0</v>
      </c>
      <c r="AJ466" s="2">
        <v>0</v>
      </c>
      <c r="AK466" s="2">
        <v>0</v>
      </c>
      <c r="AL466" s="2">
        <v>0</v>
      </c>
      <c r="AM466" s="5">
        <v>0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0</v>
      </c>
      <c r="AT466" s="12">
        <v>0</v>
      </c>
      <c r="AU466" s="2">
        <v>0</v>
      </c>
      <c r="AV466" s="5">
        <v>0</v>
      </c>
      <c r="AX466" s="2">
        <v>0</v>
      </c>
      <c r="AY466" s="2">
        <v>0</v>
      </c>
      <c r="AZ466" s="2">
        <v>0</v>
      </c>
      <c r="BA466" s="2">
        <v>0</v>
      </c>
      <c r="BB466" s="5">
        <v>0</v>
      </c>
      <c r="BC466" s="12">
        <v>0</v>
      </c>
      <c r="BD466" s="2">
        <v>0</v>
      </c>
      <c r="BE466" s="2">
        <v>0</v>
      </c>
      <c r="BF466" s="2">
        <v>0</v>
      </c>
      <c r="BG466" s="5">
        <v>0</v>
      </c>
      <c r="BH466" s="2">
        <v>0</v>
      </c>
      <c r="BI466" s="12">
        <v>0</v>
      </c>
      <c r="BJ466" s="2">
        <v>0</v>
      </c>
      <c r="BK466" s="5">
        <v>0</v>
      </c>
      <c r="BL466" s="1" t="s">
        <v>546</v>
      </c>
    </row>
    <row r="467" spans="1:64" x14ac:dyDescent="0.3">
      <c r="A467" t="s">
        <v>712</v>
      </c>
      <c r="B467" s="1" t="s">
        <v>712</v>
      </c>
      <c r="C467" s="9" t="s">
        <v>713</v>
      </c>
      <c r="D467" s="1" t="s">
        <v>95</v>
      </c>
      <c r="E467" s="1" t="s">
        <v>135</v>
      </c>
      <c r="F467" s="10" t="s">
        <v>193</v>
      </c>
      <c r="G467" s="1">
        <v>3.5000000000000003E-2</v>
      </c>
      <c r="H467" s="1">
        <v>0.05</v>
      </c>
      <c r="I467" s="8">
        <v>44113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0</v>
      </c>
      <c r="U467" s="6">
        <v>0</v>
      </c>
      <c r="V467" s="6">
        <v>0</v>
      </c>
      <c r="W467" s="6">
        <v>0</v>
      </c>
      <c r="AI467" s="2">
        <v>432090</v>
      </c>
      <c r="AJ467" s="2">
        <v>34790</v>
      </c>
      <c r="AK467" s="2">
        <v>19289.73</v>
      </c>
      <c r="AL467" s="2">
        <v>1553.12</v>
      </c>
      <c r="AM467" s="5">
        <v>4168.57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28012.79</v>
      </c>
      <c r="AT467" s="12">
        <v>25011.42</v>
      </c>
      <c r="AU467" s="2">
        <v>0</v>
      </c>
      <c r="AV467" s="5">
        <v>2334.4</v>
      </c>
      <c r="AX467" s="2">
        <v>432090</v>
      </c>
      <c r="AY467" s="2">
        <v>34790</v>
      </c>
      <c r="AZ467" s="2">
        <v>19289.73</v>
      </c>
      <c r="BA467" s="2">
        <v>1553.12</v>
      </c>
      <c r="BB467" s="5">
        <v>4168.57</v>
      </c>
      <c r="BC467" s="12">
        <v>0</v>
      </c>
      <c r="BD467" s="2">
        <v>0</v>
      </c>
      <c r="BE467" s="2">
        <v>0</v>
      </c>
      <c r="BF467" s="2">
        <v>0</v>
      </c>
      <c r="BG467" s="5">
        <v>0</v>
      </c>
      <c r="BH467" s="2">
        <v>28012.79</v>
      </c>
      <c r="BI467" s="12">
        <v>25011.42</v>
      </c>
      <c r="BJ467" s="2">
        <v>0</v>
      </c>
      <c r="BK467" s="5">
        <v>2334.4</v>
      </c>
      <c r="BL467" s="1" t="s">
        <v>137</v>
      </c>
    </row>
    <row r="468" spans="1:64" x14ac:dyDescent="0.3">
      <c r="A468" t="s">
        <v>712</v>
      </c>
      <c r="B468" s="1" t="s">
        <v>714</v>
      </c>
      <c r="C468" s="9" t="s">
        <v>715</v>
      </c>
      <c r="D468" s="1" t="s">
        <v>95</v>
      </c>
      <c r="E468" s="1" t="s">
        <v>135</v>
      </c>
      <c r="F468" s="10" t="s">
        <v>193</v>
      </c>
      <c r="G468" s="1">
        <v>4.4999999999999998E-2</v>
      </c>
      <c r="H468" s="1">
        <v>0.05</v>
      </c>
      <c r="I468" s="8">
        <v>44113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0</v>
      </c>
      <c r="P468" s="6">
        <v>0</v>
      </c>
      <c r="Q468" s="6">
        <v>0</v>
      </c>
      <c r="R468" s="6">
        <v>0</v>
      </c>
      <c r="S468" s="7">
        <v>0</v>
      </c>
      <c r="T468" s="11">
        <v>0</v>
      </c>
      <c r="U468" s="6">
        <v>0</v>
      </c>
      <c r="V468" s="6">
        <v>0</v>
      </c>
      <c r="W468" s="6">
        <v>0</v>
      </c>
      <c r="AI468" s="2">
        <v>714507</v>
      </c>
      <c r="AJ468" s="2">
        <v>30990</v>
      </c>
      <c r="AK468" s="2">
        <v>31897.63</v>
      </c>
      <c r="AL468" s="2">
        <v>1383.48</v>
      </c>
      <c r="AM468" s="5">
        <v>6656.22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44729.81</v>
      </c>
      <c r="AT468" s="12">
        <v>39937.33</v>
      </c>
      <c r="AU468" s="2">
        <v>0</v>
      </c>
      <c r="AV468" s="5">
        <v>3727.48</v>
      </c>
      <c r="AX468" s="2">
        <v>714507</v>
      </c>
      <c r="AY468" s="2">
        <v>30990</v>
      </c>
      <c r="AZ468" s="2">
        <v>31897.63</v>
      </c>
      <c r="BA468" s="2">
        <v>1383.48</v>
      </c>
      <c r="BB468" s="5">
        <v>6656.22</v>
      </c>
      <c r="BC468" s="12">
        <v>0</v>
      </c>
      <c r="BD468" s="2">
        <v>0</v>
      </c>
      <c r="BE468" s="2">
        <v>0</v>
      </c>
      <c r="BF468" s="2">
        <v>0</v>
      </c>
      <c r="BG468" s="5">
        <v>0</v>
      </c>
      <c r="BH468" s="2">
        <v>44729.81</v>
      </c>
      <c r="BI468" s="12">
        <v>39937.33</v>
      </c>
      <c r="BJ468" s="2">
        <v>0</v>
      </c>
      <c r="BK468" s="5">
        <v>3727.48</v>
      </c>
      <c r="BL468" s="1" t="s">
        <v>137</v>
      </c>
    </row>
    <row r="469" spans="1:64" x14ac:dyDescent="0.3">
      <c r="A469" t="s">
        <v>716</v>
      </c>
      <c r="B469" s="1" t="s">
        <v>716</v>
      </c>
      <c r="C469" s="9" t="s">
        <v>717</v>
      </c>
      <c r="D469" s="1" t="s">
        <v>95</v>
      </c>
      <c r="E469" s="1" t="s">
        <v>88</v>
      </c>
      <c r="F469" s="10" t="s">
        <v>96</v>
      </c>
      <c r="G469" s="1">
        <v>0.04</v>
      </c>
      <c r="H469" s="1">
        <v>0.05</v>
      </c>
      <c r="I469" s="8">
        <v>44232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0</v>
      </c>
      <c r="P469" s="6">
        <v>0</v>
      </c>
      <c r="Q469" s="6">
        <v>0</v>
      </c>
      <c r="R469" s="6">
        <v>0</v>
      </c>
      <c r="S469" s="7">
        <v>0</v>
      </c>
      <c r="T469" s="11">
        <v>0</v>
      </c>
      <c r="U469" s="6">
        <v>0</v>
      </c>
      <c r="V469" s="6">
        <v>0</v>
      </c>
      <c r="W469" s="6">
        <v>0</v>
      </c>
      <c r="AI469" s="2">
        <v>677022.09</v>
      </c>
      <c r="AJ469" s="2">
        <v>84353</v>
      </c>
      <c r="AK469" s="2">
        <v>30224.2</v>
      </c>
      <c r="AL469" s="2">
        <v>3765.76</v>
      </c>
      <c r="AM469" s="5">
        <v>6797.99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45682.5</v>
      </c>
      <c r="AT469" s="12">
        <v>40787.949999999997</v>
      </c>
      <c r="AU469" s="2">
        <v>0</v>
      </c>
      <c r="AV469" s="5">
        <v>3806.88</v>
      </c>
      <c r="AX469" s="2">
        <v>677022.09</v>
      </c>
      <c r="AY469" s="2">
        <v>84353</v>
      </c>
      <c r="AZ469" s="2">
        <v>30224.2</v>
      </c>
      <c r="BA469" s="2">
        <v>3765.76</v>
      </c>
      <c r="BB469" s="5">
        <v>6797.99</v>
      </c>
      <c r="BC469" s="12">
        <v>0</v>
      </c>
      <c r="BD469" s="2">
        <v>0</v>
      </c>
      <c r="BE469" s="2">
        <v>0</v>
      </c>
      <c r="BF469" s="2">
        <v>0</v>
      </c>
      <c r="BG469" s="5">
        <v>0</v>
      </c>
      <c r="BH469" s="2">
        <v>45682.5</v>
      </c>
      <c r="BI469" s="12">
        <v>40787.949999999997</v>
      </c>
      <c r="BJ469" s="2">
        <v>0</v>
      </c>
      <c r="BK469" s="5">
        <v>3806.88</v>
      </c>
      <c r="BL469" s="1" t="s">
        <v>90</v>
      </c>
    </row>
    <row r="470" spans="1:64" x14ac:dyDescent="0.3">
      <c r="A470" t="s">
        <v>718</v>
      </c>
      <c r="B470" s="1" t="s">
        <v>718</v>
      </c>
      <c r="C470" s="9" t="s">
        <v>719</v>
      </c>
      <c r="D470" s="1" t="s">
        <v>95</v>
      </c>
      <c r="E470" s="1" t="s">
        <v>135</v>
      </c>
      <c r="F470" s="10" t="s">
        <v>435</v>
      </c>
      <c r="G470" s="1">
        <v>3.5000000000000003E-2</v>
      </c>
      <c r="H470" s="1">
        <v>0.05</v>
      </c>
      <c r="I470" s="8">
        <v>44328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541218</v>
      </c>
      <c r="AJ470" s="2">
        <v>89865</v>
      </c>
      <c r="AK470" s="2">
        <v>24161.52</v>
      </c>
      <c r="AL470" s="2">
        <v>4011.83</v>
      </c>
      <c r="AM470" s="5">
        <v>5634.67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37864.980000000003</v>
      </c>
      <c r="AT470" s="12">
        <v>33808.019999999997</v>
      </c>
      <c r="AU470" s="2">
        <v>0</v>
      </c>
      <c r="AV470" s="5">
        <v>3155.42</v>
      </c>
      <c r="AX470" s="2">
        <v>541218</v>
      </c>
      <c r="AY470" s="2">
        <v>89865</v>
      </c>
      <c r="AZ470" s="2">
        <v>24161.52</v>
      </c>
      <c r="BA470" s="2">
        <v>4011.83</v>
      </c>
      <c r="BB470" s="5">
        <v>5634.67</v>
      </c>
      <c r="BC470" s="12">
        <v>0</v>
      </c>
      <c r="BD470" s="2">
        <v>0</v>
      </c>
      <c r="BE470" s="2">
        <v>0</v>
      </c>
      <c r="BF470" s="2">
        <v>0</v>
      </c>
      <c r="BG470" s="5">
        <v>0</v>
      </c>
      <c r="BH470" s="2">
        <v>37864.980000000003</v>
      </c>
      <c r="BI470" s="12">
        <v>33808.019999999997</v>
      </c>
      <c r="BJ470" s="2">
        <v>0</v>
      </c>
      <c r="BK470" s="5">
        <v>3155.42</v>
      </c>
      <c r="BL470" s="1" t="s">
        <v>137</v>
      </c>
    </row>
    <row r="471" spans="1:64" x14ac:dyDescent="0.3">
      <c r="A471" t="s">
        <v>720</v>
      </c>
      <c r="B471" s="1" t="s">
        <v>720</v>
      </c>
      <c r="C471" s="9" t="s">
        <v>721</v>
      </c>
      <c r="D471" s="1" t="s">
        <v>95</v>
      </c>
      <c r="E471" s="1" t="s">
        <v>88</v>
      </c>
      <c r="F471" s="10" t="s">
        <v>534</v>
      </c>
      <c r="G471" s="1">
        <v>0.04</v>
      </c>
      <c r="H471" s="1">
        <v>0.05</v>
      </c>
      <c r="I471" s="8">
        <v>44313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0</v>
      </c>
      <c r="U471" s="6">
        <v>0</v>
      </c>
      <c r="V471" s="6">
        <v>0</v>
      </c>
      <c r="W471" s="6">
        <v>0</v>
      </c>
      <c r="AI471" s="2">
        <v>549505</v>
      </c>
      <c r="AJ471" s="2">
        <v>66913</v>
      </c>
      <c r="AK471" s="2">
        <v>24531.47</v>
      </c>
      <c r="AL471" s="2">
        <v>2987.19</v>
      </c>
      <c r="AM471" s="5">
        <v>5503.73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36985.08</v>
      </c>
      <c r="AT471" s="12">
        <v>33022.39</v>
      </c>
      <c r="AU471" s="2">
        <v>0</v>
      </c>
      <c r="AV471" s="5">
        <v>3082.09</v>
      </c>
      <c r="AX471" s="2">
        <v>549505</v>
      </c>
      <c r="AY471" s="2">
        <v>66913</v>
      </c>
      <c r="AZ471" s="2">
        <v>24531.47</v>
      </c>
      <c r="BA471" s="2">
        <v>2987.19</v>
      </c>
      <c r="BB471" s="5">
        <v>5503.73</v>
      </c>
      <c r="BC471" s="12">
        <v>0</v>
      </c>
      <c r="BD471" s="2">
        <v>0</v>
      </c>
      <c r="BE471" s="2">
        <v>0</v>
      </c>
      <c r="BF471" s="2">
        <v>0</v>
      </c>
      <c r="BG471" s="5">
        <v>0</v>
      </c>
      <c r="BH471" s="2">
        <v>36985.08</v>
      </c>
      <c r="BI471" s="12">
        <v>33022.39</v>
      </c>
      <c r="BJ471" s="2">
        <v>0</v>
      </c>
      <c r="BK471" s="5">
        <v>3082.09</v>
      </c>
      <c r="BL471" s="1" t="s">
        <v>90</v>
      </c>
    </row>
    <row r="472" spans="1:64" x14ac:dyDescent="0.3">
      <c r="A472" t="s">
        <v>720</v>
      </c>
      <c r="B472" s="1" t="s">
        <v>722</v>
      </c>
      <c r="C472" s="9" t="s">
        <v>723</v>
      </c>
      <c r="D472" s="1" t="s">
        <v>95</v>
      </c>
      <c r="E472" s="1" t="s">
        <v>88</v>
      </c>
      <c r="F472" s="10" t="s">
        <v>534</v>
      </c>
      <c r="G472" s="1">
        <v>0.04</v>
      </c>
      <c r="H472" s="1">
        <v>0.05</v>
      </c>
      <c r="I472" s="8">
        <v>44313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0</v>
      </c>
      <c r="U472" s="6">
        <v>0</v>
      </c>
      <c r="V472" s="6">
        <v>0</v>
      </c>
      <c r="W472" s="6">
        <v>0</v>
      </c>
      <c r="AI472" s="2">
        <v>552802</v>
      </c>
      <c r="AJ472" s="2">
        <v>48191</v>
      </c>
      <c r="AK472" s="2">
        <v>24678.66</v>
      </c>
      <c r="AL472" s="2">
        <v>2151.38</v>
      </c>
      <c r="AM472" s="5">
        <v>5366.01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36059.58</v>
      </c>
      <c r="AT472" s="12">
        <v>32196.050000000003</v>
      </c>
      <c r="AU472" s="2">
        <v>0</v>
      </c>
      <c r="AV472" s="5">
        <v>3004.96</v>
      </c>
      <c r="AX472" s="2">
        <v>552802</v>
      </c>
      <c r="AY472" s="2">
        <v>48191</v>
      </c>
      <c r="AZ472" s="2">
        <v>24678.66</v>
      </c>
      <c r="BA472" s="2">
        <v>2151.38</v>
      </c>
      <c r="BB472" s="5">
        <v>5366.01</v>
      </c>
      <c r="BC472" s="12">
        <v>0</v>
      </c>
      <c r="BD472" s="2">
        <v>0</v>
      </c>
      <c r="BE472" s="2">
        <v>0</v>
      </c>
      <c r="BF472" s="2">
        <v>0</v>
      </c>
      <c r="BG472" s="5">
        <v>0</v>
      </c>
      <c r="BH472" s="2">
        <v>36059.58</v>
      </c>
      <c r="BI472" s="12">
        <v>32196.050000000003</v>
      </c>
      <c r="BJ472" s="2">
        <v>0</v>
      </c>
      <c r="BK472" s="5">
        <v>3004.96</v>
      </c>
      <c r="BL472" s="1" t="s">
        <v>90</v>
      </c>
    </row>
    <row r="473" spans="1:64" x14ac:dyDescent="0.3">
      <c r="A473" t="s">
        <v>720</v>
      </c>
      <c r="B473" s="1" t="s">
        <v>724</v>
      </c>
      <c r="C473" s="9" t="s">
        <v>725</v>
      </c>
      <c r="D473" s="1" t="s">
        <v>95</v>
      </c>
      <c r="E473" s="1" t="s">
        <v>88</v>
      </c>
      <c r="F473" s="10" t="s">
        <v>534</v>
      </c>
      <c r="G473" s="1">
        <v>0</v>
      </c>
      <c r="H473" s="1">
        <v>0.05</v>
      </c>
      <c r="I473" s="8">
        <v>45047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0</v>
      </c>
      <c r="U473" s="6">
        <v>0</v>
      </c>
      <c r="V473" s="6">
        <v>0</v>
      </c>
      <c r="W473" s="6">
        <v>0</v>
      </c>
      <c r="AI473" s="2">
        <v>110223</v>
      </c>
      <c r="AJ473" s="2">
        <v>10055</v>
      </c>
      <c r="AK473" s="2">
        <v>4920.67</v>
      </c>
      <c r="AL473" s="2">
        <v>448.88</v>
      </c>
      <c r="AM473" s="5">
        <v>1073.9100000000001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7216.68</v>
      </c>
      <c r="AT473" s="12">
        <v>6443.46</v>
      </c>
      <c r="AU473" s="2">
        <v>0</v>
      </c>
      <c r="AV473" s="5">
        <v>601.39</v>
      </c>
      <c r="AX473" s="2">
        <v>110223</v>
      </c>
      <c r="AY473" s="2">
        <v>10055</v>
      </c>
      <c r="AZ473" s="2">
        <v>4920.67</v>
      </c>
      <c r="BA473" s="2">
        <v>448.88</v>
      </c>
      <c r="BB473" s="5">
        <v>1073.9100000000001</v>
      </c>
      <c r="BC473" s="12">
        <v>0</v>
      </c>
      <c r="BD473" s="2">
        <v>0</v>
      </c>
      <c r="BE473" s="2">
        <v>0</v>
      </c>
      <c r="BF473" s="2">
        <v>0</v>
      </c>
      <c r="BG473" s="5">
        <v>0</v>
      </c>
      <c r="BH473" s="2">
        <v>7216.68</v>
      </c>
      <c r="BI473" s="12">
        <v>6443.46</v>
      </c>
      <c r="BJ473" s="2">
        <v>0</v>
      </c>
      <c r="BK473" s="5">
        <v>601.39</v>
      </c>
      <c r="BL473" s="1" t="s">
        <v>90</v>
      </c>
    </row>
    <row r="474" spans="1:64" x14ac:dyDescent="0.3">
      <c r="A474" t="s">
        <v>720</v>
      </c>
      <c r="B474" s="1" t="s">
        <v>726</v>
      </c>
      <c r="C474" s="9" t="s">
        <v>727</v>
      </c>
      <c r="D474" s="1" t="s">
        <v>95</v>
      </c>
      <c r="E474" s="1" t="s">
        <v>88</v>
      </c>
      <c r="F474" s="10" t="s">
        <v>534</v>
      </c>
      <c r="G474" s="1">
        <v>0</v>
      </c>
      <c r="H474" s="1">
        <v>0.05</v>
      </c>
      <c r="I474" s="8">
        <v>45047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0</v>
      </c>
      <c r="U474" s="6">
        <v>0</v>
      </c>
      <c r="V474" s="6">
        <v>0</v>
      </c>
      <c r="W474" s="6">
        <v>0</v>
      </c>
      <c r="AI474" s="2">
        <v>138825</v>
      </c>
      <c r="AJ474" s="2">
        <v>24540</v>
      </c>
      <c r="AK474" s="2">
        <v>6197.54</v>
      </c>
      <c r="AL474" s="2">
        <v>1095.54</v>
      </c>
      <c r="AM474" s="5">
        <v>1458.62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9801.9</v>
      </c>
      <c r="AT474" s="12">
        <v>8751.7000000000007</v>
      </c>
      <c r="AU474" s="2">
        <v>0</v>
      </c>
      <c r="AV474" s="5">
        <v>816.82</v>
      </c>
      <c r="AX474" s="2">
        <v>138825</v>
      </c>
      <c r="AY474" s="2">
        <v>24540</v>
      </c>
      <c r="AZ474" s="2">
        <v>6197.54</v>
      </c>
      <c r="BA474" s="2">
        <v>1095.54</v>
      </c>
      <c r="BB474" s="5">
        <v>1458.62</v>
      </c>
      <c r="BC474" s="12">
        <v>0</v>
      </c>
      <c r="BD474" s="2">
        <v>0</v>
      </c>
      <c r="BE474" s="2">
        <v>0</v>
      </c>
      <c r="BF474" s="2">
        <v>0</v>
      </c>
      <c r="BG474" s="5">
        <v>0</v>
      </c>
      <c r="BH474" s="2">
        <v>9801.9</v>
      </c>
      <c r="BI474" s="12">
        <v>8751.7000000000007</v>
      </c>
      <c r="BJ474" s="2">
        <v>0</v>
      </c>
      <c r="BK474" s="5">
        <v>816.82</v>
      </c>
      <c r="BL474" s="1" t="s">
        <v>90</v>
      </c>
    </row>
    <row r="475" spans="1:64" x14ac:dyDescent="0.3">
      <c r="A475" t="s">
        <v>720</v>
      </c>
      <c r="B475" s="1" t="s">
        <v>728</v>
      </c>
      <c r="C475" s="9" t="s">
        <v>729</v>
      </c>
      <c r="D475" s="1" t="s">
        <v>95</v>
      </c>
      <c r="E475" s="1" t="s">
        <v>88</v>
      </c>
      <c r="F475" s="10" t="s">
        <v>534</v>
      </c>
      <c r="G475" s="1">
        <v>0</v>
      </c>
      <c r="H475" s="1">
        <v>0.05</v>
      </c>
      <c r="I475" s="8">
        <v>45275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0</v>
      </c>
      <c r="U475" s="6">
        <v>0</v>
      </c>
      <c r="V475" s="6">
        <v>0</v>
      </c>
      <c r="W475" s="6">
        <v>0</v>
      </c>
      <c r="AI475" s="2">
        <v>221937</v>
      </c>
      <c r="AJ475" s="2">
        <v>38248</v>
      </c>
      <c r="AK475" s="2">
        <v>9907.9</v>
      </c>
      <c r="AL475" s="2">
        <v>1707.5</v>
      </c>
      <c r="AM475" s="5">
        <v>2323.08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15611.1</v>
      </c>
      <c r="AT475" s="12">
        <v>13938.48</v>
      </c>
      <c r="AU475" s="2">
        <v>0</v>
      </c>
      <c r="AV475" s="5">
        <v>1300.92</v>
      </c>
      <c r="AX475" s="2">
        <v>221937</v>
      </c>
      <c r="AY475" s="2">
        <v>38248</v>
      </c>
      <c r="AZ475" s="2">
        <v>9907.9</v>
      </c>
      <c r="BA475" s="2">
        <v>1707.5</v>
      </c>
      <c r="BB475" s="5">
        <v>2323.08</v>
      </c>
      <c r="BC475" s="12">
        <v>0</v>
      </c>
      <c r="BD475" s="2">
        <v>0</v>
      </c>
      <c r="BE475" s="2">
        <v>0</v>
      </c>
      <c r="BF475" s="2">
        <v>0</v>
      </c>
      <c r="BG475" s="5">
        <v>0</v>
      </c>
      <c r="BH475" s="2">
        <v>15611.1</v>
      </c>
      <c r="BI475" s="12">
        <v>13938.48</v>
      </c>
      <c r="BJ475" s="2">
        <v>0</v>
      </c>
      <c r="BK475" s="5">
        <v>1300.92</v>
      </c>
      <c r="BL475" s="1" t="s">
        <v>90</v>
      </c>
    </row>
    <row r="476" spans="1:64" x14ac:dyDescent="0.3">
      <c r="A476" t="s">
        <v>720</v>
      </c>
      <c r="B476" s="1" t="s">
        <v>730</v>
      </c>
      <c r="C476" s="9" t="s">
        <v>731</v>
      </c>
      <c r="D476" s="1" t="s">
        <v>95</v>
      </c>
      <c r="E476" s="1" t="s">
        <v>88</v>
      </c>
      <c r="F476" s="10" t="s">
        <v>534</v>
      </c>
      <c r="G476" s="1">
        <v>0</v>
      </c>
      <c r="H476" s="1">
        <v>0.05</v>
      </c>
      <c r="I476" s="8">
        <v>45383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0</v>
      </c>
      <c r="U476" s="6">
        <v>0</v>
      </c>
      <c r="V476" s="6">
        <v>0</v>
      </c>
      <c r="W476" s="6">
        <v>0</v>
      </c>
      <c r="AI476" s="2">
        <v>283680</v>
      </c>
      <c r="AJ476" s="2">
        <v>41394</v>
      </c>
      <c r="AK476" s="2">
        <v>12664.29</v>
      </c>
      <c r="AL476" s="2">
        <v>1847.95</v>
      </c>
      <c r="AM476" s="5">
        <v>2902.45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19504.45</v>
      </c>
      <c r="AT476" s="12">
        <v>17414.690000000002</v>
      </c>
      <c r="AU476" s="2">
        <v>0</v>
      </c>
      <c r="AV476" s="5">
        <v>1625.37</v>
      </c>
      <c r="AX476" s="2">
        <v>283680</v>
      </c>
      <c r="AY476" s="2">
        <v>41394</v>
      </c>
      <c r="AZ476" s="2">
        <v>12664.29</v>
      </c>
      <c r="BA476" s="2">
        <v>1847.95</v>
      </c>
      <c r="BB476" s="5">
        <v>2902.45</v>
      </c>
      <c r="BC476" s="12">
        <v>0</v>
      </c>
      <c r="BD476" s="2">
        <v>0</v>
      </c>
      <c r="BE476" s="2">
        <v>0</v>
      </c>
      <c r="BF476" s="2">
        <v>0</v>
      </c>
      <c r="BG476" s="5">
        <v>0</v>
      </c>
      <c r="BH476" s="2">
        <v>19504.45</v>
      </c>
      <c r="BI476" s="12">
        <v>17414.690000000002</v>
      </c>
      <c r="BJ476" s="2">
        <v>0</v>
      </c>
      <c r="BK476" s="5">
        <v>1625.37</v>
      </c>
      <c r="BL476" s="1" t="s">
        <v>90</v>
      </c>
    </row>
    <row r="477" spans="1:64" x14ac:dyDescent="0.3">
      <c r="A477" t="s">
        <v>720</v>
      </c>
      <c r="B477" s="1" t="s">
        <v>732</v>
      </c>
      <c r="C477" s="9" t="s">
        <v>733</v>
      </c>
      <c r="D477" s="1" t="s">
        <v>95</v>
      </c>
      <c r="E477" s="1" t="s">
        <v>88</v>
      </c>
      <c r="F477" s="10" t="s">
        <v>534</v>
      </c>
      <c r="G477" s="1">
        <v>0</v>
      </c>
      <c r="H477" s="1">
        <v>0.05</v>
      </c>
      <c r="I477" s="8">
        <v>45656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0</v>
      </c>
      <c r="U477" s="6">
        <v>0</v>
      </c>
      <c r="V477" s="6">
        <v>0</v>
      </c>
      <c r="W477" s="6">
        <v>0</v>
      </c>
      <c r="AI477" s="2">
        <v>171067</v>
      </c>
      <c r="AJ477" s="2">
        <v>29507</v>
      </c>
      <c r="AK477" s="2">
        <v>7636.92</v>
      </c>
      <c r="AL477" s="2">
        <v>1317.28</v>
      </c>
      <c r="AM477" s="5">
        <v>1790.84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12034.44</v>
      </c>
      <c r="AT477" s="12">
        <v>10745.04</v>
      </c>
      <c r="AU477" s="2">
        <v>0</v>
      </c>
      <c r="AV477" s="5">
        <v>1002.87</v>
      </c>
      <c r="AX477" s="2">
        <v>171067</v>
      </c>
      <c r="AY477" s="2">
        <v>29507</v>
      </c>
      <c r="AZ477" s="2">
        <v>7636.92</v>
      </c>
      <c r="BA477" s="2">
        <v>1317.28</v>
      </c>
      <c r="BB477" s="5">
        <v>1790.84</v>
      </c>
      <c r="BC477" s="12">
        <v>0</v>
      </c>
      <c r="BD477" s="2">
        <v>0</v>
      </c>
      <c r="BE477" s="2">
        <v>0</v>
      </c>
      <c r="BF477" s="2">
        <v>0</v>
      </c>
      <c r="BG477" s="5">
        <v>0</v>
      </c>
      <c r="BH477" s="2">
        <v>12034.44</v>
      </c>
      <c r="BI477" s="12">
        <v>10745.04</v>
      </c>
      <c r="BJ477" s="2">
        <v>0</v>
      </c>
      <c r="BK477" s="5">
        <v>1002.87</v>
      </c>
      <c r="BL477" s="1" t="s">
        <v>90</v>
      </c>
    </row>
    <row r="478" spans="1:64" x14ac:dyDescent="0.3">
      <c r="A478" t="s">
        <v>720</v>
      </c>
      <c r="B478" s="1" t="s">
        <v>734</v>
      </c>
      <c r="C478" s="9" t="s">
        <v>735</v>
      </c>
      <c r="D478" s="1" t="s">
        <v>95</v>
      </c>
      <c r="E478" s="1" t="s">
        <v>88</v>
      </c>
      <c r="F478" s="10" t="s">
        <v>534</v>
      </c>
      <c r="G478" s="1">
        <v>0</v>
      </c>
      <c r="H478" s="1">
        <v>0.05</v>
      </c>
      <c r="I478" s="8">
        <v>45710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0</v>
      </c>
      <c r="U478" s="6">
        <v>0</v>
      </c>
      <c r="V478" s="6">
        <v>0</v>
      </c>
      <c r="W478" s="6">
        <v>0</v>
      </c>
      <c r="AI478" s="2">
        <v>290062</v>
      </c>
      <c r="AJ478" s="2">
        <v>37254</v>
      </c>
      <c r="AK478" s="2">
        <v>12949.2</v>
      </c>
      <c r="AL478" s="2">
        <v>1663.12</v>
      </c>
      <c r="AM478" s="5">
        <v>2922.46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19638.95</v>
      </c>
      <c r="AT478" s="12">
        <v>17534.78</v>
      </c>
      <c r="AU478" s="2">
        <v>0</v>
      </c>
      <c r="AV478" s="5">
        <v>1636.58</v>
      </c>
      <c r="AX478" s="2">
        <v>290062</v>
      </c>
      <c r="AY478" s="2">
        <v>37254</v>
      </c>
      <c r="AZ478" s="2">
        <v>12949.2</v>
      </c>
      <c r="BA478" s="2">
        <v>1663.12</v>
      </c>
      <c r="BB478" s="5">
        <v>2922.46</v>
      </c>
      <c r="BC478" s="12">
        <v>0</v>
      </c>
      <c r="BD478" s="2">
        <v>0</v>
      </c>
      <c r="BE478" s="2">
        <v>0</v>
      </c>
      <c r="BF478" s="2">
        <v>0</v>
      </c>
      <c r="BG478" s="5">
        <v>0</v>
      </c>
      <c r="BH478" s="2">
        <v>19638.95</v>
      </c>
      <c r="BI478" s="12">
        <v>17534.78</v>
      </c>
      <c r="BJ478" s="2">
        <v>0</v>
      </c>
      <c r="BK478" s="5">
        <v>1636.58</v>
      </c>
      <c r="BL478" s="1" t="s">
        <v>90</v>
      </c>
    </row>
    <row r="479" spans="1:64" x14ac:dyDescent="0.3">
      <c r="A479" t="s">
        <v>720</v>
      </c>
      <c r="B479" s="1" t="s">
        <v>736</v>
      </c>
      <c r="C479" s="9" t="s">
        <v>737</v>
      </c>
      <c r="D479" s="1" t="s">
        <v>95</v>
      </c>
      <c r="E479" s="1" t="s">
        <v>88</v>
      </c>
      <c r="F479" s="10" t="s">
        <v>534</v>
      </c>
      <c r="G479" s="1">
        <v>0</v>
      </c>
      <c r="H479" s="1">
        <v>0.05</v>
      </c>
      <c r="I479" s="8">
        <v>0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0</v>
      </c>
      <c r="AJ479" s="2">
        <v>0</v>
      </c>
      <c r="AK479" s="2">
        <v>0</v>
      </c>
      <c r="AL479" s="2">
        <v>0</v>
      </c>
      <c r="AM479" s="5">
        <v>0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0</v>
      </c>
      <c r="AT479" s="12">
        <v>0</v>
      </c>
      <c r="AU479" s="2">
        <v>0</v>
      </c>
      <c r="AV479" s="5">
        <v>0</v>
      </c>
      <c r="AX479" s="2">
        <v>0</v>
      </c>
      <c r="AY479" s="2">
        <v>0</v>
      </c>
      <c r="AZ479" s="2">
        <v>0</v>
      </c>
      <c r="BA479" s="2">
        <v>0</v>
      </c>
      <c r="BB479" s="5">
        <v>0</v>
      </c>
      <c r="BC479" s="12">
        <v>0</v>
      </c>
      <c r="BD479" s="2">
        <v>0</v>
      </c>
      <c r="BE479" s="2">
        <v>0</v>
      </c>
      <c r="BF479" s="2">
        <v>0</v>
      </c>
      <c r="BG479" s="5">
        <v>0</v>
      </c>
      <c r="BH479" s="2">
        <v>0</v>
      </c>
      <c r="BI479" s="12">
        <v>0</v>
      </c>
      <c r="BJ479" s="2">
        <v>0</v>
      </c>
      <c r="BK479" s="5">
        <v>0</v>
      </c>
      <c r="BL479" s="1" t="s">
        <v>90</v>
      </c>
    </row>
    <row r="480" spans="1:64" x14ac:dyDescent="0.3">
      <c r="A480" t="s">
        <v>720</v>
      </c>
      <c r="B480" s="1" t="s">
        <v>738</v>
      </c>
      <c r="C480" s="9" t="s">
        <v>739</v>
      </c>
      <c r="D480" s="1" t="s">
        <v>95</v>
      </c>
      <c r="E480" s="1" t="s">
        <v>88</v>
      </c>
      <c r="F480" s="10" t="s">
        <v>534</v>
      </c>
      <c r="G480" s="1">
        <v>0</v>
      </c>
      <c r="H480" s="1">
        <v>0.05</v>
      </c>
      <c r="I480" s="8">
        <v>45743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3399.33</v>
      </c>
      <c r="T480" s="11">
        <v>3807.25</v>
      </c>
      <c r="U480" s="6">
        <v>3399.3299999999981</v>
      </c>
      <c r="V480" s="6">
        <v>0</v>
      </c>
      <c r="W480" s="6">
        <v>0</v>
      </c>
      <c r="AI480" s="2">
        <v>0</v>
      </c>
      <c r="AJ480" s="2">
        <v>0</v>
      </c>
      <c r="AK480" s="2">
        <v>0</v>
      </c>
      <c r="AL480" s="2">
        <v>0</v>
      </c>
      <c r="AM480" s="5">
        <v>0</v>
      </c>
      <c r="AN480" s="12">
        <v>380725.2</v>
      </c>
      <c r="AO480" s="2">
        <v>0</v>
      </c>
      <c r="AP480" s="2">
        <v>16996.66</v>
      </c>
      <c r="AQ480" s="2">
        <v>0</v>
      </c>
      <c r="AR480" s="5">
        <v>3399.33</v>
      </c>
      <c r="AS480" s="2">
        <v>22843.51</v>
      </c>
      <c r="AT480" s="12">
        <v>20395.989999999998</v>
      </c>
      <c r="AU480" s="2">
        <v>0</v>
      </c>
      <c r="AV480" s="5">
        <v>1903.63</v>
      </c>
      <c r="AX480" s="2">
        <v>0</v>
      </c>
      <c r="AY480" s="2">
        <v>0</v>
      </c>
      <c r="AZ480" s="2">
        <v>0</v>
      </c>
      <c r="BA480" s="2">
        <v>0</v>
      </c>
      <c r="BB480" s="5">
        <v>0</v>
      </c>
      <c r="BC480" s="12">
        <v>380725.2</v>
      </c>
      <c r="BD480" s="2">
        <v>0</v>
      </c>
      <c r="BE480" s="2">
        <v>16996.66</v>
      </c>
      <c r="BF480" s="2">
        <v>0</v>
      </c>
      <c r="BG480" s="5">
        <v>0</v>
      </c>
      <c r="BH480" s="2">
        <v>19036.259999999998</v>
      </c>
      <c r="BI480" s="12">
        <v>16996.66</v>
      </c>
      <c r="BJ480" s="2">
        <v>0</v>
      </c>
      <c r="BK480" s="5">
        <v>1903.63</v>
      </c>
      <c r="BL480" s="1" t="s">
        <v>90</v>
      </c>
    </row>
    <row r="481" spans="1:64" x14ac:dyDescent="0.3">
      <c r="A481" t="s">
        <v>757</v>
      </c>
      <c r="B481" s="1" t="s">
        <v>757</v>
      </c>
      <c r="C481" s="9" t="s">
        <v>758</v>
      </c>
      <c r="D481" s="1" t="s">
        <v>95</v>
      </c>
      <c r="E481" s="1" t="s">
        <v>135</v>
      </c>
      <c r="F481" s="10" t="s">
        <v>136</v>
      </c>
      <c r="G481" s="1">
        <v>3.5000000000000003E-2</v>
      </c>
      <c r="H481" s="1">
        <v>0.05</v>
      </c>
      <c r="I481" s="8">
        <v>45608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0</v>
      </c>
      <c r="U481" s="6">
        <v>0</v>
      </c>
      <c r="V481" s="6">
        <v>0</v>
      </c>
      <c r="W481" s="6">
        <v>0</v>
      </c>
      <c r="AI481" s="2">
        <v>601821.15</v>
      </c>
      <c r="AJ481" s="2">
        <v>86116</v>
      </c>
      <c r="AK481" s="2">
        <v>26867.02</v>
      </c>
      <c r="AL481" s="2">
        <v>3844.46</v>
      </c>
      <c r="AM481" s="5">
        <v>6142.29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41276.22</v>
      </c>
      <c r="AT481" s="12">
        <v>36853.769999999997</v>
      </c>
      <c r="AU481" s="2">
        <v>0</v>
      </c>
      <c r="AV481" s="5">
        <v>3439.69</v>
      </c>
      <c r="AX481" s="2">
        <v>601821.15</v>
      </c>
      <c r="AY481" s="2">
        <v>86116</v>
      </c>
      <c r="AZ481" s="2">
        <v>26867.02</v>
      </c>
      <c r="BA481" s="2">
        <v>3844.46</v>
      </c>
      <c r="BB481" s="5">
        <v>6142.29</v>
      </c>
      <c r="BC481" s="12">
        <v>0</v>
      </c>
      <c r="BD481" s="2">
        <v>0</v>
      </c>
      <c r="BE481" s="2">
        <v>0</v>
      </c>
      <c r="BF481" s="2">
        <v>0</v>
      </c>
      <c r="BG481" s="5">
        <v>0</v>
      </c>
      <c r="BH481" s="2">
        <v>41276.22</v>
      </c>
      <c r="BI481" s="12">
        <v>36853.769999999997</v>
      </c>
      <c r="BJ481" s="2">
        <v>0</v>
      </c>
      <c r="BK481" s="5">
        <v>3439.69</v>
      </c>
      <c r="BL481" s="1" t="s">
        <v>137</v>
      </c>
    </row>
    <row r="482" spans="1:64" x14ac:dyDescent="0.3">
      <c r="A482" t="s">
        <v>757</v>
      </c>
      <c r="B482" s="1" t="s">
        <v>759</v>
      </c>
      <c r="C482" s="9" t="s">
        <v>760</v>
      </c>
      <c r="D482" s="1" t="s">
        <v>95</v>
      </c>
      <c r="E482" s="1" t="s">
        <v>135</v>
      </c>
      <c r="F482" s="10" t="s">
        <v>136</v>
      </c>
      <c r="G482" s="1">
        <v>3.5000000000000003E-2</v>
      </c>
      <c r="H482" s="1">
        <v>0.05</v>
      </c>
      <c r="I482" s="8">
        <v>45608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0</v>
      </c>
      <c r="U482" s="6">
        <v>0</v>
      </c>
      <c r="V482" s="6">
        <v>0</v>
      </c>
      <c r="W482" s="6">
        <v>0</v>
      </c>
      <c r="AI482" s="2">
        <v>528294</v>
      </c>
      <c r="AJ482" s="2">
        <v>90760</v>
      </c>
      <c r="AK482" s="2">
        <v>23584.55</v>
      </c>
      <c r="AL482" s="2">
        <v>4051.79</v>
      </c>
      <c r="AM482" s="5">
        <v>5527.27</v>
      </c>
      <c r="AN482" s="12">
        <v>0</v>
      </c>
      <c r="AO482" s="2">
        <v>0</v>
      </c>
      <c r="AP482" s="2">
        <v>0</v>
      </c>
      <c r="AQ482" s="2">
        <v>0</v>
      </c>
      <c r="AR482" s="5">
        <v>0</v>
      </c>
      <c r="AS482" s="2">
        <v>37143.24</v>
      </c>
      <c r="AT482" s="12">
        <v>33163.61</v>
      </c>
      <c r="AU482" s="2">
        <v>0</v>
      </c>
      <c r="AV482" s="5">
        <v>3095.27</v>
      </c>
      <c r="AX482" s="2">
        <v>528294</v>
      </c>
      <c r="AY482" s="2">
        <v>90760</v>
      </c>
      <c r="AZ482" s="2">
        <v>23584.55</v>
      </c>
      <c r="BA482" s="2">
        <v>4051.79</v>
      </c>
      <c r="BB482" s="5">
        <v>5527.27</v>
      </c>
      <c r="BC482" s="12">
        <v>0</v>
      </c>
      <c r="BD482" s="2">
        <v>0</v>
      </c>
      <c r="BE482" s="2">
        <v>0</v>
      </c>
      <c r="BF482" s="2">
        <v>0</v>
      </c>
      <c r="BG482" s="5">
        <v>0</v>
      </c>
      <c r="BH482" s="2">
        <v>37143.24</v>
      </c>
      <c r="BI482" s="12">
        <v>33163.61</v>
      </c>
      <c r="BJ482" s="2">
        <v>0</v>
      </c>
      <c r="BK482" s="5">
        <v>3095.27</v>
      </c>
      <c r="BL482" s="1" t="s">
        <v>137</v>
      </c>
    </row>
    <row r="483" spans="1:64" x14ac:dyDescent="0.3">
      <c r="A483" t="s">
        <v>757</v>
      </c>
      <c r="B483" s="1" t="s">
        <v>761</v>
      </c>
      <c r="C483" s="9" t="s">
        <v>762</v>
      </c>
      <c r="D483" s="1" t="s">
        <v>95</v>
      </c>
      <c r="E483" s="1" t="s">
        <v>135</v>
      </c>
      <c r="F483" s="10" t="s">
        <v>136</v>
      </c>
      <c r="G483" s="1">
        <v>0</v>
      </c>
      <c r="H483" s="1">
        <v>0.05</v>
      </c>
      <c r="I483" s="8">
        <v>45608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622320</v>
      </c>
      <c r="AJ483" s="2">
        <v>36478</v>
      </c>
      <c r="AK483" s="2">
        <v>27782.14</v>
      </c>
      <c r="AL483" s="2">
        <v>1628.48</v>
      </c>
      <c r="AM483" s="5">
        <v>5882.12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39527.870000000003</v>
      </c>
      <c r="AT483" s="12">
        <v>35292.74</v>
      </c>
      <c r="AU483" s="2">
        <v>0</v>
      </c>
      <c r="AV483" s="5">
        <v>3293.99</v>
      </c>
      <c r="AX483" s="2">
        <v>622320</v>
      </c>
      <c r="AY483" s="2">
        <v>36478</v>
      </c>
      <c r="AZ483" s="2">
        <v>27782.14</v>
      </c>
      <c r="BA483" s="2">
        <v>1628.48</v>
      </c>
      <c r="BB483" s="5">
        <v>5882.12</v>
      </c>
      <c r="BC483" s="12">
        <v>0</v>
      </c>
      <c r="BD483" s="2">
        <v>0</v>
      </c>
      <c r="BE483" s="2">
        <v>0</v>
      </c>
      <c r="BF483" s="2">
        <v>0</v>
      </c>
      <c r="BG483" s="5">
        <v>0</v>
      </c>
      <c r="BH483" s="2">
        <v>39527.870000000003</v>
      </c>
      <c r="BI483" s="12">
        <v>35292.74</v>
      </c>
      <c r="BJ483" s="2">
        <v>0</v>
      </c>
      <c r="BK483" s="5">
        <v>3293.99</v>
      </c>
      <c r="BL483" s="1" t="s">
        <v>137</v>
      </c>
    </row>
    <row r="484" spans="1:64" x14ac:dyDescent="0.3">
      <c r="A484" t="s">
        <v>767</v>
      </c>
      <c r="B484" s="1" t="s">
        <v>767</v>
      </c>
      <c r="C484" s="9" t="s">
        <v>768</v>
      </c>
      <c r="D484" s="1" t="s">
        <v>95</v>
      </c>
      <c r="E484" s="1" t="s">
        <v>135</v>
      </c>
      <c r="F484" s="10" t="s">
        <v>435</v>
      </c>
      <c r="G484" s="1">
        <v>3.5000000000000003E-2</v>
      </c>
      <c r="H484" s="1">
        <v>0.05</v>
      </c>
      <c r="I484" s="8">
        <v>44644</v>
      </c>
      <c r="J484" s="6">
        <v>625817</v>
      </c>
      <c r="K484" s="6">
        <v>284136</v>
      </c>
      <c r="L484" s="6">
        <v>27938.26</v>
      </c>
      <c r="M484" s="6">
        <v>12684.64</v>
      </c>
      <c r="N484" s="7">
        <v>8124.58</v>
      </c>
      <c r="O484" s="6">
        <v>-889851</v>
      </c>
      <c r="P484" s="6">
        <v>-202441.19999999998</v>
      </c>
      <c r="Q484" s="6">
        <v>-39725.49</v>
      </c>
      <c r="R484" s="6">
        <v>-9037.5499999999993</v>
      </c>
      <c r="S484" s="7">
        <v>-9752.61</v>
      </c>
      <c r="T484" s="11">
        <v>-10940.349999999999</v>
      </c>
      <c r="U484" s="6">
        <v>-9768.1699999999983</v>
      </c>
      <c r="V484" s="6">
        <v>0</v>
      </c>
      <c r="W484" s="6">
        <v>-911.6899999999996</v>
      </c>
      <c r="AI484" s="2">
        <v>625817</v>
      </c>
      <c r="AJ484" s="2">
        <v>284136</v>
      </c>
      <c r="AK484" s="2">
        <v>27938.26</v>
      </c>
      <c r="AL484" s="2">
        <v>12684.64</v>
      </c>
      <c r="AM484" s="5">
        <v>8124.58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54597.18</v>
      </c>
      <c r="AT484" s="12">
        <v>48747.479999999996</v>
      </c>
      <c r="AU484" s="2">
        <v>0</v>
      </c>
      <c r="AV484" s="5">
        <v>4549.7700000000004</v>
      </c>
      <c r="AX484" s="2">
        <v>0</v>
      </c>
      <c r="AY484" s="2">
        <v>0</v>
      </c>
      <c r="AZ484" s="2">
        <v>0</v>
      </c>
      <c r="BA484" s="2">
        <v>0</v>
      </c>
      <c r="BB484" s="5">
        <v>0</v>
      </c>
      <c r="BC484" s="12">
        <v>889851</v>
      </c>
      <c r="BD484" s="2">
        <v>202441.19999999998</v>
      </c>
      <c r="BE484" s="2">
        <v>39725.49</v>
      </c>
      <c r="BF484" s="2">
        <v>9037.5499999999993</v>
      </c>
      <c r="BG484" s="5">
        <v>9752.61</v>
      </c>
      <c r="BH484" s="2">
        <v>65537.53</v>
      </c>
      <c r="BI484" s="12">
        <v>58515.649999999994</v>
      </c>
      <c r="BJ484" s="2">
        <v>0</v>
      </c>
      <c r="BK484" s="5">
        <v>5461.46</v>
      </c>
      <c r="BL484" s="1" t="s">
        <v>137</v>
      </c>
    </row>
    <row r="485" spans="1:64" x14ac:dyDescent="0.3">
      <c r="A485" t="s">
        <v>767</v>
      </c>
      <c r="B485" s="1" t="s">
        <v>769</v>
      </c>
      <c r="C485" s="9" t="s">
        <v>770</v>
      </c>
      <c r="D485" s="1" t="s">
        <v>95</v>
      </c>
      <c r="E485" s="1" t="s">
        <v>135</v>
      </c>
      <c r="F485" s="10" t="s">
        <v>435</v>
      </c>
      <c r="G485" s="1">
        <v>0</v>
      </c>
      <c r="H485" s="1">
        <v>0.05</v>
      </c>
      <c r="I485" s="8">
        <v>44644</v>
      </c>
      <c r="J485" s="6">
        <v>281611</v>
      </c>
      <c r="K485" s="6">
        <v>88710</v>
      </c>
      <c r="L485" s="6">
        <v>12571.92</v>
      </c>
      <c r="M485" s="6">
        <v>3960.27</v>
      </c>
      <c r="N485" s="7">
        <v>3306.44</v>
      </c>
      <c r="O485" s="6">
        <v>-275387.7</v>
      </c>
      <c r="P485" s="6">
        <v>-28203.600000000002</v>
      </c>
      <c r="Q485" s="6">
        <v>-12294.1</v>
      </c>
      <c r="R485" s="6">
        <v>-1259.0899999999999</v>
      </c>
      <c r="S485" s="7">
        <v>0</v>
      </c>
      <c r="T485" s="11">
        <v>7039.7000000000007</v>
      </c>
      <c r="U485" s="6">
        <v>6285.4399999999969</v>
      </c>
      <c r="V485" s="6">
        <v>0</v>
      </c>
      <c r="W485" s="6">
        <v>333.63999999999987</v>
      </c>
      <c r="AI485" s="2">
        <v>281611</v>
      </c>
      <c r="AJ485" s="2">
        <v>88710</v>
      </c>
      <c r="AK485" s="2">
        <v>12571.92</v>
      </c>
      <c r="AL485" s="2">
        <v>3960.27</v>
      </c>
      <c r="AM485" s="5">
        <v>3306.44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22219.27</v>
      </c>
      <c r="AT485" s="12">
        <v>19838.629999999997</v>
      </c>
      <c r="AU485" s="2">
        <v>0</v>
      </c>
      <c r="AV485" s="5">
        <v>1851.6</v>
      </c>
      <c r="AX485" s="2">
        <v>0</v>
      </c>
      <c r="AY485" s="2">
        <v>0</v>
      </c>
      <c r="AZ485" s="2">
        <v>0</v>
      </c>
      <c r="BA485" s="2">
        <v>0</v>
      </c>
      <c r="BB485" s="5">
        <v>0</v>
      </c>
      <c r="BC485" s="12">
        <v>275387.7</v>
      </c>
      <c r="BD485" s="2">
        <v>28203.600000000002</v>
      </c>
      <c r="BE485" s="2">
        <v>12294.1</v>
      </c>
      <c r="BF485" s="2">
        <v>1259.0899999999999</v>
      </c>
      <c r="BG485" s="5">
        <v>0</v>
      </c>
      <c r="BH485" s="2">
        <v>15179.57</v>
      </c>
      <c r="BI485" s="12">
        <v>13553.19</v>
      </c>
      <c r="BJ485" s="2">
        <v>0</v>
      </c>
      <c r="BK485" s="5">
        <v>1517.96</v>
      </c>
      <c r="BL485" s="1" t="s">
        <v>436</v>
      </c>
    </row>
    <row r="486" spans="1:64" x14ac:dyDescent="0.3">
      <c r="A486" t="s">
        <v>767</v>
      </c>
      <c r="B486" s="1" t="s">
        <v>771</v>
      </c>
      <c r="C486" s="9" t="s">
        <v>772</v>
      </c>
      <c r="D486" s="1" t="s">
        <v>95</v>
      </c>
      <c r="E486" s="1" t="s">
        <v>135</v>
      </c>
      <c r="F486" s="10" t="s">
        <v>435</v>
      </c>
      <c r="G486" s="1">
        <v>0.04</v>
      </c>
      <c r="H486" s="1">
        <v>0.05</v>
      </c>
      <c r="I486" s="8">
        <v>44544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0</v>
      </c>
      <c r="AJ486" s="2">
        <v>0</v>
      </c>
      <c r="AK486" s="2">
        <v>0</v>
      </c>
      <c r="AL486" s="2">
        <v>0</v>
      </c>
      <c r="AM486" s="5">
        <v>0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0</v>
      </c>
      <c r="AT486" s="12">
        <v>0</v>
      </c>
      <c r="AU486" s="2">
        <v>0</v>
      </c>
      <c r="AV486" s="5">
        <v>0</v>
      </c>
      <c r="AX486" s="2">
        <v>0</v>
      </c>
      <c r="AY486" s="2">
        <v>0</v>
      </c>
      <c r="AZ486" s="2">
        <v>0</v>
      </c>
      <c r="BA486" s="2">
        <v>0</v>
      </c>
      <c r="BB486" s="5">
        <v>0</v>
      </c>
      <c r="BC486" s="12">
        <v>0</v>
      </c>
      <c r="BD486" s="2">
        <v>0</v>
      </c>
      <c r="BE486" s="2">
        <v>0</v>
      </c>
      <c r="BF486" s="2">
        <v>0</v>
      </c>
      <c r="BG486" s="5">
        <v>0</v>
      </c>
      <c r="BH486" s="2">
        <v>0</v>
      </c>
      <c r="BI486" s="12">
        <v>0</v>
      </c>
      <c r="BJ486" s="2">
        <v>0</v>
      </c>
      <c r="BK486" s="5">
        <v>0</v>
      </c>
      <c r="BL486" s="1" t="s">
        <v>436</v>
      </c>
    </row>
    <row r="487" spans="1:64" x14ac:dyDescent="0.3">
      <c r="A487" t="s">
        <v>785</v>
      </c>
      <c r="B487" s="1" t="s">
        <v>785</v>
      </c>
      <c r="C487" s="9" t="s">
        <v>786</v>
      </c>
      <c r="D487" s="1" t="s">
        <v>95</v>
      </c>
      <c r="E487" s="1" t="s">
        <v>128</v>
      </c>
      <c r="F487" s="10" t="s">
        <v>325</v>
      </c>
      <c r="G487" s="1">
        <v>0.04</v>
      </c>
      <c r="H487" s="1">
        <v>0.05</v>
      </c>
      <c r="I487" s="8">
        <v>44734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0</v>
      </c>
      <c r="U487" s="6">
        <v>0</v>
      </c>
      <c r="V487" s="6">
        <v>0</v>
      </c>
      <c r="W487" s="6">
        <v>0</v>
      </c>
      <c r="AI487" s="2">
        <v>865044</v>
      </c>
      <c r="AJ487" s="2">
        <v>76670</v>
      </c>
      <c r="AK487" s="2">
        <v>38618.04</v>
      </c>
      <c r="AL487" s="2">
        <v>3422.77</v>
      </c>
      <c r="AM487" s="5">
        <v>8408.16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56502.85</v>
      </c>
      <c r="AT487" s="12">
        <v>50448.97</v>
      </c>
      <c r="AU487" s="2">
        <v>0</v>
      </c>
      <c r="AV487" s="5">
        <v>4708.57</v>
      </c>
      <c r="AX487" s="2">
        <v>865044</v>
      </c>
      <c r="AY487" s="2">
        <v>76670</v>
      </c>
      <c r="AZ487" s="2">
        <v>38618.04</v>
      </c>
      <c r="BA487" s="2">
        <v>3422.77</v>
      </c>
      <c r="BB487" s="5">
        <v>8408.16</v>
      </c>
      <c r="BC487" s="12">
        <v>0</v>
      </c>
      <c r="BD487" s="2">
        <v>0</v>
      </c>
      <c r="BE487" s="2">
        <v>0</v>
      </c>
      <c r="BF487" s="2">
        <v>0</v>
      </c>
      <c r="BG487" s="5">
        <v>0</v>
      </c>
      <c r="BH487" s="2">
        <v>56502.85</v>
      </c>
      <c r="BI487" s="12">
        <v>50448.97</v>
      </c>
      <c r="BJ487" s="2">
        <v>0</v>
      </c>
      <c r="BK487" s="5">
        <v>4708.57</v>
      </c>
      <c r="BL487" s="1" t="s">
        <v>326</v>
      </c>
    </row>
    <row r="488" spans="1:64" x14ac:dyDescent="0.3">
      <c r="A488" t="s">
        <v>791</v>
      </c>
      <c r="B488" s="1" t="s">
        <v>791</v>
      </c>
      <c r="C488" s="9" t="s">
        <v>792</v>
      </c>
      <c r="D488" s="1" t="s">
        <v>95</v>
      </c>
      <c r="E488" s="1" t="s">
        <v>135</v>
      </c>
      <c r="F488" s="10" t="s">
        <v>435</v>
      </c>
      <c r="G488" s="1">
        <v>0.04</v>
      </c>
      <c r="H488" s="1">
        <v>0.05</v>
      </c>
      <c r="I488" s="8">
        <v>44913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0</v>
      </c>
      <c r="U488" s="6">
        <v>0</v>
      </c>
      <c r="V488" s="6">
        <v>0</v>
      </c>
      <c r="W488" s="6">
        <v>0</v>
      </c>
      <c r="AI488" s="2">
        <v>0</v>
      </c>
      <c r="AJ488" s="2">
        <v>0</v>
      </c>
      <c r="AK488" s="2">
        <v>0</v>
      </c>
      <c r="AL488" s="2">
        <v>0</v>
      </c>
      <c r="AM488" s="5">
        <v>0</v>
      </c>
      <c r="AN488" s="12">
        <v>499635.30000000005</v>
      </c>
      <c r="AO488" s="2">
        <v>95392.5</v>
      </c>
      <c r="AP488" s="2">
        <v>22305.15</v>
      </c>
      <c r="AQ488" s="2">
        <v>4258.59</v>
      </c>
      <c r="AR488" s="5">
        <v>5312.75</v>
      </c>
      <c r="AS488" s="2">
        <v>35701.67</v>
      </c>
      <c r="AT488" s="12">
        <v>31876.49</v>
      </c>
      <c r="AU488" s="2">
        <v>0</v>
      </c>
      <c r="AV488" s="5">
        <v>2975.14</v>
      </c>
      <c r="AX488" s="2">
        <v>0</v>
      </c>
      <c r="AY488" s="2">
        <v>0</v>
      </c>
      <c r="AZ488" s="2">
        <v>0</v>
      </c>
      <c r="BA488" s="2">
        <v>0</v>
      </c>
      <c r="BB488" s="5">
        <v>0</v>
      </c>
      <c r="BC488" s="12">
        <v>499635.30000000005</v>
      </c>
      <c r="BD488" s="2">
        <v>95392.5</v>
      </c>
      <c r="BE488" s="2">
        <v>22305.15</v>
      </c>
      <c r="BF488" s="2">
        <v>4258.59</v>
      </c>
      <c r="BG488" s="5">
        <v>5312.75</v>
      </c>
      <c r="BH488" s="2">
        <v>35701.67</v>
      </c>
      <c r="BI488" s="12">
        <v>31876.49</v>
      </c>
      <c r="BJ488" s="2">
        <v>0</v>
      </c>
      <c r="BK488" s="5">
        <v>2975.14</v>
      </c>
      <c r="BL488" s="1" t="s">
        <v>436</v>
      </c>
    </row>
    <row r="489" spans="1:64" x14ac:dyDescent="0.3">
      <c r="A489" t="s">
        <v>791</v>
      </c>
      <c r="B489" s="1" t="s">
        <v>793</v>
      </c>
      <c r="C489" s="9" t="s">
        <v>794</v>
      </c>
      <c r="D489" s="1" t="s">
        <v>95</v>
      </c>
      <c r="E489" s="1" t="s">
        <v>135</v>
      </c>
      <c r="F489" s="10" t="s">
        <v>435</v>
      </c>
      <c r="G489" s="1">
        <v>0</v>
      </c>
      <c r="H489" s="1">
        <v>0.05</v>
      </c>
      <c r="I489" s="8">
        <v>44913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3927.99</v>
      </c>
      <c r="T489" s="11">
        <v>4399.3500000000022</v>
      </c>
      <c r="U489" s="6">
        <v>3927.989999999998</v>
      </c>
      <c r="V489" s="6">
        <v>0</v>
      </c>
      <c r="W489" s="6">
        <v>0</v>
      </c>
      <c r="AI489" s="2">
        <v>0</v>
      </c>
      <c r="AJ489" s="2">
        <v>0</v>
      </c>
      <c r="AK489" s="2">
        <v>0</v>
      </c>
      <c r="AL489" s="2">
        <v>0</v>
      </c>
      <c r="AM489" s="5">
        <v>0</v>
      </c>
      <c r="AN489" s="12">
        <v>405885.30000000005</v>
      </c>
      <c r="AO489" s="2">
        <v>34049.4</v>
      </c>
      <c r="AP489" s="2">
        <v>18119.88</v>
      </c>
      <c r="AQ489" s="2">
        <v>1520.06</v>
      </c>
      <c r="AR489" s="5">
        <v>3927.99</v>
      </c>
      <c r="AS489" s="2">
        <v>26396.080000000002</v>
      </c>
      <c r="AT489" s="12">
        <v>23567.93</v>
      </c>
      <c r="AU489" s="2">
        <v>0</v>
      </c>
      <c r="AV489" s="5">
        <v>2199.67</v>
      </c>
      <c r="AX489" s="2">
        <v>0</v>
      </c>
      <c r="AY489" s="2">
        <v>0</v>
      </c>
      <c r="AZ489" s="2">
        <v>0</v>
      </c>
      <c r="BA489" s="2">
        <v>0</v>
      </c>
      <c r="BB489" s="5">
        <v>0</v>
      </c>
      <c r="BC489" s="12">
        <v>405885.30000000005</v>
      </c>
      <c r="BD489" s="2">
        <v>34049.4</v>
      </c>
      <c r="BE489" s="2">
        <v>18119.88</v>
      </c>
      <c r="BF489" s="2">
        <v>1520.06</v>
      </c>
      <c r="BG489" s="5">
        <v>0</v>
      </c>
      <c r="BH489" s="2">
        <v>21996.73</v>
      </c>
      <c r="BI489" s="12">
        <v>19639.940000000002</v>
      </c>
      <c r="BJ489" s="2">
        <v>0</v>
      </c>
      <c r="BK489" s="5">
        <v>2199.67</v>
      </c>
      <c r="BL489" s="1" t="s">
        <v>436</v>
      </c>
    </row>
    <row r="490" spans="1:64" x14ac:dyDescent="0.3">
      <c r="A490" t="s">
        <v>806</v>
      </c>
      <c r="B490" s="1" t="s">
        <v>806</v>
      </c>
      <c r="C490" s="9" t="s">
        <v>807</v>
      </c>
      <c r="D490" s="1" t="s">
        <v>95</v>
      </c>
      <c r="E490" s="1" t="s">
        <v>88</v>
      </c>
      <c r="F490" s="10" t="s">
        <v>432</v>
      </c>
      <c r="G490" s="1">
        <v>0.04</v>
      </c>
      <c r="H490" s="1">
        <v>0.05</v>
      </c>
      <c r="I490" s="8">
        <v>44876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406545</v>
      </c>
      <c r="AJ490" s="2">
        <v>51248</v>
      </c>
      <c r="AK490" s="2">
        <v>18149.330000000002</v>
      </c>
      <c r="AL490" s="2">
        <v>2287.86</v>
      </c>
      <c r="AM490" s="5">
        <v>4087.44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27467.59</v>
      </c>
      <c r="AT490" s="12">
        <v>24524.63</v>
      </c>
      <c r="AU490" s="2">
        <v>0</v>
      </c>
      <c r="AV490" s="5">
        <v>2288.96</v>
      </c>
      <c r="AX490" s="2">
        <v>406545</v>
      </c>
      <c r="AY490" s="2">
        <v>51248</v>
      </c>
      <c r="AZ490" s="2">
        <v>18149.330000000002</v>
      </c>
      <c r="BA490" s="2">
        <v>2287.86</v>
      </c>
      <c r="BB490" s="5">
        <v>4087.44</v>
      </c>
      <c r="BC490" s="12">
        <v>0</v>
      </c>
      <c r="BD490" s="2">
        <v>0</v>
      </c>
      <c r="BE490" s="2">
        <v>0</v>
      </c>
      <c r="BF490" s="2">
        <v>0</v>
      </c>
      <c r="BG490" s="5">
        <v>0</v>
      </c>
      <c r="BH490" s="2">
        <v>27467.59</v>
      </c>
      <c r="BI490" s="12">
        <v>24524.63</v>
      </c>
      <c r="BJ490" s="2">
        <v>0</v>
      </c>
      <c r="BK490" s="5">
        <v>2288.96</v>
      </c>
      <c r="BL490" s="1" t="s">
        <v>90</v>
      </c>
    </row>
    <row r="491" spans="1:64" x14ac:dyDescent="0.3">
      <c r="A491" t="s">
        <v>808</v>
      </c>
      <c r="B491" s="1" t="s">
        <v>808</v>
      </c>
      <c r="C491" s="9" t="s">
        <v>809</v>
      </c>
      <c r="D491" s="1" t="s">
        <v>95</v>
      </c>
      <c r="E491" s="1" t="s">
        <v>128</v>
      </c>
      <c r="F491" s="10" t="s">
        <v>309</v>
      </c>
      <c r="G491" s="1">
        <v>0</v>
      </c>
      <c r="H491" s="1">
        <v>0.05</v>
      </c>
      <c r="I491" s="8">
        <v>44802</v>
      </c>
      <c r="J491" s="6">
        <v>444636</v>
      </c>
      <c r="K491" s="6">
        <v>44873</v>
      </c>
      <c r="L491" s="6">
        <v>19849.82</v>
      </c>
      <c r="M491" s="6">
        <v>2003.26</v>
      </c>
      <c r="N491" s="7">
        <v>4370.62</v>
      </c>
      <c r="O491" s="6">
        <v>-290030.39999999997</v>
      </c>
      <c r="P491" s="6">
        <v>-20179.8</v>
      </c>
      <c r="Q491" s="6">
        <v>-12947.79</v>
      </c>
      <c r="R491" s="6">
        <v>-900.88</v>
      </c>
      <c r="S491" s="7">
        <v>0</v>
      </c>
      <c r="T491" s="11">
        <v>13860.03</v>
      </c>
      <c r="U491" s="6">
        <v>12375.029999999997</v>
      </c>
      <c r="V491" s="6">
        <v>0</v>
      </c>
      <c r="W491" s="6">
        <v>896.49</v>
      </c>
      <c r="AI491" s="2">
        <v>444636</v>
      </c>
      <c r="AJ491" s="2">
        <v>44873</v>
      </c>
      <c r="AK491" s="2">
        <v>19849.82</v>
      </c>
      <c r="AL491" s="2">
        <v>2003.26</v>
      </c>
      <c r="AM491" s="5">
        <v>4370.62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29370.54</v>
      </c>
      <c r="AT491" s="12">
        <v>26223.699999999997</v>
      </c>
      <c r="AU491" s="2">
        <v>0</v>
      </c>
      <c r="AV491" s="5">
        <v>2447.54</v>
      </c>
      <c r="AX491" s="2">
        <v>0</v>
      </c>
      <c r="AY491" s="2">
        <v>0</v>
      </c>
      <c r="AZ491" s="2">
        <v>0</v>
      </c>
      <c r="BA491" s="2">
        <v>0</v>
      </c>
      <c r="BB491" s="5">
        <v>0</v>
      </c>
      <c r="BC491" s="12">
        <v>290030.39999999997</v>
      </c>
      <c r="BD491" s="2">
        <v>20179.8</v>
      </c>
      <c r="BE491" s="2">
        <v>12947.79</v>
      </c>
      <c r="BF491" s="2">
        <v>900.88</v>
      </c>
      <c r="BG491" s="5">
        <v>0</v>
      </c>
      <c r="BH491" s="2">
        <v>15510.51</v>
      </c>
      <c r="BI491" s="12">
        <v>13848.67</v>
      </c>
      <c r="BJ491" s="2">
        <v>0</v>
      </c>
      <c r="BK491" s="5">
        <v>1551.05</v>
      </c>
      <c r="BL491" s="1" t="s">
        <v>130</v>
      </c>
    </row>
    <row r="492" spans="1:64" x14ac:dyDescent="0.3">
      <c r="A492" t="s">
        <v>812</v>
      </c>
      <c r="B492" s="1" t="s">
        <v>812</v>
      </c>
      <c r="C492" s="9" t="s">
        <v>813</v>
      </c>
      <c r="D492" s="1" t="s">
        <v>95</v>
      </c>
      <c r="E492" s="1" t="s">
        <v>135</v>
      </c>
      <c r="F492" s="10" t="s">
        <v>193</v>
      </c>
      <c r="G492" s="1">
        <v>0.04</v>
      </c>
      <c r="H492" s="1">
        <v>0.05</v>
      </c>
      <c r="I492" s="8">
        <v>44991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0</v>
      </c>
      <c r="U492" s="6">
        <v>0</v>
      </c>
      <c r="V492" s="6">
        <v>0</v>
      </c>
      <c r="W492" s="6">
        <v>0</v>
      </c>
      <c r="AI492" s="2">
        <v>905439</v>
      </c>
      <c r="AJ492" s="2">
        <v>217841</v>
      </c>
      <c r="AK492" s="2">
        <v>40421.379999999997</v>
      </c>
      <c r="AL492" s="2">
        <v>9725.0400000000009</v>
      </c>
      <c r="AM492" s="5">
        <v>10029.290000000001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67396.800000000003</v>
      </c>
      <c r="AT492" s="12">
        <v>60175.71</v>
      </c>
      <c r="AU492" s="2">
        <v>0</v>
      </c>
      <c r="AV492" s="5">
        <v>5616.4</v>
      </c>
      <c r="AX492" s="2">
        <v>905439</v>
      </c>
      <c r="AY492" s="2">
        <v>217841</v>
      </c>
      <c r="AZ492" s="2">
        <v>40421.379999999997</v>
      </c>
      <c r="BA492" s="2">
        <v>9725.0400000000009</v>
      </c>
      <c r="BB492" s="5">
        <v>10029.290000000001</v>
      </c>
      <c r="BC492" s="12">
        <v>0</v>
      </c>
      <c r="BD492" s="2">
        <v>0</v>
      </c>
      <c r="BE492" s="2">
        <v>0</v>
      </c>
      <c r="BF492" s="2">
        <v>0</v>
      </c>
      <c r="BG492" s="5">
        <v>0</v>
      </c>
      <c r="BH492" s="2">
        <v>67396.800000000003</v>
      </c>
      <c r="BI492" s="12">
        <v>60175.71</v>
      </c>
      <c r="BJ492" s="2">
        <v>0</v>
      </c>
      <c r="BK492" s="5">
        <v>5616.4</v>
      </c>
      <c r="BL492" s="1" t="s">
        <v>137</v>
      </c>
    </row>
    <row r="493" spans="1:64" x14ac:dyDescent="0.3">
      <c r="A493" t="s">
        <v>833</v>
      </c>
      <c r="B493" s="1" t="s">
        <v>833</v>
      </c>
      <c r="C493" s="9" t="s">
        <v>834</v>
      </c>
      <c r="D493" s="1" t="s">
        <v>95</v>
      </c>
      <c r="E493" s="1" t="s">
        <v>128</v>
      </c>
      <c r="F493" s="10" t="s">
        <v>835</v>
      </c>
      <c r="G493" s="1">
        <v>3.5000000000000003E-2</v>
      </c>
      <c r="H493" s="1">
        <v>0.05</v>
      </c>
      <c r="I493" s="8">
        <v>44035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0</v>
      </c>
      <c r="U493" s="6">
        <v>0</v>
      </c>
      <c r="V493" s="6">
        <v>0</v>
      </c>
      <c r="W493" s="6">
        <v>0</v>
      </c>
      <c r="AI493" s="2">
        <v>562544</v>
      </c>
      <c r="AJ493" s="2">
        <v>96844</v>
      </c>
      <c r="AK493" s="2">
        <v>25113.57</v>
      </c>
      <c r="AL493" s="2">
        <v>4323.3900000000003</v>
      </c>
      <c r="AM493" s="5">
        <v>5887.39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39563.269999999997</v>
      </c>
      <c r="AT493" s="12">
        <v>35324.35</v>
      </c>
      <c r="AU493" s="2">
        <v>0</v>
      </c>
      <c r="AV493" s="5">
        <v>3296.94</v>
      </c>
      <c r="AX493" s="2">
        <v>562544</v>
      </c>
      <c r="AY493" s="2">
        <v>96844</v>
      </c>
      <c r="AZ493" s="2">
        <v>25113.57</v>
      </c>
      <c r="BA493" s="2">
        <v>4323.3900000000003</v>
      </c>
      <c r="BB493" s="5">
        <v>5887.39</v>
      </c>
      <c r="BC493" s="12">
        <v>0</v>
      </c>
      <c r="BD493" s="2">
        <v>0</v>
      </c>
      <c r="BE493" s="2">
        <v>0</v>
      </c>
      <c r="BF493" s="2">
        <v>0</v>
      </c>
      <c r="BG493" s="5">
        <v>0</v>
      </c>
      <c r="BH493" s="2">
        <v>39563.269999999997</v>
      </c>
      <c r="BI493" s="12">
        <v>35324.35</v>
      </c>
      <c r="BJ493" s="2">
        <v>0</v>
      </c>
      <c r="BK493" s="5">
        <v>3296.94</v>
      </c>
      <c r="BL493" s="1" t="s">
        <v>326</v>
      </c>
    </row>
    <row r="494" spans="1:64" x14ac:dyDescent="0.3">
      <c r="A494" t="s">
        <v>844</v>
      </c>
      <c r="B494" s="1" t="s">
        <v>844</v>
      </c>
      <c r="C494" s="9" t="s">
        <v>845</v>
      </c>
      <c r="D494" s="1" t="s">
        <v>95</v>
      </c>
      <c r="E494" s="1" t="s">
        <v>135</v>
      </c>
      <c r="F494" s="10" t="s">
        <v>193</v>
      </c>
      <c r="G494" s="1">
        <v>3.5000000000000003E-2</v>
      </c>
      <c r="H494" s="1">
        <v>0.05</v>
      </c>
      <c r="I494" s="8">
        <v>44270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0</v>
      </c>
      <c r="AJ494" s="2">
        <v>0</v>
      </c>
      <c r="AK494" s="2">
        <v>0</v>
      </c>
      <c r="AL494" s="2">
        <v>0</v>
      </c>
      <c r="AM494" s="5">
        <v>0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0</v>
      </c>
      <c r="AT494" s="12">
        <v>0</v>
      </c>
      <c r="AU494" s="2">
        <v>0</v>
      </c>
      <c r="AV494" s="5">
        <v>0</v>
      </c>
      <c r="AX494" s="2">
        <v>0</v>
      </c>
      <c r="AY494" s="2">
        <v>0</v>
      </c>
      <c r="AZ494" s="2">
        <v>0</v>
      </c>
      <c r="BA494" s="2">
        <v>0</v>
      </c>
      <c r="BB494" s="5">
        <v>0</v>
      </c>
      <c r="BC494" s="12">
        <v>0</v>
      </c>
      <c r="BD494" s="2">
        <v>0</v>
      </c>
      <c r="BE494" s="2">
        <v>0</v>
      </c>
      <c r="BF494" s="2">
        <v>0</v>
      </c>
      <c r="BG494" s="5">
        <v>0</v>
      </c>
      <c r="BH494" s="2">
        <v>0</v>
      </c>
      <c r="BI494" s="12">
        <v>0</v>
      </c>
      <c r="BJ494" s="2">
        <v>0</v>
      </c>
      <c r="BK494" s="5">
        <v>0</v>
      </c>
      <c r="BL494" s="1" t="s">
        <v>137</v>
      </c>
    </row>
    <row r="495" spans="1:64" x14ac:dyDescent="0.3">
      <c r="A495" t="s">
        <v>888</v>
      </c>
      <c r="B495" s="1" t="s">
        <v>888</v>
      </c>
      <c r="C495" s="9" t="s">
        <v>889</v>
      </c>
      <c r="D495" s="1" t="s">
        <v>95</v>
      </c>
      <c r="E495" s="1" t="s">
        <v>135</v>
      </c>
      <c r="F495" s="10" t="s">
        <v>435</v>
      </c>
      <c r="G495" s="1">
        <v>4.4999999999999998E-2</v>
      </c>
      <c r="H495" s="1">
        <v>0.05</v>
      </c>
      <c r="I495" s="8">
        <v>45278</v>
      </c>
      <c r="J495" s="6">
        <v>564945</v>
      </c>
      <c r="K495" s="6">
        <v>169974</v>
      </c>
      <c r="L495" s="6">
        <v>25220.76</v>
      </c>
      <c r="M495" s="6">
        <v>7588.12</v>
      </c>
      <c r="N495" s="7">
        <v>6561.78</v>
      </c>
      <c r="O495" s="6">
        <v>-828519</v>
      </c>
      <c r="P495" s="6">
        <v>-147237</v>
      </c>
      <c r="Q495" s="6">
        <v>-36987.46</v>
      </c>
      <c r="R495" s="6">
        <v>-6573.08</v>
      </c>
      <c r="S495" s="7">
        <v>-8712.11</v>
      </c>
      <c r="T495" s="11">
        <v>-14450.230000000003</v>
      </c>
      <c r="U495" s="6">
        <v>-12901.990000000005</v>
      </c>
      <c r="V495" s="6">
        <v>0</v>
      </c>
      <c r="W495" s="6">
        <v>-1204.1799999999998</v>
      </c>
      <c r="AI495" s="2">
        <v>564945</v>
      </c>
      <c r="AJ495" s="2">
        <v>169974</v>
      </c>
      <c r="AK495" s="2">
        <v>25220.76</v>
      </c>
      <c r="AL495" s="2">
        <v>7588.12</v>
      </c>
      <c r="AM495" s="5">
        <v>6561.78</v>
      </c>
      <c r="AN495" s="12">
        <v>0</v>
      </c>
      <c r="AO495" s="2">
        <v>0</v>
      </c>
      <c r="AP495" s="2">
        <v>0</v>
      </c>
      <c r="AQ495" s="2">
        <v>0</v>
      </c>
      <c r="AR495" s="5">
        <v>0</v>
      </c>
      <c r="AS495" s="2">
        <v>44095.14</v>
      </c>
      <c r="AT495" s="12">
        <v>39370.659999999996</v>
      </c>
      <c r="AU495" s="2">
        <v>0</v>
      </c>
      <c r="AV495" s="5">
        <v>3674.6</v>
      </c>
      <c r="AX495" s="2">
        <v>0</v>
      </c>
      <c r="AY495" s="2">
        <v>0</v>
      </c>
      <c r="AZ495" s="2">
        <v>0</v>
      </c>
      <c r="BA495" s="2">
        <v>0</v>
      </c>
      <c r="BB495" s="5">
        <v>0</v>
      </c>
      <c r="BC495" s="12">
        <v>828519</v>
      </c>
      <c r="BD495" s="2">
        <v>147237</v>
      </c>
      <c r="BE495" s="2">
        <v>36987.46</v>
      </c>
      <c r="BF495" s="2">
        <v>6573.08</v>
      </c>
      <c r="BG495" s="5">
        <v>8712.11</v>
      </c>
      <c r="BH495" s="2">
        <v>58545.37</v>
      </c>
      <c r="BI495" s="12">
        <v>52272.65</v>
      </c>
      <c r="BJ495" s="2">
        <v>0</v>
      </c>
      <c r="BK495" s="5">
        <v>4878.78</v>
      </c>
      <c r="BL495" s="1" t="s">
        <v>436</v>
      </c>
    </row>
    <row r="496" spans="1:64" x14ac:dyDescent="0.3">
      <c r="A496" t="s">
        <v>890</v>
      </c>
      <c r="B496" s="1" t="s">
        <v>890</v>
      </c>
      <c r="C496" s="9" t="s">
        <v>891</v>
      </c>
      <c r="D496" s="1" t="s">
        <v>95</v>
      </c>
      <c r="E496" s="1" t="s">
        <v>135</v>
      </c>
      <c r="F496" s="10" t="s">
        <v>193</v>
      </c>
      <c r="G496" s="1">
        <v>0</v>
      </c>
      <c r="H496" s="1">
        <v>0.05</v>
      </c>
      <c r="I496" s="8">
        <v>45514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0</v>
      </c>
      <c r="P496" s="6">
        <v>0</v>
      </c>
      <c r="Q496" s="6">
        <v>0</v>
      </c>
      <c r="R496" s="6">
        <v>0</v>
      </c>
      <c r="S496" s="7">
        <v>401.56</v>
      </c>
      <c r="T496" s="11">
        <v>449.75</v>
      </c>
      <c r="U496" s="6">
        <v>401.56000000000131</v>
      </c>
      <c r="V496" s="6">
        <v>0</v>
      </c>
      <c r="W496" s="6">
        <v>0</v>
      </c>
      <c r="AI496" s="2">
        <v>271918</v>
      </c>
      <c r="AJ496" s="2">
        <v>53547</v>
      </c>
      <c r="AK496" s="2">
        <v>12139.2</v>
      </c>
      <c r="AL496" s="2">
        <v>2390.4899999999998</v>
      </c>
      <c r="AM496" s="5">
        <v>2905.94</v>
      </c>
      <c r="AN496" s="12">
        <v>39877.620000000003</v>
      </c>
      <c r="AO496" s="2">
        <v>5097.3</v>
      </c>
      <c r="AP496" s="2">
        <v>1780.25</v>
      </c>
      <c r="AQ496" s="2">
        <v>227.55</v>
      </c>
      <c r="AR496" s="5">
        <v>401.56</v>
      </c>
      <c r="AS496" s="2">
        <v>22226.39</v>
      </c>
      <c r="AT496" s="12">
        <v>19844.990000000002</v>
      </c>
      <c r="AU496" s="2">
        <v>0</v>
      </c>
      <c r="AV496" s="5">
        <v>1852.2</v>
      </c>
      <c r="AX496" s="2">
        <v>271918</v>
      </c>
      <c r="AY496" s="2">
        <v>53547</v>
      </c>
      <c r="AZ496" s="2">
        <v>12139.2</v>
      </c>
      <c r="BA496" s="2">
        <v>2390.4899999999998</v>
      </c>
      <c r="BB496" s="5">
        <v>2905.94</v>
      </c>
      <c r="BC496" s="12">
        <v>39877.620000000003</v>
      </c>
      <c r="BD496" s="2">
        <v>5097.3</v>
      </c>
      <c r="BE496" s="2">
        <v>1780.25</v>
      </c>
      <c r="BF496" s="2">
        <v>227.55</v>
      </c>
      <c r="BG496" s="5">
        <v>0</v>
      </c>
      <c r="BH496" s="2">
        <v>21776.639999999999</v>
      </c>
      <c r="BI496" s="12">
        <v>19443.43</v>
      </c>
      <c r="BJ496" s="2">
        <v>0</v>
      </c>
      <c r="BK496" s="5">
        <v>1852.2</v>
      </c>
      <c r="BL496" s="1" t="s">
        <v>137</v>
      </c>
    </row>
    <row r="497" spans="1:64" x14ac:dyDescent="0.3">
      <c r="A497" t="s">
        <v>892</v>
      </c>
      <c r="B497" s="1" t="s">
        <v>892</v>
      </c>
      <c r="C497" s="9" t="s">
        <v>893</v>
      </c>
      <c r="D497" s="1" t="s">
        <v>95</v>
      </c>
      <c r="E497" s="1" t="s">
        <v>88</v>
      </c>
      <c r="F497" s="10" t="s">
        <v>534</v>
      </c>
      <c r="G497" s="1">
        <v>0</v>
      </c>
      <c r="H497" s="1">
        <v>0.05</v>
      </c>
      <c r="I497" s="8">
        <v>45485</v>
      </c>
      <c r="J497" s="6">
        <v>234149</v>
      </c>
      <c r="K497" s="6">
        <v>29961</v>
      </c>
      <c r="L497" s="6">
        <v>10453.08</v>
      </c>
      <c r="M497" s="6">
        <v>1337.54</v>
      </c>
      <c r="N497" s="7">
        <v>2358.12</v>
      </c>
      <c r="O497" s="6">
        <v>-287679</v>
      </c>
      <c r="P497" s="6">
        <v>-49605</v>
      </c>
      <c r="Q497" s="6">
        <v>-12842.81</v>
      </c>
      <c r="R497" s="6">
        <v>-2214.5100000000002</v>
      </c>
      <c r="S497" s="7">
        <v>0</v>
      </c>
      <c r="T497" s="11">
        <v>-1017.6100000000006</v>
      </c>
      <c r="U497" s="6">
        <v>-908.58000000000175</v>
      </c>
      <c r="V497" s="6">
        <v>0</v>
      </c>
      <c r="W497" s="6">
        <v>-365.87000000000012</v>
      </c>
      <c r="AI497" s="2">
        <v>234149</v>
      </c>
      <c r="AJ497" s="2">
        <v>29961</v>
      </c>
      <c r="AK497" s="2">
        <v>10453.08</v>
      </c>
      <c r="AL497" s="2">
        <v>1337.54</v>
      </c>
      <c r="AM497" s="5">
        <v>2358.12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15846.59</v>
      </c>
      <c r="AT497" s="12">
        <v>14148.739999999998</v>
      </c>
      <c r="AU497" s="2">
        <v>0</v>
      </c>
      <c r="AV497" s="5">
        <v>1320.55</v>
      </c>
      <c r="AX497" s="2">
        <v>0</v>
      </c>
      <c r="AY497" s="2">
        <v>0</v>
      </c>
      <c r="AZ497" s="2">
        <v>0</v>
      </c>
      <c r="BA497" s="2">
        <v>0</v>
      </c>
      <c r="BB497" s="5">
        <v>0</v>
      </c>
      <c r="BC497" s="12">
        <v>287679</v>
      </c>
      <c r="BD497" s="2">
        <v>49605</v>
      </c>
      <c r="BE497" s="2">
        <v>12842.81</v>
      </c>
      <c r="BF497" s="2">
        <v>2214.5100000000002</v>
      </c>
      <c r="BG497" s="5">
        <v>0</v>
      </c>
      <c r="BH497" s="2">
        <v>16864.2</v>
      </c>
      <c r="BI497" s="12">
        <v>15057.32</v>
      </c>
      <c r="BJ497" s="2">
        <v>0</v>
      </c>
      <c r="BK497" s="5">
        <v>1686.42</v>
      </c>
      <c r="BL497" s="1" t="s">
        <v>90</v>
      </c>
    </row>
    <row r="498" spans="1:64" x14ac:dyDescent="0.3">
      <c r="A498" t="s">
        <v>892</v>
      </c>
      <c r="B498" s="1" t="s">
        <v>894</v>
      </c>
      <c r="C498" s="9" t="s">
        <v>895</v>
      </c>
      <c r="D498" s="1" t="s">
        <v>95</v>
      </c>
      <c r="E498" s="1" t="s">
        <v>88</v>
      </c>
      <c r="F498" s="10" t="s">
        <v>534</v>
      </c>
      <c r="G498" s="1">
        <v>0</v>
      </c>
      <c r="H498" s="1">
        <v>0.05</v>
      </c>
      <c r="I498" s="8">
        <v>45485</v>
      </c>
      <c r="J498" s="6">
        <v>278717</v>
      </c>
      <c r="K498" s="6">
        <v>36997</v>
      </c>
      <c r="L498" s="6">
        <v>12442.72</v>
      </c>
      <c r="M498" s="6">
        <v>1651.65</v>
      </c>
      <c r="N498" s="7">
        <v>2818.87</v>
      </c>
      <c r="O498" s="6">
        <v>-607062.30000000005</v>
      </c>
      <c r="P498" s="6">
        <v>-86606.7</v>
      </c>
      <c r="Q498" s="6">
        <v>-27101</v>
      </c>
      <c r="R498" s="6">
        <v>-3866.37</v>
      </c>
      <c r="S498" s="7">
        <v>0</v>
      </c>
      <c r="T498" s="11">
        <v>-15740.619999999995</v>
      </c>
      <c r="U498" s="6">
        <v>-14054.130000000001</v>
      </c>
      <c r="V498" s="6">
        <v>0</v>
      </c>
      <c r="W498" s="6">
        <v>-1889.7700000000002</v>
      </c>
      <c r="AI498" s="2">
        <v>278717</v>
      </c>
      <c r="AJ498" s="2">
        <v>36997</v>
      </c>
      <c r="AK498" s="2">
        <v>12442.72</v>
      </c>
      <c r="AL498" s="2">
        <v>1651.65</v>
      </c>
      <c r="AM498" s="5">
        <v>2818.87</v>
      </c>
      <c r="AN498" s="12">
        <v>0</v>
      </c>
      <c r="AO498" s="2">
        <v>0</v>
      </c>
      <c r="AP498" s="2">
        <v>0</v>
      </c>
      <c r="AQ498" s="2">
        <v>0</v>
      </c>
      <c r="AR498" s="5">
        <v>0</v>
      </c>
      <c r="AS498" s="2">
        <v>18942.830000000002</v>
      </c>
      <c r="AT498" s="12">
        <v>16913.239999999998</v>
      </c>
      <c r="AU498" s="2">
        <v>0</v>
      </c>
      <c r="AV498" s="5">
        <v>1578.57</v>
      </c>
      <c r="AX498" s="2">
        <v>0</v>
      </c>
      <c r="AY498" s="2">
        <v>0</v>
      </c>
      <c r="AZ498" s="2">
        <v>0</v>
      </c>
      <c r="BA498" s="2">
        <v>0</v>
      </c>
      <c r="BB498" s="5">
        <v>0</v>
      </c>
      <c r="BC498" s="12">
        <v>607062.30000000005</v>
      </c>
      <c r="BD498" s="2">
        <v>86606.7</v>
      </c>
      <c r="BE498" s="2">
        <v>27101</v>
      </c>
      <c r="BF498" s="2">
        <v>3866.37</v>
      </c>
      <c r="BG498" s="5">
        <v>0</v>
      </c>
      <c r="BH498" s="2">
        <v>34683.449999999997</v>
      </c>
      <c r="BI498" s="12">
        <v>30967.37</v>
      </c>
      <c r="BJ498" s="2">
        <v>0</v>
      </c>
      <c r="BK498" s="5">
        <v>3468.34</v>
      </c>
      <c r="BL498" s="1" t="s">
        <v>90</v>
      </c>
    </row>
    <row r="499" spans="1:64" x14ac:dyDescent="0.3">
      <c r="A499" t="s">
        <v>892</v>
      </c>
      <c r="B499" s="1" t="s">
        <v>896</v>
      </c>
      <c r="C499" s="9" t="s">
        <v>897</v>
      </c>
      <c r="D499" s="1" t="s">
        <v>95</v>
      </c>
      <c r="E499" s="1" t="s">
        <v>88</v>
      </c>
      <c r="F499" s="10" t="s">
        <v>534</v>
      </c>
      <c r="G499" s="1">
        <v>0</v>
      </c>
      <c r="H499" s="1">
        <v>0.05</v>
      </c>
      <c r="I499" s="8">
        <v>45485</v>
      </c>
      <c r="J499" s="6">
        <v>209701</v>
      </c>
      <c r="K499" s="6">
        <v>34450</v>
      </c>
      <c r="L499" s="6">
        <v>9361.65</v>
      </c>
      <c r="M499" s="6">
        <v>1537.95</v>
      </c>
      <c r="N499" s="7">
        <v>2179.92</v>
      </c>
      <c r="O499" s="6">
        <v>-342270.60000000003</v>
      </c>
      <c r="P499" s="6">
        <v>-32364.6</v>
      </c>
      <c r="Q499" s="6">
        <v>-15279.94</v>
      </c>
      <c r="R499" s="6">
        <v>-1444.85</v>
      </c>
      <c r="S499" s="7">
        <v>0</v>
      </c>
      <c r="T499" s="11">
        <v>-4082.6999999999989</v>
      </c>
      <c r="U499" s="6">
        <v>-3645.2700000000004</v>
      </c>
      <c r="V499" s="6">
        <v>0</v>
      </c>
      <c r="W499" s="6">
        <v>-652.42000000000007</v>
      </c>
      <c r="AI499" s="2">
        <v>209701</v>
      </c>
      <c r="AJ499" s="2">
        <v>34450</v>
      </c>
      <c r="AK499" s="2">
        <v>9361.65</v>
      </c>
      <c r="AL499" s="2">
        <v>1537.95</v>
      </c>
      <c r="AM499" s="5">
        <v>2179.92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14649.06</v>
      </c>
      <c r="AT499" s="12">
        <v>13079.52</v>
      </c>
      <c r="AU499" s="2">
        <v>0</v>
      </c>
      <c r="AV499" s="5">
        <v>1220.76</v>
      </c>
      <c r="AX499" s="2">
        <v>0</v>
      </c>
      <c r="AY499" s="2">
        <v>0</v>
      </c>
      <c r="AZ499" s="2">
        <v>0</v>
      </c>
      <c r="BA499" s="2">
        <v>0</v>
      </c>
      <c r="BB499" s="5">
        <v>0</v>
      </c>
      <c r="BC499" s="12">
        <v>342270.60000000003</v>
      </c>
      <c r="BD499" s="2">
        <v>32364.6</v>
      </c>
      <c r="BE499" s="2">
        <v>15279.94</v>
      </c>
      <c r="BF499" s="2">
        <v>1444.85</v>
      </c>
      <c r="BG499" s="5">
        <v>0</v>
      </c>
      <c r="BH499" s="2">
        <v>18731.759999999998</v>
      </c>
      <c r="BI499" s="12">
        <v>16724.79</v>
      </c>
      <c r="BJ499" s="2">
        <v>0</v>
      </c>
      <c r="BK499" s="5">
        <v>1873.18</v>
      </c>
      <c r="BL499" s="1" t="s">
        <v>90</v>
      </c>
    </row>
    <row r="500" spans="1:64" x14ac:dyDescent="0.3">
      <c r="A500" t="s">
        <v>912</v>
      </c>
      <c r="B500" s="1" t="s">
        <v>912</v>
      </c>
      <c r="C500" s="9" t="s">
        <v>913</v>
      </c>
      <c r="D500" s="1" t="s">
        <v>95</v>
      </c>
      <c r="E500" s="1" t="s">
        <v>128</v>
      </c>
      <c r="F500" s="10" t="s">
        <v>309</v>
      </c>
      <c r="G500" s="1">
        <v>4.4999999999999998E-2</v>
      </c>
      <c r="H500" s="1">
        <v>0.05</v>
      </c>
      <c r="I500" s="8">
        <v>45067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0</v>
      </c>
      <c r="U500" s="6">
        <v>0</v>
      </c>
      <c r="V500" s="6">
        <v>0</v>
      </c>
      <c r="W500" s="6">
        <v>0</v>
      </c>
      <c r="AI500" s="2">
        <v>396979</v>
      </c>
      <c r="AJ500" s="2">
        <v>25000</v>
      </c>
      <c r="AK500" s="2">
        <v>17722.28</v>
      </c>
      <c r="AL500" s="2">
        <v>1116.07</v>
      </c>
      <c r="AM500" s="5">
        <v>3767.67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25318.74</v>
      </c>
      <c r="AT500" s="12">
        <v>22606.019999999997</v>
      </c>
      <c r="AU500" s="2">
        <v>0</v>
      </c>
      <c r="AV500" s="5">
        <v>2109.9</v>
      </c>
      <c r="AX500" s="2">
        <v>396979</v>
      </c>
      <c r="AY500" s="2">
        <v>25000</v>
      </c>
      <c r="AZ500" s="2">
        <v>17722.28</v>
      </c>
      <c r="BA500" s="2">
        <v>1116.07</v>
      </c>
      <c r="BB500" s="5">
        <v>3767.67</v>
      </c>
      <c r="BC500" s="12">
        <v>0</v>
      </c>
      <c r="BD500" s="2">
        <v>0</v>
      </c>
      <c r="BE500" s="2">
        <v>0</v>
      </c>
      <c r="BF500" s="2">
        <v>0</v>
      </c>
      <c r="BG500" s="5">
        <v>0</v>
      </c>
      <c r="BH500" s="2">
        <v>25318.74</v>
      </c>
      <c r="BI500" s="12">
        <v>22606.019999999997</v>
      </c>
      <c r="BJ500" s="2">
        <v>0</v>
      </c>
      <c r="BK500" s="5">
        <v>2109.9</v>
      </c>
      <c r="BL500" s="1" t="s">
        <v>130</v>
      </c>
    </row>
    <row r="501" spans="1:64" x14ac:dyDescent="0.3">
      <c r="A501" t="s">
        <v>912</v>
      </c>
      <c r="B501" s="1" t="s">
        <v>914</v>
      </c>
      <c r="C501" s="9" t="s">
        <v>915</v>
      </c>
      <c r="D501" s="1" t="s">
        <v>95</v>
      </c>
      <c r="E501" s="1" t="s">
        <v>128</v>
      </c>
      <c r="F501" s="10" t="s">
        <v>309</v>
      </c>
      <c r="G501" s="1">
        <v>0.05</v>
      </c>
      <c r="H501" s="1">
        <v>0.05</v>
      </c>
      <c r="I501" s="8">
        <v>45067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0</v>
      </c>
      <c r="U501" s="6">
        <v>0</v>
      </c>
      <c r="V501" s="6">
        <v>0</v>
      </c>
      <c r="W501" s="6">
        <v>0</v>
      </c>
      <c r="AI501" s="2">
        <v>385225</v>
      </c>
      <c r="AJ501" s="2">
        <v>0</v>
      </c>
      <c r="AK501" s="2">
        <v>17197.54</v>
      </c>
      <c r="AL501" s="2">
        <v>0</v>
      </c>
      <c r="AM501" s="5">
        <v>3439.51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23113.5</v>
      </c>
      <c r="AT501" s="12">
        <v>20637.050000000003</v>
      </c>
      <c r="AU501" s="2">
        <v>0</v>
      </c>
      <c r="AV501" s="5">
        <v>1926.12</v>
      </c>
      <c r="AX501" s="2">
        <v>385225</v>
      </c>
      <c r="AY501" s="2">
        <v>0</v>
      </c>
      <c r="AZ501" s="2">
        <v>17197.54</v>
      </c>
      <c r="BA501" s="2">
        <v>0</v>
      </c>
      <c r="BB501" s="5">
        <v>3439.51</v>
      </c>
      <c r="BC501" s="12">
        <v>0</v>
      </c>
      <c r="BD501" s="2">
        <v>0</v>
      </c>
      <c r="BE501" s="2">
        <v>0</v>
      </c>
      <c r="BF501" s="2">
        <v>0</v>
      </c>
      <c r="BG501" s="5">
        <v>0</v>
      </c>
      <c r="BH501" s="2">
        <v>23113.5</v>
      </c>
      <c r="BI501" s="12">
        <v>20637.050000000003</v>
      </c>
      <c r="BJ501" s="2">
        <v>0</v>
      </c>
      <c r="BK501" s="5">
        <v>1926.12</v>
      </c>
      <c r="BL501" s="1" t="s">
        <v>130</v>
      </c>
    </row>
    <row r="502" spans="1:64" x14ac:dyDescent="0.3">
      <c r="A502" t="s">
        <v>912</v>
      </c>
      <c r="B502" s="1" t="s">
        <v>916</v>
      </c>
      <c r="C502" s="9" t="s">
        <v>917</v>
      </c>
      <c r="D502" s="1" t="s">
        <v>95</v>
      </c>
      <c r="E502" s="1" t="s">
        <v>128</v>
      </c>
      <c r="F502" s="10" t="s">
        <v>309</v>
      </c>
      <c r="G502" s="1">
        <v>0.05</v>
      </c>
      <c r="H502" s="1">
        <v>0.05</v>
      </c>
      <c r="I502" s="8">
        <v>45067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0</v>
      </c>
      <c r="U502" s="6">
        <v>0</v>
      </c>
      <c r="V502" s="6">
        <v>0</v>
      </c>
      <c r="W502" s="6">
        <v>0</v>
      </c>
      <c r="AI502" s="2">
        <v>302872</v>
      </c>
      <c r="AJ502" s="2">
        <v>125</v>
      </c>
      <c r="AK502" s="2">
        <v>13521.07</v>
      </c>
      <c r="AL502" s="2">
        <v>5.58</v>
      </c>
      <c r="AM502" s="5">
        <v>2705.33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18179.82</v>
      </c>
      <c r="AT502" s="12">
        <v>16231.98</v>
      </c>
      <c r="AU502" s="2">
        <v>0</v>
      </c>
      <c r="AV502" s="5">
        <v>1514.98</v>
      </c>
      <c r="AX502" s="2">
        <v>302872</v>
      </c>
      <c r="AY502" s="2">
        <v>125</v>
      </c>
      <c r="AZ502" s="2">
        <v>13521.07</v>
      </c>
      <c r="BA502" s="2">
        <v>5.58</v>
      </c>
      <c r="BB502" s="5">
        <v>2705.33</v>
      </c>
      <c r="BC502" s="12">
        <v>0</v>
      </c>
      <c r="BD502" s="2">
        <v>0</v>
      </c>
      <c r="BE502" s="2">
        <v>0</v>
      </c>
      <c r="BF502" s="2">
        <v>0</v>
      </c>
      <c r="BG502" s="5">
        <v>0</v>
      </c>
      <c r="BH502" s="2">
        <v>18179.82</v>
      </c>
      <c r="BI502" s="12">
        <v>16231.98</v>
      </c>
      <c r="BJ502" s="2">
        <v>0</v>
      </c>
      <c r="BK502" s="5">
        <v>1514.98</v>
      </c>
      <c r="BL502" s="1" t="s">
        <v>130</v>
      </c>
    </row>
    <row r="503" spans="1:64" x14ac:dyDescent="0.3">
      <c r="A503" t="s">
        <v>912</v>
      </c>
      <c r="B503" s="1" t="s">
        <v>918</v>
      </c>
      <c r="C503" s="9" t="s">
        <v>919</v>
      </c>
      <c r="D503" s="1" t="s">
        <v>95</v>
      </c>
      <c r="E503" s="1" t="s">
        <v>128</v>
      </c>
      <c r="F503" s="10" t="s">
        <v>309</v>
      </c>
      <c r="G503" s="1">
        <v>0.05</v>
      </c>
      <c r="H503" s="1">
        <v>0.05</v>
      </c>
      <c r="I503" s="8">
        <v>45067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0</v>
      </c>
      <c r="U503" s="6">
        <v>0</v>
      </c>
      <c r="V503" s="6">
        <v>0</v>
      </c>
      <c r="W503" s="6">
        <v>0</v>
      </c>
      <c r="AI503" s="2">
        <v>193978</v>
      </c>
      <c r="AJ503" s="2">
        <v>17225</v>
      </c>
      <c r="AK503" s="2">
        <v>8659.73</v>
      </c>
      <c r="AL503" s="2">
        <v>768.97</v>
      </c>
      <c r="AM503" s="5">
        <v>1885.74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12672.17</v>
      </c>
      <c r="AT503" s="12">
        <v>11314.439999999999</v>
      </c>
      <c r="AU503" s="2">
        <v>0</v>
      </c>
      <c r="AV503" s="5">
        <v>1056.02</v>
      </c>
      <c r="AX503" s="2">
        <v>193978</v>
      </c>
      <c r="AY503" s="2">
        <v>17225</v>
      </c>
      <c r="AZ503" s="2">
        <v>8659.73</v>
      </c>
      <c r="BA503" s="2">
        <v>768.97</v>
      </c>
      <c r="BB503" s="5">
        <v>1885.74</v>
      </c>
      <c r="BC503" s="12">
        <v>0</v>
      </c>
      <c r="BD503" s="2">
        <v>0</v>
      </c>
      <c r="BE503" s="2">
        <v>0</v>
      </c>
      <c r="BF503" s="2">
        <v>0</v>
      </c>
      <c r="BG503" s="5">
        <v>0</v>
      </c>
      <c r="BH503" s="2">
        <v>12672.17</v>
      </c>
      <c r="BI503" s="12">
        <v>11314.439999999999</v>
      </c>
      <c r="BJ503" s="2">
        <v>0</v>
      </c>
      <c r="BK503" s="5">
        <v>1056.02</v>
      </c>
      <c r="BL503" s="1" t="s">
        <v>130</v>
      </c>
    </row>
    <row r="504" spans="1:64" x14ac:dyDescent="0.3">
      <c r="A504" t="s">
        <v>912</v>
      </c>
      <c r="B504" s="1" t="s">
        <v>920</v>
      </c>
      <c r="C504" s="9" t="s">
        <v>921</v>
      </c>
      <c r="D504" s="1" t="s">
        <v>95</v>
      </c>
      <c r="E504" s="1" t="s">
        <v>128</v>
      </c>
      <c r="F504" s="10" t="s">
        <v>309</v>
      </c>
      <c r="G504" s="1">
        <v>0.05</v>
      </c>
      <c r="H504" s="1">
        <v>0.05</v>
      </c>
      <c r="I504" s="8">
        <v>45067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0</v>
      </c>
      <c r="U504" s="6">
        <v>0</v>
      </c>
      <c r="V504" s="6">
        <v>0</v>
      </c>
      <c r="W504" s="6">
        <v>0</v>
      </c>
      <c r="AI504" s="2">
        <v>622322</v>
      </c>
      <c r="AJ504" s="2">
        <v>0</v>
      </c>
      <c r="AK504" s="2">
        <v>27782.23</v>
      </c>
      <c r="AL504" s="2">
        <v>0</v>
      </c>
      <c r="AM504" s="5">
        <v>5556.45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37339.32</v>
      </c>
      <c r="AT504" s="12">
        <v>33338.68</v>
      </c>
      <c r="AU504" s="2">
        <v>0</v>
      </c>
      <c r="AV504" s="5">
        <v>3111.61</v>
      </c>
      <c r="AX504" s="2">
        <v>622322</v>
      </c>
      <c r="AY504" s="2">
        <v>0</v>
      </c>
      <c r="AZ504" s="2">
        <v>27782.23</v>
      </c>
      <c r="BA504" s="2">
        <v>0</v>
      </c>
      <c r="BB504" s="5">
        <v>5556.45</v>
      </c>
      <c r="BC504" s="12">
        <v>0</v>
      </c>
      <c r="BD504" s="2">
        <v>0</v>
      </c>
      <c r="BE504" s="2">
        <v>0</v>
      </c>
      <c r="BF504" s="2">
        <v>0</v>
      </c>
      <c r="BG504" s="5">
        <v>0</v>
      </c>
      <c r="BH504" s="2">
        <v>37339.32</v>
      </c>
      <c r="BI504" s="12">
        <v>33338.68</v>
      </c>
      <c r="BJ504" s="2">
        <v>0</v>
      </c>
      <c r="BK504" s="5">
        <v>3111.61</v>
      </c>
      <c r="BL504" s="1" t="s">
        <v>130</v>
      </c>
    </row>
    <row r="505" spans="1:64" x14ac:dyDescent="0.3">
      <c r="A505" t="s">
        <v>912</v>
      </c>
      <c r="B505" s="1" t="s">
        <v>922</v>
      </c>
      <c r="C505" s="9" t="s">
        <v>923</v>
      </c>
      <c r="D505" s="1" t="s">
        <v>95</v>
      </c>
      <c r="E505" s="1" t="s">
        <v>128</v>
      </c>
      <c r="F505" s="10" t="s">
        <v>309</v>
      </c>
      <c r="G505" s="1">
        <v>0.05</v>
      </c>
      <c r="H505" s="1">
        <v>0.05</v>
      </c>
      <c r="I505" s="8">
        <v>45067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0</v>
      </c>
      <c r="U505" s="6">
        <v>0</v>
      </c>
      <c r="V505" s="6">
        <v>0</v>
      </c>
      <c r="W505" s="6">
        <v>0</v>
      </c>
      <c r="AI505" s="2">
        <v>164205</v>
      </c>
      <c r="AJ505" s="2">
        <v>0</v>
      </c>
      <c r="AK505" s="2">
        <v>7330.58</v>
      </c>
      <c r="AL505" s="2">
        <v>0</v>
      </c>
      <c r="AM505" s="5">
        <v>1466.12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9852.2999999999993</v>
      </c>
      <c r="AT505" s="12">
        <v>8796.7000000000007</v>
      </c>
      <c r="AU505" s="2">
        <v>0</v>
      </c>
      <c r="AV505" s="5">
        <v>821.02</v>
      </c>
      <c r="AX505" s="2">
        <v>164205</v>
      </c>
      <c r="AY505" s="2">
        <v>0</v>
      </c>
      <c r="AZ505" s="2">
        <v>7330.58</v>
      </c>
      <c r="BA505" s="2">
        <v>0</v>
      </c>
      <c r="BB505" s="5">
        <v>1466.12</v>
      </c>
      <c r="BC505" s="12">
        <v>0</v>
      </c>
      <c r="BD505" s="2">
        <v>0</v>
      </c>
      <c r="BE505" s="2">
        <v>0</v>
      </c>
      <c r="BF505" s="2">
        <v>0</v>
      </c>
      <c r="BG505" s="5">
        <v>0</v>
      </c>
      <c r="BH505" s="2">
        <v>9852.2999999999993</v>
      </c>
      <c r="BI505" s="12">
        <v>8796.7000000000007</v>
      </c>
      <c r="BJ505" s="2">
        <v>0</v>
      </c>
      <c r="BK505" s="5">
        <v>821.02</v>
      </c>
      <c r="BL505" s="1" t="s">
        <v>130</v>
      </c>
    </row>
    <row r="506" spans="1:64" x14ac:dyDescent="0.3">
      <c r="A506" t="s">
        <v>912</v>
      </c>
      <c r="B506" s="1" t="s">
        <v>924</v>
      </c>
      <c r="C506" s="9" t="s">
        <v>925</v>
      </c>
      <c r="D506" s="1" t="s">
        <v>95</v>
      </c>
      <c r="E506" s="1" t="s">
        <v>128</v>
      </c>
      <c r="F506" s="10" t="s">
        <v>309</v>
      </c>
      <c r="G506" s="1">
        <v>0.05</v>
      </c>
      <c r="H506" s="1">
        <v>0.05</v>
      </c>
      <c r="I506" s="8">
        <v>45067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0</v>
      </c>
      <c r="U506" s="6">
        <v>0</v>
      </c>
      <c r="V506" s="6">
        <v>0</v>
      </c>
      <c r="W506" s="6">
        <v>0</v>
      </c>
      <c r="AI506" s="2">
        <v>320357</v>
      </c>
      <c r="AJ506" s="2">
        <v>0</v>
      </c>
      <c r="AK506" s="2">
        <v>14301.65</v>
      </c>
      <c r="AL506" s="2">
        <v>0</v>
      </c>
      <c r="AM506" s="5">
        <v>2860.33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19221.419999999998</v>
      </c>
      <c r="AT506" s="12">
        <v>17161.98</v>
      </c>
      <c r="AU506" s="2">
        <v>0</v>
      </c>
      <c r="AV506" s="5">
        <v>1601.78</v>
      </c>
      <c r="AX506" s="2">
        <v>320357</v>
      </c>
      <c r="AY506" s="2">
        <v>0</v>
      </c>
      <c r="AZ506" s="2">
        <v>14301.65</v>
      </c>
      <c r="BA506" s="2">
        <v>0</v>
      </c>
      <c r="BB506" s="5">
        <v>2860.33</v>
      </c>
      <c r="BC506" s="12">
        <v>0</v>
      </c>
      <c r="BD506" s="2">
        <v>0</v>
      </c>
      <c r="BE506" s="2">
        <v>0</v>
      </c>
      <c r="BF506" s="2">
        <v>0</v>
      </c>
      <c r="BG506" s="5">
        <v>0</v>
      </c>
      <c r="BH506" s="2">
        <v>19221.419999999998</v>
      </c>
      <c r="BI506" s="12">
        <v>17161.98</v>
      </c>
      <c r="BJ506" s="2">
        <v>0</v>
      </c>
      <c r="BK506" s="5">
        <v>1601.78</v>
      </c>
      <c r="BL506" s="1" t="s">
        <v>130</v>
      </c>
    </row>
    <row r="507" spans="1:64" x14ac:dyDescent="0.3">
      <c r="A507" t="s">
        <v>912</v>
      </c>
      <c r="B507" s="1" t="s">
        <v>926</v>
      </c>
      <c r="C507" s="9" t="s">
        <v>927</v>
      </c>
      <c r="D507" s="1" t="s">
        <v>95</v>
      </c>
      <c r="E507" s="1" t="s">
        <v>128</v>
      </c>
      <c r="F507" s="10" t="s">
        <v>309</v>
      </c>
      <c r="G507" s="1">
        <v>0</v>
      </c>
      <c r="H507" s="1">
        <v>0.05</v>
      </c>
      <c r="I507" s="8">
        <v>45144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0</v>
      </c>
      <c r="U507" s="6">
        <v>0</v>
      </c>
      <c r="V507" s="6">
        <v>0</v>
      </c>
      <c r="W507" s="6">
        <v>0</v>
      </c>
      <c r="AI507" s="2">
        <v>369115</v>
      </c>
      <c r="AJ507" s="2">
        <v>0</v>
      </c>
      <c r="AK507" s="2">
        <v>16478.349999999999</v>
      </c>
      <c r="AL507" s="2">
        <v>0</v>
      </c>
      <c r="AM507" s="5">
        <v>3295.67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22146.9</v>
      </c>
      <c r="AT507" s="12">
        <v>19774.019999999997</v>
      </c>
      <c r="AU507" s="2">
        <v>0</v>
      </c>
      <c r="AV507" s="5">
        <v>1845.58</v>
      </c>
      <c r="AX507" s="2">
        <v>369115</v>
      </c>
      <c r="AY507" s="2">
        <v>0</v>
      </c>
      <c r="AZ507" s="2">
        <v>16478.349999999999</v>
      </c>
      <c r="BA507" s="2">
        <v>0</v>
      </c>
      <c r="BB507" s="5">
        <v>3295.67</v>
      </c>
      <c r="BC507" s="12">
        <v>0</v>
      </c>
      <c r="BD507" s="2">
        <v>0</v>
      </c>
      <c r="BE507" s="2">
        <v>0</v>
      </c>
      <c r="BF507" s="2">
        <v>0</v>
      </c>
      <c r="BG507" s="5">
        <v>0</v>
      </c>
      <c r="BH507" s="2">
        <v>22146.9</v>
      </c>
      <c r="BI507" s="12">
        <v>19774.019999999997</v>
      </c>
      <c r="BJ507" s="2">
        <v>0</v>
      </c>
      <c r="BK507" s="5">
        <v>1845.58</v>
      </c>
      <c r="BL507" s="1" t="s">
        <v>130</v>
      </c>
    </row>
    <row r="508" spans="1:64" x14ac:dyDescent="0.3">
      <c r="A508" t="s">
        <v>912</v>
      </c>
      <c r="B508" s="1" t="s">
        <v>928</v>
      </c>
      <c r="C508" s="9" t="s">
        <v>929</v>
      </c>
      <c r="D508" s="1" t="s">
        <v>95</v>
      </c>
      <c r="E508" s="1" t="s">
        <v>128</v>
      </c>
      <c r="F508" s="10" t="s">
        <v>309</v>
      </c>
      <c r="G508" s="1">
        <v>0</v>
      </c>
      <c r="H508" s="1">
        <v>0.05</v>
      </c>
      <c r="I508" s="8">
        <v>44915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0</v>
      </c>
      <c r="U508" s="6">
        <v>0</v>
      </c>
      <c r="V508" s="6">
        <v>0</v>
      </c>
      <c r="W508" s="6">
        <v>0</v>
      </c>
      <c r="AI508" s="2">
        <v>231460</v>
      </c>
      <c r="AJ508" s="2">
        <v>9035</v>
      </c>
      <c r="AK508" s="2">
        <v>10333.040000000001</v>
      </c>
      <c r="AL508" s="2">
        <v>403.35</v>
      </c>
      <c r="AM508" s="5">
        <v>2147.2800000000002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14429.71</v>
      </c>
      <c r="AT508" s="12">
        <v>12883.670000000002</v>
      </c>
      <c r="AU508" s="2">
        <v>0</v>
      </c>
      <c r="AV508" s="5">
        <v>1202.48</v>
      </c>
      <c r="AX508" s="2">
        <v>231460</v>
      </c>
      <c r="AY508" s="2">
        <v>9035</v>
      </c>
      <c r="AZ508" s="2">
        <v>10333.040000000001</v>
      </c>
      <c r="BA508" s="2">
        <v>403.35</v>
      </c>
      <c r="BB508" s="5">
        <v>2147.2800000000002</v>
      </c>
      <c r="BC508" s="12">
        <v>0</v>
      </c>
      <c r="BD508" s="2">
        <v>0</v>
      </c>
      <c r="BE508" s="2">
        <v>0</v>
      </c>
      <c r="BF508" s="2">
        <v>0</v>
      </c>
      <c r="BG508" s="5">
        <v>0</v>
      </c>
      <c r="BH508" s="2">
        <v>14429.71</v>
      </c>
      <c r="BI508" s="12">
        <v>12883.670000000002</v>
      </c>
      <c r="BJ508" s="2">
        <v>0</v>
      </c>
      <c r="BK508" s="5">
        <v>1202.48</v>
      </c>
      <c r="BL508" s="1" t="s">
        <v>130</v>
      </c>
    </row>
    <row r="509" spans="1:64" x14ac:dyDescent="0.3">
      <c r="A509" t="s">
        <v>912</v>
      </c>
      <c r="B509" s="1" t="s">
        <v>930</v>
      </c>
      <c r="C509" s="9" t="s">
        <v>931</v>
      </c>
      <c r="D509" s="1" t="s">
        <v>95</v>
      </c>
      <c r="E509" s="1" t="s">
        <v>128</v>
      </c>
      <c r="F509" s="10" t="s">
        <v>309</v>
      </c>
      <c r="G509" s="1">
        <v>0</v>
      </c>
      <c r="H509" s="1">
        <v>0.05</v>
      </c>
      <c r="I509" s="8">
        <v>45365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0</v>
      </c>
      <c r="U509" s="6">
        <v>0</v>
      </c>
      <c r="V509" s="6">
        <v>0</v>
      </c>
      <c r="W509" s="6">
        <v>0</v>
      </c>
      <c r="AI509" s="2">
        <v>102436</v>
      </c>
      <c r="AJ509" s="2">
        <v>0</v>
      </c>
      <c r="AK509" s="2">
        <v>4573.04</v>
      </c>
      <c r="AL509" s="2">
        <v>0</v>
      </c>
      <c r="AM509" s="5">
        <v>914.61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6146.17</v>
      </c>
      <c r="AT509" s="12">
        <v>5487.65</v>
      </c>
      <c r="AU509" s="2">
        <v>0</v>
      </c>
      <c r="AV509" s="5">
        <v>512.17999999999995</v>
      </c>
      <c r="AX509" s="2">
        <v>102436</v>
      </c>
      <c r="AY509" s="2">
        <v>0</v>
      </c>
      <c r="AZ509" s="2">
        <v>4573.04</v>
      </c>
      <c r="BA509" s="2">
        <v>0</v>
      </c>
      <c r="BB509" s="5">
        <v>914.61</v>
      </c>
      <c r="BC509" s="12">
        <v>0</v>
      </c>
      <c r="BD509" s="2">
        <v>0</v>
      </c>
      <c r="BE509" s="2">
        <v>0</v>
      </c>
      <c r="BF509" s="2">
        <v>0</v>
      </c>
      <c r="BG509" s="5">
        <v>0</v>
      </c>
      <c r="BH509" s="2">
        <v>6146.17</v>
      </c>
      <c r="BI509" s="12">
        <v>5487.65</v>
      </c>
      <c r="BJ509" s="2">
        <v>0</v>
      </c>
      <c r="BK509" s="5">
        <v>512.17999999999995</v>
      </c>
      <c r="BL509" s="1" t="s">
        <v>130</v>
      </c>
    </row>
    <row r="510" spans="1:64" x14ac:dyDescent="0.3">
      <c r="A510" t="s">
        <v>912</v>
      </c>
      <c r="B510" s="1" t="s">
        <v>932</v>
      </c>
      <c r="C510" s="9" t="s">
        <v>933</v>
      </c>
      <c r="D510" s="1" t="s">
        <v>95</v>
      </c>
      <c r="E510" s="1" t="s">
        <v>128</v>
      </c>
      <c r="F510" s="10" t="s">
        <v>309</v>
      </c>
      <c r="G510" s="1">
        <v>0</v>
      </c>
      <c r="H510" s="1">
        <v>0.05</v>
      </c>
      <c r="I510" s="8">
        <v>0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0</v>
      </c>
      <c r="U510" s="6">
        <v>0</v>
      </c>
      <c r="V510" s="6">
        <v>0</v>
      </c>
      <c r="W510" s="6">
        <v>0</v>
      </c>
      <c r="AI510" s="2">
        <v>59661</v>
      </c>
      <c r="AJ510" s="2">
        <v>0</v>
      </c>
      <c r="AK510" s="2">
        <v>2663.44</v>
      </c>
      <c r="AL510" s="2">
        <v>0</v>
      </c>
      <c r="AM510" s="5">
        <v>532.69000000000005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3579.67</v>
      </c>
      <c r="AT510" s="12">
        <v>3196.13</v>
      </c>
      <c r="AU510" s="2">
        <v>0</v>
      </c>
      <c r="AV510" s="5">
        <v>298.3</v>
      </c>
      <c r="AX510" s="2">
        <v>59661</v>
      </c>
      <c r="AY510" s="2">
        <v>0</v>
      </c>
      <c r="AZ510" s="2">
        <v>2663.44</v>
      </c>
      <c r="BA510" s="2">
        <v>0</v>
      </c>
      <c r="BB510" s="5">
        <v>532.69000000000005</v>
      </c>
      <c r="BC510" s="12">
        <v>0</v>
      </c>
      <c r="BD510" s="2">
        <v>0</v>
      </c>
      <c r="BE510" s="2">
        <v>0</v>
      </c>
      <c r="BF510" s="2">
        <v>0</v>
      </c>
      <c r="BG510" s="5">
        <v>0</v>
      </c>
      <c r="BH510" s="2">
        <v>3579.67</v>
      </c>
      <c r="BI510" s="12">
        <v>3196.13</v>
      </c>
      <c r="BJ510" s="2">
        <v>0</v>
      </c>
      <c r="BK510" s="5">
        <v>298.3</v>
      </c>
      <c r="BL510" s="1" t="s">
        <v>130</v>
      </c>
    </row>
    <row r="511" spans="1:64" x14ac:dyDescent="0.3">
      <c r="A511" t="s">
        <v>912</v>
      </c>
      <c r="B511" s="1" t="s">
        <v>934</v>
      </c>
      <c r="C511" s="9" t="s">
        <v>935</v>
      </c>
      <c r="D511" s="1" t="s">
        <v>95</v>
      </c>
      <c r="E511" s="1" t="s">
        <v>128</v>
      </c>
      <c r="F511" s="10" t="s">
        <v>309</v>
      </c>
      <c r="G511" s="1">
        <v>0</v>
      </c>
      <c r="H511" s="1">
        <v>0.05</v>
      </c>
      <c r="I511" s="8">
        <v>0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0</v>
      </c>
      <c r="U511" s="6">
        <v>0</v>
      </c>
      <c r="V511" s="6">
        <v>0</v>
      </c>
      <c r="W511" s="6">
        <v>0</v>
      </c>
      <c r="AI511" s="2">
        <v>0</v>
      </c>
      <c r="AJ511" s="2">
        <v>0</v>
      </c>
      <c r="AK511" s="2">
        <v>0</v>
      </c>
      <c r="AL511" s="2">
        <v>0</v>
      </c>
      <c r="AM511" s="5">
        <v>0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0</v>
      </c>
      <c r="AT511" s="12">
        <v>0</v>
      </c>
      <c r="AU511" s="2">
        <v>0</v>
      </c>
      <c r="AV511" s="5">
        <v>0</v>
      </c>
      <c r="AX511" s="2">
        <v>0</v>
      </c>
      <c r="AY511" s="2">
        <v>0</v>
      </c>
      <c r="AZ511" s="2">
        <v>0</v>
      </c>
      <c r="BA511" s="2">
        <v>0</v>
      </c>
      <c r="BB511" s="5">
        <v>0</v>
      </c>
      <c r="BC511" s="12">
        <v>0</v>
      </c>
      <c r="BD511" s="2">
        <v>0</v>
      </c>
      <c r="BE511" s="2">
        <v>0</v>
      </c>
      <c r="BF511" s="2">
        <v>0</v>
      </c>
      <c r="BG511" s="5">
        <v>0</v>
      </c>
      <c r="BH511" s="2">
        <v>0</v>
      </c>
      <c r="BI511" s="12">
        <v>0</v>
      </c>
      <c r="BJ511" s="2">
        <v>0</v>
      </c>
      <c r="BK511" s="5">
        <v>0</v>
      </c>
      <c r="BL511" s="1" t="s">
        <v>130</v>
      </c>
    </row>
    <row r="512" spans="1:64" x14ac:dyDescent="0.3">
      <c r="A512" t="s">
        <v>950</v>
      </c>
      <c r="B512" s="1" t="s">
        <v>950</v>
      </c>
      <c r="C512" s="9" t="s">
        <v>951</v>
      </c>
      <c r="D512" s="1" t="s">
        <v>95</v>
      </c>
      <c r="E512" s="1" t="s">
        <v>135</v>
      </c>
      <c r="F512" s="10" t="s">
        <v>435</v>
      </c>
      <c r="G512" s="1">
        <v>0</v>
      </c>
      <c r="H512" s="1">
        <v>0.05</v>
      </c>
      <c r="I512" s="8">
        <v>44333</v>
      </c>
      <c r="J512" s="6">
        <v>751431</v>
      </c>
      <c r="K512" s="6">
        <v>159111</v>
      </c>
      <c r="L512" s="6">
        <v>33546.03</v>
      </c>
      <c r="M512" s="6">
        <v>7103.17</v>
      </c>
      <c r="N512" s="7">
        <v>8129.84</v>
      </c>
      <c r="O512" s="6">
        <v>-1275921.2999999998</v>
      </c>
      <c r="P512" s="6">
        <v>-115897.80000000002</v>
      </c>
      <c r="Q512" s="6">
        <v>-56960.77</v>
      </c>
      <c r="R512" s="6">
        <v>-5174.01</v>
      </c>
      <c r="S512" s="7">
        <v>0</v>
      </c>
      <c r="T512" s="11">
        <v>-14958.43</v>
      </c>
      <c r="U512" s="6">
        <v>-13355.740000000005</v>
      </c>
      <c r="V512" s="6">
        <v>0</v>
      </c>
      <c r="W512" s="6">
        <v>-2406.3900000000003</v>
      </c>
      <c r="AI512" s="2">
        <v>751431</v>
      </c>
      <c r="AJ512" s="2">
        <v>159111</v>
      </c>
      <c r="AK512" s="2">
        <v>33546.03</v>
      </c>
      <c r="AL512" s="2">
        <v>7103.17</v>
      </c>
      <c r="AM512" s="5">
        <v>8129.84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54632.52</v>
      </c>
      <c r="AT512" s="12">
        <v>48779.039999999994</v>
      </c>
      <c r="AU512" s="2">
        <v>0</v>
      </c>
      <c r="AV512" s="5">
        <v>4552.71</v>
      </c>
      <c r="AX512" s="2">
        <v>0</v>
      </c>
      <c r="AY512" s="2">
        <v>0</v>
      </c>
      <c r="AZ512" s="2">
        <v>0</v>
      </c>
      <c r="BA512" s="2">
        <v>0</v>
      </c>
      <c r="BB512" s="5">
        <v>0</v>
      </c>
      <c r="BC512" s="12">
        <v>1275921.2999999998</v>
      </c>
      <c r="BD512" s="2">
        <v>115897.80000000002</v>
      </c>
      <c r="BE512" s="2">
        <v>56960.77</v>
      </c>
      <c r="BF512" s="2">
        <v>5174.01</v>
      </c>
      <c r="BG512" s="5">
        <v>0</v>
      </c>
      <c r="BH512" s="2">
        <v>69590.95</v>
      </c>
      <c r="BI512" s="12">
        <v>62134.78</v>
      </c>
      <c r="BJ512" s="2">
        <v>0</v>
      </c>
      <c r="BK512" s="5">
        <v>6959.1</v>
      </c>
      <c r="BL512" s="1" t="s">
        <v>436</v>
      </c>
    </row>
    <row r="513" spans="1:64" x14ac:dyDescent="0.3">
      <c r="A513" t="s">
        <v>960</v>
      </c>
      <c r="B513" s="1" t="s">
        <v>960</v>
      </c>
      <c r="C513" s="9" t="s">
        <v>961</v>
      </c>
      <c r="D513" s="1" t="s">
        <v>95</v>
      </c>
      <c r="E513" s="1" t="s">
        <v>135</v>
      </c>
      <c r="F513" s="10" t="s">
        <v>485</v>
      </c>
      <c r="G513" s="1">
        <v>0</v>
      </c>
      <c r="H513" s="1">
        <v>0.05</v>
      </c>
      <c r="I513" s="8">
        <v>44166</v>
      </c>
      <c r="J513" s="6">
        <v>568251.5</v>
      </c>
      <c r="K513" s="6">
        <v>66096</v>
      </c>
      <c r="L513" s="6">
        <v>25368.38</v>
      </c>
      <c r="M513" s="6">
        <v>2950.71</v>
      </c>
      <c r="N513" s="7">
        <v>5663.82</v>
      </c>
      <c r="O513" s="6">
        <v>-675149.39999999991</v>
      </c>
      <c r="P513" s="6">
        <v>-15519.300000000001</v>
      </c>
      <c r="Q513" s="6">
        <v>-30140.6</v>
      </c>
      <c r="R513" s="6">
        <v>-692.83</v>
      </c>
      <c r="S513" s="7">
        <v>0</v>
      </c>
      <c r="T513" s="11">
        <v>3527.4199999999983</v>
      </c>
      <c r="U513" s="6">
        <v>3149.4800000000032</v>
      </c>
      <c r="V513" s="6">
        <v>0</v>
      </c>
      <c r="W513" s="6">
        <v>-281.60000000000036</v>
      </c>
      <c r="AI513" s="2">
        <v>568251.5</v>
      </c>
      <c r="AJ513" s="2">
        <v>66096</v>
      </c>
      <c r="AK513" s="2">
        <v>25368.38</v>
      </c>
      <c r="AL513" s="2">
        <v>2950.71</v>
      </c>
      <c r="AM513" s="5">
        <v>5663.82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38060.86</v>
      </c>
      <c r="AT513" s="12">
        <v>33982.910000000003</v>
      </c>
      <c r="AU513" s="2">
        <v>0</v>
      </c>
      <c r="AV513" s="5">
        <v>3171.74</v>
      </c>
      <c r="AX513" s="2">
        <v>0</v>
      </c>
      <c r="AY513" s="2">
        <v>0</v>
      </c>
      <c r="AZ513" s="2">
        <v>0</v>
      </c>
      <c r="BA513" s="2">
        <v>0</v>
      </c>
      <c r="BB513" s="5">
        <v>0</v>
      </c>
      <c r="BC513" s="12">
        <v>675149.39999999991</v>
      </c>
      <c r="BD513" s="2">
        <v>15519.300000000001</v>
      </c>
      <c r="BE513" s="2">
        <v>30140.6</v>
      </c>
      <c r="BF513" s="2">
        <v>692.83</v>
      </c>
      <c r="BG513" s="5">
        <v>0</v>
      </c>
      <c r="BH513" s="2">
        <v>34533.440000000002</v>
      </c>
      <c r="BI513" s="12">
        <v>30833.43</v>
      </c>
      <c r="BJ513" s="2">
        <v>0</v>
      </c>
      <c r="BK513" s="5">
        <v>3453.34</v>
      </c>
      <c r="BL513" s="1" t="s">
        <v>302</v>
      </c>
    </row>
    <row r="514" spans="1:64" x14ac:dyDescent="0.3">
      <c r="A514" t="s">
        <v>964</v>
      </c>
      <c r="B514" s="1" t="s">
        <v>964</v>
      </c>
      <c r="C514" s="9" t="s">
        <v>965</v>
      </c>
      <c r="D514" s="1" t="s">
        <v>95</v>
      </c>
      <c r="E514" s="1" t="s">
        <v>88</v>
      </c>
      <c r="F514" s="10" t="s">
        <v>117</v>
      </c>
      <c r="G514" s="1">
        <v>0</v>
      </c>
      <c r="H514" s="1">
        <v>0</v>
      </c>
      <c r="I514" s="8">
        <v>45516</v>
      </c>
      <c r="J514" s="6">
        <v>0</v>
      </c>
      <c r="K514" s="6">
        <v>0</v>
      </c>
      <c r="L514" s="6">
        <v>0</v>
      </c>
      <c r="M514" s="6">
        <v>0</v>
      </c>
      <c r="N514" s="7">
        <v>7518.46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8420.68</v>
      </c>
      <c r="U514" s="6">
        <v>7518.46</v>
      </c>
      <c r="V514" s="6">
        <v>0</v>
      </c>
      <c r="W514" s="6">
        <v>0</v>
      </c>
      <c r="AI514" s="2">
        <v>698364.8</v>
      </c>
      <c r="AJ514" s="2">
        <v>143702</v>
      </c>
      <c r="AK514" s="2">
        <v>0</v>
      </c>
      <c r="AL514" s="2">
        <v>0</v>
      </c>
      <c r="AM514" s="5">
        <v>7518.46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8420.68</v>
      </c>
      <c r="AT514" s="12">
        <v>7518.46</v>
      </c>
      <c r="AU514" s="2">
        <v>0</v>
      </c>
      <c r="AV514" s="5">
        <v>4210.33</v>
      </c>
      <c r="AX514" s="2">
        <v>698364.8</v>
      </c>
      <c r="AY514" s="2">
        <v>143702</v>
      </c>
      <c r="AZ514" s="2">
        <v>0</v>
      </c>
      <c r="BA514" s="2">
        <v>0</v>
      </c>
      <c r="BB514" s="5">
        <v>0</v>
      </c>
      <c r="BC514" s="12">
        <v>0</v>
      </c>
      <c r="BD514" s="2">
        <v>0</v>
      </c>
      <c r="BE514" s="2">
        <v>0</v>
      </c>
      <c r="BF514" s="2">
        <v>0</v>
      </c>
      <c r="BG514" s="5">
        <v>0</v>
      </c>
      <c r="BH514" s="2">
        <v>0</v>
      </c>
      <c r="BI514" s="12">
        <v>0</v>
      </c>
      <c r="BJ514" s="2">
        <v>0</v>
      </c>
      <c r="BK514" s="5">
        <v>4210.33</v>
      </c>
      <c r="BL514" s="1" t="s">
        <v>90</v>
      </c>
    </row>
    <row r="515" spans="1:64" x14ac:dyDescent="0.3">
      <c r="A515" t="s">
        <v>970</v>
      </c>
      <c r="B515" s="1" t="s">
        <v>970</v>
      </c>
      <c r="C515" s="9" t="s">
        <v>971</v>
      </c>
      <c r="D515" s="1" t="s">
        <v>95</v>
      </c>
      <c r="E515" s="1" t="s">
        <v>135</v>
      </c>
      <c r="F515" s="10" t="s">
        <v>435</v>
      </c>
      <c r="G515" s="1">
        <v>0</v>
      </c>
      <c r="H515" s="1">
        <v>0.05</v>
      </c>
      <c r="I515" s="8">
        <v>44051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0</v>
      </c>
      <c r="U515" s="6">
        <v>0</v>
      </c>
      <c r="V515" s="6">
        <v>0</v>
      </c>
      <c r="W515" s="6">
        <v>0</v>
      </c>
      <c r="AI515" s="2">
        <v>287307</v>
      </c>
      <c r="AJ515" s="2">
        <v>44360</v>
      </c>
      <c r="AK515" s="2">
        <v>12826.21</v>
      </c>
      <c r="AL515" s="2">
        <v>1980.36</v>
      </c>
      <c r="AM515" s="5">
        <v>2961.31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19900.03</v>
      </c>
      <c r="AT515" s="12">
        <v>17767.88</v>
      </c>
      <c r="AU515" s="2">
        <v>0</v>
      </c>
      <c r="AV515" s="5">
        <v>1658.34</v>
      </c>
      <c r="AX515" s="2">
        <v>287307</v>
      </c>
      <c r="AY515" s="2">
        <v>44360</v>
      </c>
      <c r="AZ515" s="2">
        <v>12826.21</v>
      </c>
      <c r="BA515" s="2">
        <v>1980.36</v>
      </c>
      <c r="BB515" s="5">
        <v>2961.31</v>
      </c>
      <c r="BC515" s="12">
        <v>0</v>
      </c>
      <c r="BD515" s="2">
        <v>0</v>
      </c>
      <c r="BE515" s="2">
        <v>0</v>
      </c>
      <c r="BF515" s="2">
        <v>0</v>
      </c>
      <c r="BG515" s="5">
        <v>0</v>
      </c>
      <c r="BH515" s="2">
        <v>19900.03</v>
      </c>
      <c r="BI515" s="12">
        <v>17767.88</v>
      </c>
      <c r="BJ515" s="2">
        <v>0</v>
      </c>
      <c r="BK515" s="5">
        <v>1658.34</v>
      </c>
      <c r="BL515" s="1" t="s">
        <v>137</v>
      </c>
    </row>
    <row r="516" spans="1:64" x14ac:dyDescent="0.3">
      <c r="A516" t="s">
        <v>974</v>
      </c>
      <c r="B516" s="1" t="s">
        <v>974</v>
      </c>
      <c r="C516" s="9" t="s">
        <v>975</v>
      </c>
      <c r="D516" s="1" t="s">
        <v>95</v>
      </c>
      <c r="E516" s="1" t="s">
        <v>135</v>
      </c>
      <c r="F516" s="10" t="s">
        <v>193</v>
      </c>
      <c r="G516" s="1">
        <v>0</v>
      </c>
      <c r="H516" s="1">
        <v>0.05</v>
      </c>
      <c r="I516" s="8">
        <v>44330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  <c r="T516" s="11">
        <v>0</v>
      </c>
      <c r="U516" s="6">
        <v>0</v>
      </c>
      <c r="V516" s="6">
        <v>0</v>
      </c>
      <c r="W516" s="6">
        <v>0</v>
      </c>
      <c r="AI516" s="2">
        <v>382004.25</v>
      </c>
      <c r="AJ516" s="2">
        <v>138722</v>
      </c>
      <c r="AK516" s="2">
        <v>17053.759999999998</v>
      </c>
      <c r="AL516" s="2">
        <v>6192.95</v>
      </c>
      <c r="AM516" s="5">
        <v>4649.34</v>
      </c>
      <c r="AN516" s="12">
        <v>0</v>
      </c>
      <c r="AO516" s="2">
        <v>0</v>
      </c>
      <c r="AP516" s="2">
        <v>0</v>
      </c>
      <c r="AQ516" s="2">
        <v>0</v>
      </c>
      <c r="AR516" s="5">
        <v>0</v>
      </c>
      <c r="AS516" s="2">
        <v>31243.58</v>
      </c>
      <c r="AT516" s="12">
        <v>27896.05</v>
      </c>
      <c r="AU516" s="2">
        <v>0</v>
      </c>
      <c r="AV516" s="5">
        <v>2603.63</v>
      </c>
      <c r="AX516" s="2">
        <v>382004.25</v>
      </c>
      <c r="AY516" s="2">
        <v>138722</v>
      </c>
      <c r="AZ516" s="2">
        <v>17053.759999999998</v>
      </c>
      <c r="BA516" s="2">
        <v>6192.95</v>
      </c>
      <c r="BB516" s="5">
        <v>4649.34</v>
      </c>
      <c r="BC516" s="12">
        <v>0</v>
      </c>
      <c r="BD516" s="2">
        <v>0</v>
      </c>
      <c r="BE516" s="2">
        <v>0</v>
      </c>
      <c r="BF516" s="2">
        <v>0</v>
      </c>
      <c r="BG516" s="5">
        <v>0</v>
      </c>
      <c r="BH516" s="2">
        <v>31243.58</v>
      </c>
      <c r="BI516" s="12">
        <v>27896.05</v>
      </c>
      <c r="BJ516" s="2">
        <v>0</v>
      </c>
      <c r="BK516" s="5">
        <v>2603.63</v>
      </c>
      <c r="BL516" s="1" t="s">
        <v>137</v>
      </c>
    </row>
    <row r="517" spans="1:64" x14ac:dyDescent="0.3">
      <c r="A517" t="s">
        <v>976</v>
      </c>
      <c r="B517" s="1" t="s">
        <v>976</v>
      </c>
      <c r="C517" s="9" t="s">
        <v>977</v>
      </c>
      <c r="D517" s="1" t="s">
        <v>95</v>
      </c>
      <c r="E517" s="1" t="s">
        <v>135</v>
      </c>
      <c r="F517" s="10" t="s">
        <v>193</v>
      </c>
      <c r="G517" s="1">
        <v>0</v>
      </c>
      <c r="H517" s="1">
        <v>0.05</v>
      </c>
      <c r="I517" s="8">
        <v>44441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0</v>
      </c>
      <c r="U517" s="6">
        <v>0</v>
      </c>
      <c r="V517" s="6">
        <v>0</v>
      </c>
      <c r="W517" s="6">
        <v>0</v>
      </c>
      <c r="AI517" s="2">
        <v>905522</v>
      </c>
      <c r="AJ517" s="2">
        <v>149212</v>
      </c>
      <c r="AK517" s="2">
        <v>40425.089999999997</v>
      </c>
      <c r="AL517" s="2">
        <v>6661.25</v>
      </c>
      <c r="AM517" s="5">
        <v>9417.27</v>
      </c>
      <c r="AN517" s="12">
        <v>0</v>
      </c>
      <c r="AO517" s="2">
        <v>0</v>
      </c>
      <c r="AP517" s="2">
        <v>0</v>
      </c>
      <c r="AQ517" s="2">
        <v>0</v>
      </c>
      <c r="AR517" s="5">
        <v>0</v>
      </c>
      <c r="AS517" s="2">
        <v>63284.04</v>
      </c>
      <c r="AT517" s="12">
        <v>56503.61</v>
      </c>
      <c r="AU517" s="2">
        <v>0</v>
      </c>
      <c r="AV517" s="5">
        <v>5273.67</v>
      </c>
      <c r="AX517" s="2">
        <v>905522</v>
      </c>
      <c r="AY517" s="2">
        <v>149212</v>
      </c>
      <c r="AZ517" s="2">
        <v>40425.089999999997</v>
      </c>
      <c r="BA517" s="2">
        <v>6661.25</v>
      </c>
      <c r="BB517" s="5">
        <v>9417.27</v>
      </c>
      <c r="BC517" s="12">
        <v>0</v>
      </c>
      <c r="BD517" s="2">
        <v>0</v>
      </c>
      <c r="BE517" s="2">
        <v>0</v>
      </c>
      <c r="BF517" s="2">
        <v>0</v>
      </c>
      <c r="BG517" s="5">
        <v>0</v>
      </c>
      <c r="BH517" s="2">
        <v>63284.04</v>
      </c>
      <c r="BI517" s="12">
        <v>56503.61</v>
      </c>
      <c r="BJ517" s="2">
        <v>0</v>
      </c>
      <c r="BK517" s="5">
        <v>5273.67</v>
      </c>
      <c r="BL517" s="1" t="s">
        <v>436</v>
      </c>
    </row>
    <row r="518" spans="1:64" x14ac:dyDescent="0.3">
      <c r="A518" t="s">
        <v>978</v>
      </c>
      <c r="B518" s="1" t="s">
        <v>978</v>
      </c>
      <c r="C518" s="9" t="s">
        <v>979</v>
      </c>
      <c r="D518" s="1" t="s">
        <v>95</v>
      </c>
      <c r="E518" s="1" t="s">
        <v>135</v>
      </c>
      <c r="F518" s="10" t="s">
        <v>193</v>
      </c>
      <c r="G518" s="1">
        <v>0</v>
      </c>
      <c r="H518" s="1">
        <v>0.05</v>
      </c>
      <c r="I518" s="8">
        <v>44239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0</v>
      </c>
      <c r="U518" s="6">
        <v>0</v>
      </c>
      <c r="V518" s="6">
        <v>0</v>
      </c>
      <c r="W518" s="6">
        <v>0</v>
      </c>
      <c r="AI518" s="2">
        <v>532861</v>
      </c>
      <c r="AJ518" s="2">
        <v>46901</v>
      </c>
      <c r="AK518" s="2">
        <v>23788.44</v>
      </c>
      <c r="AL518" s="2">
        <v>2093.79</v>
      </c>
      <c r="AM518" s="5">
        <v>5176.45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34785.72</v>
      </c>
      <c r="AT518" s="12">
        <v>31058.68</v>
      </c>
      <c r="AU518" s="2">
        <v>0</v>
      </c>
      <c r="AV518" s="5">
        <v>2898.81</v>
      </c>
      <c r="AX518" s="2">
        <v>532861</v>
      </c>
      <c r="AY518" s="2">
        <v>46901</v>
      </c>
      <c r="AZ518" s="2">
        <v>23788.44</v>
      </c>
      <c r="BA518" s="2">
        <v>2093.79</v>
      </c>
      <c r="BB518" s="5">
        <v>5176.45</v>
      </c>
      <c r="BC518" s="12">
        <v>0</v>
      </c>
      <c r="BD518" s="2">
        <v>0</v>
      </c>
      <c r="BE518" s="2">
        <v>0</v>
      </c>
      <c r="BF518" s="2">
        <v>0</v>
      </c>
      <c r="BG518" s="5">
        <v>0</v>
      </c>
      <c r="BH518" s="2">
        <v>34785.72</v>
      </c>
      <c r="BI518" s="12">
        <v>31058.68</v>
      </c>
      <c r="BJ518" s="2">
        <v>0</v>
      </c>
      <c r="BK518" s="5">
        <v>2898.81</v>
      </c>
      <c r="BL518" s="1" t="s">
        <v>137</v>
      </c>
    </row>
    <row r="519" spans="1:64" x14ac:dyDescent="0.3">
      <c r="A519" t="s">
        <v>980</v>
      </c>
      <c r="B519" s="1" t="s">
        <v>980</v>
      </c>
      <c r="C519" s="9" t="s">
        <v>981</v>
      </c>
      <c r="D519" s="1" t="s">
        <v>95</v>
      </c>
      <c r="E519" s="1" t="s">
        <v>135</v>
      </c>
      <c r="F519" s="10" t="s">
        <v>435</v>
      </c>
      <c r="G519" s="1">
        <v>0</v>
      </c>
      <c r="H519" s="1">
        <v>0.05</v>
      </c>
      <c r="I519" s="8">
        <v>44092</v>
      </c>
      <c r="J519" s="6">
        <v>950284</v>
      </c>
      <c r="K519" s="6">
        <v>128631</v>
      </c>
      <c r="L519" s="6">
        <v>42423.39</v>
      </c>
      <c r="M519" s="6">
        <v>5742.46</v>
      </c>
      <c r="N519" s="7">
        <v>9633.17</v>
      </c>
      <c r="O519" s="6">
        <v>-372466.2</v>
      </c>
      <c r="P519" s="6">
        <v>-38146.799999999996</v>
      </c>
      <c r="Q519" s="6">
        <v>-16627.96</v>
      </c>
      <c r="R519" s="6">
        <v>-1702.98</v>
      </c>
      <c r="S519" s="7">
        <v>0</v>
      </c>
      <c r="T519" s="11">
        <v>44204.25</v>
      </c>
      <c r="U519" s="6">
        <v>39468.080000000002</v>
      </c>
      <c r="V519" s="6">
        <v>0</v>
      </c>
      <c r="W519" s="6">
        <v>3341.52</v>
      </c>
      <c r="AI519" s="2">
        <v>950284</v>
      </c>
      <c r="AJ519" s="2">
        <v>128631</v>
      </c>
      <c r="AK519" s="2">
        <v>42423.39</v>
      </c>
      <c r="AL519" s="2">
        <v>5742.46</v>
      </c>
      <c r="AM519" s="5">
        <v>9633.17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64734.9</v>
      </c>
      <c r="AT519" s="12">
        <v>57799.02</v>
      </c>
      <c r="AU519" s="2">
        <v>0</v>
      </c>
      <c r="AV519" s="5">
        <v>5394.58</v>
      </c>
      <c r="AX519" s="2">
        <v>0</v>
      </c>
      <c r="AY519" s="2">
        <v>0</v>
      </c>
      <c r="AZ519" s="2">
        <v>0</v>
      </c>
      <c r="BA519" s="2">
        <v>0</v>
      </c>
      <c r="BB519" s="5">
        <v>0</v>
      </c>
      <c r="BC519" s="12">
        <v>372466.2</v>
      </c>
      <c r="BD519" s="2">
        <v>38146.799999999996</v>
      </c>
      <c r="BE519" s="2">
        <v>16627.96</v>
      </c>
      <c r="BF519" s="2">
        <v>1702.98</v>
      </c>
      <c r="BG519" s="5">
        <v>0</v>
      </c>
      <c r="BH519" s="2">
        <v>20530.650000000001</v>
      </c>
      <c r="BI519" s="12">
        <v>18330.939999999999</v>
      </c>
      <c r="BJ519" s="2">
        <v>0</v>
      </c>
      <c r="BK519" s="5">
        <v>2053.06</v>
      </c>
      <c r="BL519" s="1" t="s">
        <v>137</v>
      </c>
    </row>
    <row r="520" spans="1:64" x14ac:dyDescent="0.3">
      <c r="A520" t="s">
        <v>982</v>
      </c>
      <c r="B520" s="1" t="s">
        <v>982</v>
      </c>
      <c r="C520" s="9" t="s">
        <v>983</v>
      </c>
      <c r="D520" s="1" t="s">
        <v>95</v>
      </c>
      <c r="E520" s="1" t="s">
        <v>135</v>
      </c>
      <c r="F520" s="10" t="s">
        <v>435</v>
      </c>
      <c r="G520" s="1">
        <v>0</v>
      </c>
      <c r="H520" s="1">
        <v>0.05</v>
      </c>
      <c r="I520" s="8">
        <v>44170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0</v>
      </c>
      <c r="AI520" s="2">
        <v>502865</v>
      </c>
      <c r="AJ520" s="2">
        <v>130085</v>
      </c>
      <c r="AK520" s="2">
        <v>22449.33</v>
      </c>
      <c r="AL520" s="2">
        <v>5807.37</v>
      </c>
      <c r="AM520" s="5">
        <v>5651.34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37977</v>
      </c>
      <c r="AT520" s="12">
        <v>33908.04</v>
      </c>
      <c r="AU520" s="2">
        <v>0</v>
      </c>
      <c r="AV520" s="5">
        <v>3164.75</v>
      </c>
      <c r="AX520" s="2">
        <v>502865</v>
      </c>
      <c r="AY520" s="2">
        <v>130085</v>
      </c>
      <c r="AZ520" s="2">
        <v>22449.33</v>
      </c>
      <c r="BA520" s="2">
        <v>5807.37</v>
      </c>
      <c r="BB520" s="5">
        <v>5651.34</v>
      </c>
      <c r="BC520" s="12">
        <v>0</v>
      </c>
      <c r="BD520" s="2">
        <v>0</v>
      </c>
      <c r="BE520" s="2">
        <v>0</v>
      </c>
      <c r="BF520" s="2">
        <v>0</v>
      </c>
      <c r="BG520" s="5">
        <v>0</v>
      </c>
      <c r="BH520" s="2">
        <v>37977</v>
      </c>
      <c r="BI520" s="12">
        <v>33908.04</v>
      </c>
      <c r="BJ520" s="2">
        <v>0</v>
      </c>
      <c r="BK520" s="5">
        <v>3164.75</v>
      </c>
      <c r="BL520" s="1" t="s">
        <v>302</v>
      </c>
    </row>
    <row r="521" spans="1:64" x14ac:dyDescent="0.3">
      <c r="A521" t="s">
        <v>986</v>
      </c>
      <c r="B521" s="1" t="s">
        <v>986</v>
      </c>
      <c r="C521" s="9" t="s">
        <v>987</v>
      </c>
      <c r="D521" s="1" t="s">
        <v>95</v>
      </c>
      <c r="E521" s="1" t="s">
        <v>128</v>
      </c>
      <c r="F521" s="10" t="s">
        <v>988</v>
      </c>
      <c r="G521" s="1">
        <v>0</v>
      </c>
      <c r="H521" s="1">
        <v>0.05</v>
      </c>
      <c r="I521" s="8">
        <v>44204</v>
      </c>
      <c r="J521" s="6">
        <v>374883</v>
      </c>
      <c r="K521" s="6">
        <v>17330</v>
      </c>
      <c r="L521" s="6">
        <v>16735.849999999999</v>
      </c>
      <c r="M521" s="6">
        <v>773.66</v>
      </c>
      <c r="N521" s="7">
        <v>3501.9</v>
      </c>
      <c r="O521" s="6">
        <v>-303675.60000000003</v>
      </c>
      <c r="P521" s="6">
        <v>-34714.5</v>
      </c>
      <c r="Q521" s="6">
        <v>-13556.95</v>
      </c>
      <c r="R521" s="6">
        <v>-1549.75</v>
      </c>
      <c r="S521" s="7">
        <v>0</v>
      </c>
      <c r="T521" s="11">
        <v>6613.2799999999988</v>
      </c>
      <c r="U521" s="6">
        <v>5904.7099999999991</v>
      </c>
      <c r="V521" s="6">
        <v>0</v>
      </c>
      <c r="W521" s="6">
        <v>269.1099999999999</v>
      </c>
      <c r="AI521" s="2">
        <v>374883</v>
      </c>
      <c r="AJ521" s="2">
        <v>17330</v>
      </c>
      <c r="AK521" s="2">
        <v>16735.849999999999</v>
      </c>
      <c r="AL521" s="2">
        <v>773.66</v>
      </c>
      <c r="AM521" s="5">
        <v>3501.9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23532.78</v>
      </c>
      <c r="AT521" s="12">
        <v>21011.41</v>
      </c>
      <c r="AU521" s="2">
        <v>0</v>
      </c>
      <c r="AV521" s="5">
        <v>1961.06</v>
      </c>
      <c r="AX521" s="2">
        <v>0</v>
      </c>
      <c r="AY521" s="2">
        <v>0</v>
      </c>
      <c r="AZ521" s="2">
        <v>0</v>
      </c>
      <c r="BA521" s="2">
        <v>0</v>
      </c>
      <c r="BB521" s="5">
        <v>0</v>
      </c>
      <c r="BC521" s="12">
        <v>303675.60000000003</v>
      </c>
      <c r="BD521" s="2">
        <v>34714.5</v>
      </c>
      <c r="BE521" s="2">
        <v>13556.95</v>
      </c>
      <c r="BF521" s="2">
        <v>1549.75</v>
      </c>
      <c r="BG521" s="5">
        <v>0</v>
      </c>
      <c r="BH521" s="2">
        <v>16919.5</v>
      </c>
      <c r="BI521" s="12">
        <v>15106.7</v>
      </c>
      <c r="BJ521" s="2">
        <v>0</v>
      </c>
      <c r="BK521" s="5">
        <v>1691.95</v>
      </c>
      <c r="BL521" s="1" t="s">
        <v>130</v>
      </c>
    </row>
    <row r="522" spans="1:64" x14ac:dyDescent="0.3">
      <c r="A522" t="s">
        <v>989</v>
      </c>
      <c r="B522" s="1" t="s">
        <v>989</v>
      </c>
      <c r="C522" s="9" t="s">
        <v>990</v>
      </c>
      <c r="D522" s="1" t="s">
        <v>95</v>
      </c>
      <c r="E522" s="1" t="s">
        <v>128</v>
      </c>
      <c r="F522" s="10" t="s">
        <v>129</v>
      </c>
      <c r="G522" s="1">
        <v>0</v>
      </c>
      <c r="H522" s="1">
        <v>0.05</v>
      </c>
      <c r="I522" s="8">
        <v>44482</v>
      </c>
      <c r="J522" s="6">
        <v>561995</v>
      </c>
      <c r="K522" s="6">
        <v>41535</v>
      </c>
      <c r="L522" s="6">
        <v>25089.06</v>
      </c>
      <c r="M522" s="6">
        <v>1854.24</v>
      </c>
      <c r="N522" s="7">
        <v>5388.66</v>
      </c>
      <c r="O522" s="6">
        <v>-705836.99999999988</v>
      </c>
      <c r="P522" s="6">
        <v>-61547.399999999994</v>
      </c>
      <c r="Q522" s="6">
        <v>-31510.58</v>
      </c>
      <c r="R522" s="6">
        <v>-2747.65</v>
      </c>
      <c r="S522" s="7">
        <v>0</v>
      </c>
      <c r="T522" s="11">
        <v>-2157.4199999999983</v>
      </c>
      <c r="U522" s="6">
        <v>-1926.2700000000004</v>
      </c>
      <c r="V522" s="6">
        <v>0</v>
      </c>
      <c r="W522" s="6">
        <v>-819.27</v>
      </c>
      <c r="AI522" s="2">
        <v>561995</v>
      </c>
      <c r="AJ522" s="2">
        <v>41535</v>
      </c>
      <c r="AK522" s="2">
        <v>25089.06</v>
      </c>
      <c r="AL522" s="2">
        <v>1854.24</v>
      </c>
      <c r="AM522" s="5">
        <v>5388.66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36211.800000000003</v>
      </c>
      <c r="AT522" s="12">
        <v>32331.960000000003</v>
      </c>
      <c r="AU522" s="2">
        <v>0</v>
      </c>
      <c r="AV522" s="5">
        <v>3017.65</v>
      </c>
      <c r="AX522" s="2">
        <v>0</v>
      </c>
      <c r="AY522" s="2">
        <v>0</v>
      </c>
      <c r="AZ522" s="2">
        <v>0</v>
      </c>
      <c r="BA522" s="2">
        <v>0</v>
      </c>
      <c r="BB522" s="5">
        <v>0</v>
      </c>
      <c r="BC522" s="12">
        <v>705836.99999999988</v>
      </c>
      <c r="BD522" s="2">
        <v>61547.399999999994</v>
      </c>
      <c r="BE522" s="2">
        <v>31510.58</v>
      </c>
      <c r="BF522" s="2">
        <v>2747.65</v>
      </c>
      <c r="BG522" s="5">
        <v>0</v>
      </c>
      <c r="BH522" s="2">
        <v>38369.22</v>
      </c>
      <c r="BI522" s="12">
        <v>34258.230000000003</v>
      </c>
      <c r="BJ522" s="2">
        <v>0</v>
      </c>
      <c r="BK522" s="5">
        <v>3836.92</v>
      </c>
      <c r="BL522" s="1" t="s">
        <v>130</v>
      </c>
    </row>
    <row r="523" spans="1:64" x14ac:dyDescent="0.3">
      <c r="A523" t="s">
        <v>991</v>
      </c>
      <c r="B523" s="1" t="s">
        <v>991</v>
      </c>
      <c r="C523" s="9" t="s">
        <v>992</v>
      </c>
      <c r="D523" s="1" t="s">
        <v>95</v>
      </c>
      <c r="E523" s="1" t="s">
        <v>128</v>
      </c>
      <c r="F523" s="10" t="s">
        <v>355</v>
      </c>
      <c r="G523" s="1">
        <v>0</v>
      </c>
      <c r="H523" s="1">
        <v>0.05</v>
      </c>
      <c r="I523" s="8">
        <v>44326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0</v>
      </c>
      <c r="U523" s="6">
        <v>0</v>
      </c>
      <c r="V523" s="6">
        <v>0</v>
      </c>
      <c r="W523" s="6">
        <v>0</v>
      </c>
      <c r="AI523" s="2">
        <v>415793</v>
      </c>
      <c r="AJ523" s="2">
        <v>34040</v>
      </c>
      <c r="AK523" s="2">
        <v>18562.189999999999</v>
      </c>
      <c r="AL523" s="2">
        <v>1519.64</v>
      </c>
      <c r="AM523" s="5">
        <v>4016.37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26989.98</v>
      </c>
      <c r="AT523" s="12">
        <v>24098.199999999997</v>
      </c>
      <c r="AU523" s="2">
        <v>0</v>
      </c>
      <c r="AV523" s="5">
        <v>2249.16</v>
      </c>
      <c r="AX523" s="2">
        <v>415793</v>
      </c>
      <c r="AY523" s="2">
        <v>34040</v>
      </c>
      <c r="AZ523" s="2">
        <v>18562.189999999999</v>
      </c>
      <c r="BA523" s="2">
        <v>1519.64</v>
      </c>
      <c r="BB523" s="5">
        <v>4016.37</v>
      </c>
      <c r="BC523" s="12">
        <v>0</v>
      </c>
      <c r="BD523" s="2">
        <v>0</v>
      </c>
      <c r="BE523" s="2">
        <v>0</v>
      </c>
      <c r="BF523" s="2">
        <v>0</v>
      </c>
      <c r="BG523" s="5">
        <v>0</v>
      </c>
      <c r="BH523" s="2">
        <v>26989.98</v>
      </c>
      <c r="BI523" s="12">
        <v>24098.199999999997</v>
      </c>
      <c r="BJ523" s="2">
        <v>0</v>
      </c>
      <c r="BK523" s="5">
        <v>2249.16</v>
      </c>
      <c r="BL523" s="1" t="s">
        <v>130</v>
      </c>
    </row>
    <row r="524" spans="1:64" x14ac:dyDescent="0.3">
      <c r="A524" t="s">
        <v>991</v>
      </c>
      <c r="B524" s="1" t="s">
        <v>993</v>
      </c>
      <c r="C524" s="9" t="s">
        <v>994</v>
      </c>
      <c r="D524" s="1" t="s">
        <v>95</v>
      </c>
      <c r="E524" s="1" t="s">
        <v>128</v>
      </c>
      <c r="F524" s="10" t="s">
        <v>355</v>
      </c>
      <c r="G524" s="1">
        <v>0</v>
      </c>
      <c r="H524" s="1">
        <v>0.05</v>
      </c>
      <c r="I524" s="8">
        <v>44680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0</v>
      </c>
      <c r="U524" s="6">
        <v>0</v>
      </c>
      <c r="V524" s="6">
        <v>0</v>
      </c>
      <c r="W524" s="6">
        <v>0</v>
      </c>
      <c r="AI524" s="2">
        <v>0</v>
      </c>
      <c r="AJ524" s="2">
        <v>0</v>
      </c>
      <c r="AK524" s="2">
        <v>0</v>
      </c>
      <c r="AL524" s="2">
        <v>0</v>
      </c>
      <c r="AM524" s="5">
        <v>0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0</v>
      </c>
      <c r="AT524" s="12">
        <v>0</v>
      </c>
      <c r="AU524" s="2">
        <v>0</v>
      </c>
      <c r="AV524" s="5">
        <v>0</v>
      </c>
      <c r="AX524" s="2">
        <v>0</v>
      </c>
      <c r="AY524" s="2">
        <v>0</v>
      </c>
      <c r="AZ524" s="2">
        <v>0</v>
      </c>
      <c r="BA524" s="2">
        <v>0</v>
      </c>
      <c r="BB524" s="5">
        <v>0</v>
      </c>
      <c r="BC524" s="12">
        <v>0</v>
      </c>
      <c r="BD524" s="2">
        <v>0</v>
      </c>
      <c r="BE524" s="2">
        <v>0</v>
      </c>
      <c r="BF524" s="2">
        <v>0</v>
      </c>
      <c r="BG524" s="5">
        <v>0</v>
      </c>
      <c r="BH524" s="2">
        <v>0</v>
      </c>
      <c r="BI524" s="12">
        <v>0</v>
      </c>
      <c r="BJ524" s="2">
        <v>0</v>
      </c>
      <c r="BK524" s="5">
        <v>0</v>
      </c>
      <c r="BL524" s="1" t="s">
        <v>130</v>
      </c>
    </row>
    <row r="525" spans="1:64" x14ac:dyDescent="0.3">
      <c r="A525" t="s">
        <v>991</v>
      </c>
      <c r="B525" s="1" t="s">
        <v>995</v>
      </c>
      <c r="C525" s="9" t="s">
        <v>996</v>
      </c>
      <c r="D525" s="1" t="s">
        <v>95</v>
      </c>
      <c r="E525" s="1" t="s">
        <v>128</v>
      </c>
      <c r="F525" s="10" t="s">
        <v>355</v>
      </c>
      <c r="G525" s="1">
        <v>0</v>
      </c>
      <c r="H525" s="1">
        <v>0.05</v>
      </c>
      <c r="I525" s="8">
        <v>45227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0</v>
      </c>
      <c r="U525" s="6">
        <v>0</v>
      </c>
      <c r="V525" s="6">
        <v>0</v>
      </c>
      <c r="W525" s="6">
        <v>0</v>
      </c>
      <c r="AI525" s="2">
        <v>117174</v>
      </c>
      <c r="AJ525" s="2">
        <v>26268</v>
      </c>
      <c r="AK525" s="2">
        <v>5230.9799999999996</v>
      </c>
      <c r="AL525" s="2">
        <v>1172.68</v>
      </c>
      <c r="AM525" s="5">
        <v>1280.73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8606.52</v>
      </c>
      <c r="AT525" s="12">
        <v>7684.3899999999994</v>
      </c>
      <c r="AU525" s="2">
        <v>0</v>
      </c>
      <c r="AV525" s="5">
        <v>717.21</v>
      </c>
      <c r="AX525" s="2">
        <v>117174</v>
      </c>
      <c r="AY525" s="2">
        <v>26268</v>
      </c>
      <c r="AZ525" s="2">
        <v>5230.9799999999996</v>
      </c>
      <c r="BA525" s="2">
        <v>1172.68</v>
      </c>
      <c r="BB525" s="5">
        <v>1280.73</v>
      </c>
      <c r="BC525" s="12">
        <v>0</v>
      </c>
      <c r="BD525" s="2">
        <v>0</v>
      </c>
      <c r="BE525" s="2">
        <v>0</v>
      </c>
      <c r="BF525" s="2">
        <v>0</v>
      </c>
      <c r="BG525" s="5">
        <v>0</v>
      </c>
      <c r="BH525" s="2">
        <v>8606.52</v>
      </c>
      <c r="BI525" s="12">
        <v>7684.3899999999994</v>
      </c>
      <c r="BJ525" s="2">
        <v>0</v>
      </c>
      <c r="BK525" s="5">
        <v>717.21</v>
      </c>
      <c r="BL525" s="1" t="s">
        <v>130</v>
      </c>
    </row>
    <row r="526" spans="1:64" x14ac:dyDescent="0.3">
      <c r="A526" t="s">
        <v>991</v>
      </c>
      <c r="B526" s="1" t="s">
        <v>997</v>
      </c>
      <c r="C526" s="9" t="s">
        <v>998</v>
      </c>
      <c r="D526" s="1" t="s">
        <v>95</v>
      </c>
      <c r="E526" s="1" t="s">
        <v>128</v>
      </c>
      <c r="F526" s="10" t="s">
        <v>355</v>
      </c>
      <c r="G526" s="1">
        <v>0</v>
      </c>
      <c r="H526" s="1">
        <v>0.05</v>
      </c>
      <c r="I526" s="8">
        <v>45315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0</v>
      </c>
      <c r="U526" s="6">
        <v>0</v>
      </c>
      <c r="V526" s="6">
        <v>0</v>
      </c>
      <c r="W526" s="6">
        <v>0</v>
      </c>
      <c r="AI526" s="2">
        <v>104734</v>
      </c>
      <c r="AJ526" s="2">
        <v>6650</v>
      </c>
      <c r="AK526" s="2">
        <v>4675.62</v>
      </c>
      <c r="AL526" s="2">
        <v>296.88</v>
      </c>
      <c r="AM526" s="5">
        <v>994.5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6683.04</v>
      </c>
      <c r="AT526" s="12">
        <v>5967</v>
      </c>
      <c r="AU526" s="2">
        <v>0</v>
      </c>
      <c r="AV526" s="5">
        <v>556.91999999999996</v>
      </c>
      <c r="AX526" s="2">
        <v>104734</v>
      </c>
      <c r="AY526" s="2">
        <v>6650</v>
      </c>
      <c r="AZ526" s="2">
        <v>4675.62</v>
      </c>
      <c r="BA526" s="2">
        <v>296.88</v>
      </c>
      <c r="BB526" s="5">
        <v>994.5</v>
      </c>
      <c r="BC526" s="12">
        <v>0</v>
      </c>
      <c r="BD526" s="2">
        <v>0</v>
      </c>
      <c r="BE526" s="2">
        <v>0</v>
      </c>
      <c r="BF526" s="2">
        <v>0</v>
      </c>
      <c r="BG526" s="5">
        <v>0</v>
      </c>
      <c r="BH526" s="2">
        <v>6683.04</v>
      </c>
      <c r="BI526" s="12">
        <v>5967</v>
      </c>
      <c r="BJ526" s="2">
        <v>0</v>
      </c>
      <c r="BK526" s="5">
        <v>556.91999999999996</v>
      </c>
      <c r="BL526" s="1" t="s">
        <v>130</v>
      </c>
    </row>
    <row r="527" spans="1:64" x14ac:dyDescent="0.3">
      <c r="A527" t="s">
        <v>1005</v>
      </c>
      <c r="B527" s="1" t="s">
        <v>1005</v>
      </c>
      <c r="C527" s="9" t="s">
        <v>1006</v>
      </c>
      <c r="D527" s="1" t="s">
        <v>95</v>
      </c>
      <c r="E527" s="1" t="s">
        <v>135</v>
      </c>
      <c r="F527" s="10" t="s">
        <v>435</v>
      </c>
      <c r="G527" s="1">
        <v>0</v>
      </c>
      <c r="H527" s="1">
        <v>0.05</v>
      </c>
      <c r="I527" s="8">
        <v>44354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  <c r="T527" s="11">
        <v>0</v>
      </c>
      <c r="U527" s="6">
        <v>0</v>
      </c>
      <c r="V527" s="6">
        <v>0</v>
      </c>
      <c r="W527" s="6">
        <v>0</v>
      </c>
      <c r="AI527" s="2">
        <v>327238</v>
      </c>
      <c r="AJ527" s="2">
        <v>86955</v>
      </c>
      <c r="AK527" s="2">
        <v>14608.84</v>
      </c>
      <c r="AL527" s="2">
        <v>3881.92</v>
      </c>
      <c r="AM527" s="5">
        <v>3698.15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24851.58</v>
      </c>
      <c r="AT527" s="12">
        <v>22188.910000000003</v>
      </c>
      <c r="AU527" s="2">
        <v>0</v>
      </c>
      <c r="AV527" s="5">
        <v>2070.96</v>
      </c>
      <c r="AX527" s="2">
        <v>327238</v>
      </c>
      <c r="AY527" s="2">
        <v>86955</v>
      </c>
      <c r="AZ527" s="2">
        <v>14608.84</v>
      </c>
      <c r="BA527" s="2">
        <v>3881.92</v>
      </c>
      <c r="BB527" s="5">
        <v>3698.15</v>
      </c>
      <c r="BC527" s="12">
        <v>0</v>
      </c>
      <c r="BD527" s="2">
        <v>0</v>
      </c>
      <c r="BE527" s="2">
        <v>0</v>
      </c>
      <c r="BF527" s="2">
        <v>0</v>
      </c>
      <c r="BG527" s="5">
        <v>0</v>
      </c>
      <c r="BH527" s="2">
        <v>24851.58</v>
      </c>
      <c r="BI527" s="12">
        <v>22188.910000000003</v>
      </c>
      <c r="BJ527" s="2">
        <v>0</v>
      </c>
      <c r="BK527" s="5">
        <v>2070.96</v>
      </c>
      <c r="BL527" s="1" t="s">
        <v>137</v>
      </c>
    </row>
    <row r="528" spans="1:64" x14ac:dyDescent="0.3">
      <c r="A528" t="s">
        <v>1007</v>
      </c>
      <c r="B528" s="1" t="s">
        <v>1007</v>
      </c>
      <c r="C528" s="9" t="s">
        <v>1008</v>
      </c>
      <c r="D528" s="1" t="s">
        <v>95</v>
      </c>
      <c r="E528" s="1" t="s">
        <v>135</v>
      </c>
      <c r="F528" s="10" t="s">
        <v>435</v>
      </c>
      <c r="G528" s="1">
        <v>0</v>
      </c>
      <c r="H528" s="1">
        <v>0.05</v>
      </c>
      <c r="I528" s="8">
        <v>44361</v>
      </c>
      <c r="J528" s="6">
        <v>340951</v>
      </c>
      <c r="K528" s="6">
        <v>106371</v>
      </c>
      <c r="L528" s="6">
        <v>15221.03</v>
      </c>
      <c r="M528" s="6">
        <v>4748.71</v>
      </c>
      <c r="N528" s="7">
        <v>3993.95</v>
      </c>
      <c r="O528" s="6">
        <v>-453136.8</v>
      </c>
      <c r="P528" s="6">
        <v>-33670.800000000003</v>
      </c>
      <c r="Q528" s="6">
        <v>-20229.32</v>
      </c>
      <c r="R528" s="6">
        <v>-1503.16</v>
      </c>
      <c r="S528" s="7">
        <v>0</v>
      </c>
      <c r="T528" s="11">
        <v>2498.9500000000007</v>
      </c>
      <c r="U528" s="6">
        <v>2231.2100000000028</v>
      </c>
      <c r="V528" s="6">
        <v>0</v>
      </c>
      <c r="W528" s="6">
        <v>-197.42999999999984</v>
      </c>
      <c r="AI528" s="2">
        <v>340951</v>
      </c>
      <c r="AJ528" s="2">
        <v>106371</v>
      </c>
      <c r="AK528" s="2">
        <v>15221.03</v>
      </c>
      <c r="AL528" s="2">
        <v>4748.71</v>
      </c>
      <c r="AM528" s="5">
        <v>3993.95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26839.33</v>
      </c>
      <c r="AT528" s="12">
        <v>23963.690000000002</v>
      </c>
      <c r="AU528" s="2">
        <v>0</v>
      </c>
      <c r="AV528" s="5">
        <v>2236.61</v>
      </c>
      <c r="AX528" s="2">
        <v>0</v>
      </c>
      <c r="AY528" s="2">
        <v>0</v>
      </c>
      <c r="AZ528" s="2">
        <v>0</v>
      </c>
      <c r="BA528" s="2">
        <v>0</v>
      </c>
      <c r="BB528" s="5">
        <v>0</v>
      </c>
      <c r="BC528" s="12">
        <v>453136.8</v>
      </c>
      <c r="BD528" s="2">
        <v>33670.800000000003</v>
      </c>
      <c r="BE528" s="2">
        <v>20229.32</v>
      </c>
      <c r="BF528" s="2">
        <v>1503.16</v>
      </c>
      <c r="BG528" s="5">
        <v>0</v>
      </c>
      <c r="BH528" s="2">
        <v>24340.38</v>
      </c>
      <c r="BI528" s="12">
        <v>21732.48</v>
      </c>
      <c r="BJ528" s="2">
        <v>0</v>
      </c>
      <c r="BK528" s="5">
        <v>2434.04</v>
      </c>
      <c r="BL528" s="1" t="s">
        <v>137</v>
      </c>
    </row>
    <row r="529" spans="1:64" x14ac:dyDescent="0.3">
      <c r="A529" t="s">
        <v>1015</v>
      </c>
      <c r="B529" s="1" t="s">
        <v>1015</v>
      </c>
      <c r="C529" s="9" t="s">
        <v>1016</v>
      </c>
      <c r="D529" s="1" t="s">
        <v>95</v>
      </c>
      <c r="E529" s="1" t="s">
        <v>128</v>
      </c>
      <c r="F529" s="10" t="s">
        <v>147</v>
      </c>
      <c r="G529" s="1">
        <v>4.4999999999999998E-2</v>
      </c>
      <c r="H529" s="1">
        <v>0.05</v>
      </c>
      <c r="I529" s="8">
        <v>45559</v>
      </c>
      <c r="J529" s="6">
        <v>317313</v>
      </c>
      <c r="K529" s="6">
        <v>20230</v>
      </c>
      <c r="L529" s="6">
        <v>14165.76</v>
      </c>
      <c r="M529" s="6">
        <v>903.12</v>
      </c>
      <c r="N529" s="7">
        <v>3013.78</v>
      </c>
      <c r="O529" s="6">
        <v>-412740</v>
      </c>
      <c r="P529" s="6">
        <v>-72449.7</v>
      </c>
      <c r="Q529" s="6">
        <v>-18425.89</v>
      </c>
      <c r="R529" s="6">
        <v>-3234.36</v>
      </c>
      <c r="S529" s="7">
        <v>-4332.05</v>
      </c>
      <c r="T529" s="11">
        <v>-8858.7999999999993</v>
      </c>
      <c r="U529" s="6">
        <v>-7909.6399999999994</v>
      </c>
      <c r="V529" s="6">
        <v>0</v>
      </c>
      <c r="W529" s="6">
        <v>-738.22999999999979</v>
      </c>
      <c r="AI529" s="2">
        <v>317313</v>
      </c>
      <c r="AJ529" s="2">
        <v>20230</v>
      </c>
      <c r="AK529" s="2">
        <v>14165.76</v>
      </c>
      <c r="AL529" s="2">
        <v>903.12</v>
      </c>
      <c r="AM529" s="5">
        <v>3013.78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20252.580000000002</v>
      </c>
      <c r="AT529" s="12">
        <v>18082.66</v>
      </c>
      <c r="AU529" s="2">
        <v>0</v>
      </c>
      <c r="AV529" s="5">
        <v>1687.72</v>
      </c>
      <c r="AX529" s="2">
        <v>0</v>
      </c>
      <c r="AY529" s="2">
        <v>0</v>
      </c>
      <c r="AZ529" s="2">
        <v>0</v>
      </c>
      <c r="BA529" s="2">
        <v>0</v>
      </c>
      <c r="BB529" s="5">
        <v>0</v>
      </c>
      <c r="BC529" s="12">
        <v>412740</v>
      </c>
      <c r="BD529" s="2">
        <v>72449.7</v>
      </c>
      <c r="BE529" s="2">
        <v>18425.89</v>
      </c>
      <c r="BF529" s="2">
        <v>3234.36</v>
      </c>
      <c r="BG529" s="5">
        <v>4332.05</v>
      </c>
      <c r="BH529" s="2">
        <v>29111.38</v>
      </c>
      <c r="BI529" s="12">
        <v>25992.3</v>
      </c>
      <c r="BJ529" s="2">
        <v>0</v>
      </c>
      <c r="BK529" s="5">
        <v>2425.9499999999998</v>
      </c>
      <c r="BL529" s="1" t="s">
        <v>130</v>
      </c>
    </row>
    <row r="530" spans="1:64" x14ac:dyDescent="0.3">
      <c r="A530" t="s">
        <v>1015</v>
      </c>
      <c r="B530" s="1" t="s">
        <v>1017</v>
      </c>
      <c r="C530" s="9" t="s">
        <v>1018</v>
      </c>
      <c r="D530" s="1" t="s">
        <v>95</v>
      </c>
      <c r="E530" s="1" t="s">
        <v>128</v>
      </c>
      <c r="F530" s="10" t="s">
        <v>355</v>
      </c>
      <c r="G530" s="1">
        <v>0</v>
      </c>
      <c r="H530" s="1">
        <v>0.05</v>
      </c>
      <c r="I530" s="8">
        <v>45559</v>
      </c>
      <c r="J530" s="6">
        <v>451028</v>
      </c>
      <c r="K530" s="6">
        <v>13130</v>
      </c>
      <c r="L530" s="6">
        <v>20135.18</v>
      </c>
      <c r="M530" s="6">
        <v>586.16</v>
      </c>
      <c r="N530" s="7">
        <v>4144.2700000000004</v>
      </c>
      <c r="O530" s="6">
        <v>-142325.40000000002</v>
      </c>
      <c r="P530" s="6">
        <v>0</v>
      </c>
      <c r="Q530" s="6">
        <v>-6353.81</v>
      </c>
      <c r="R530" s="6">
        <v>0</v>
      </c>
      <c r="S530" s="7">
        <v>0</v>
      </c>
      <c r="T530" s="11">
        <v>20733.21</v>
      </c>
      <c r="U530" s="6">
        <v>18511.8</v>
      </c>
      <c r="V530" s="6">
        <v>0</v>
      </c>
      <c r="W530" s="6">
        <v>1609.1599999999999</v>
      </c>
      <c r="AI530" s="2">
        <v>451028</v>
      </c>
      <c r="AJ530" s="2">
        <v>13130</v>
      </c>
      <c r="AK530" s="2">
        <v>20135.18</v>
      </c>
      <c r="AL530" s="2">
        <v>586.16</v>
      </c>
      <c r="AM530" s="5">
        <v>4144.2700000000004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27849.48</v>
      </c>
      <c r="AT530" s="12">
        <v>24865.61</v>
      </c>
      <c r="AU530" s="2">
        <v>0</v>
      </c>
      <c r="AV530" s="5">
        <v>2320.79</v>
      </c>
      <c r="AX530" s="2">
        <v>0</v>
      </c>
      <c r="AY530" s="2">
        <v>0</v>
      </c>
      <c r="AZ530" s="2">
        <v>0</v>
      </c>
      <c r="BA530" s="2">
        <v>0</v>
      </c>
      <c r="BB530" s="5">
        <v>0</v>
      </c>
      <c r="BC530" s="12">
        <v>142325.40000000002</v>
      </c>
      <c r="BD530" s="2">
        <v>0</v>
      </c>
      <c r="BE530" s="2">
        <v>6353.81</v>
      </c>
      <c r="BF530" s="2">
        <v>0</v>
      </c>
      <c r="BG530" s="5">
        <v>0</v>
      </c>
      <c r="BH530" s="2">
        <v>7116.27</v>
      </c>
      <c r="BI530" s="12">
        <v>6353.81</v>
      </c>
      <c r="BJ530" s="2">
        <v>0</v>
      </c>
      <c r="BK530" s="5">
        <v>711.63</v>
      </c>
      <c r="BL530" s="1" t="s">
        <v>130</v>
      </c>
    </row>
    <row r="531" spans="1:64" x14ac:dyDescent="0.3">
      <c r="A531" t="s">
        <v>1033</v>
      </c>
      <c r="B531" s="1" t="s">
        <v>1033</v>
      </c>
      <c r="C531" s="9" t="s">
        <v>1034</v>
      </c>
      <c r="D531" s="1" t="s">
        <v>95</v>
      </c>
      <c r="E531" s="1" t="s">
        <v>135</v>
      </c>
      <c r="F531" s="10" t="s">
        <v>435</v>
      </c>
      <c r="G531" s="1">
        <v>0</v>
      </c>
      <c r="H531" s="1">
        <v>0.05</v>
      </c>
      <c r="I531" s="8">
        <v>44497</v>
      </c>
      <c r="J531" s="6">
        <v>458704</v>
      </c>
      <c r="K531" s="6">
        <v>105901</v>
      </c>
      <c r="L531" s="6">
        <v>20477.86</v>
      </c>
      <c r="M531" s="6">
        <v>4727.72</v>
      </c>
      <c r="N531" s="7">
        <v>5041.12</v>
      </c>
      <c r="O531" s="6">
        <v>-487331.1</v>
      </c>
      <c r="P531" s="6">
        <v>-37772.69999999999</v>
      </c>
      <c r="Q531" s="6">
        <v>-21755.86</v>
      </c>
      <c r="R531" s="6">
        <v>-1686.28</v>
      </c>
      <c r="S531" s="7">
        <v>0</v>
      </c>
      <c r="T531" s="11">
        <v>7621.1000000000022</v>
      </c>
      <c r="U531" s="6">
        <v>6804.5600000000013</v>
      </c>
      <c r="V531" s="6">
        <v>0</v>
      </c>
      <c r="W531" s="6">
        <v>197.5</v>
      </c>
      <c r="AI531" s="2">
        <v>458704</v>
      </c>
      <c r="AJ531" s="2">
        <v>105901</v>
      </c>
      <c r="AK531" s="2">
        <v>20477.86</v>
      </c>
      <c r="AL531" s="2">
        <v>4727.72</v>
      </c>
      <c r="AM531" s="5">
        <v>5041.12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33876.300000000003</v>
      </c>
      <c r="AT531" s="12">
        <v>30246.7</v>
      </c>
      <c r="AU531" s="2">
        <v>0</v>
      </c>
      <c r="AV531" s="5">
        <v>2823.02</v>
      </c>
      <c r="AX531" s="2">
        <v>0</v>
      </c>
      <c r="AY531" s="2">
        <v>0</v>
      </c>
      <c r="AZ531" s="2">
        <v>0</v>
      </c>
      <c r="BA531" s="2">
        <v>0</v>
      </c>
      <c r="BB531" s="5">
        <v>0</v>
      </c>
      <c r="BC531" s="12">
        <v>487331.1</v>
      </c>
      <c r="BD531" s="2">
        <v>37772.69999999999</v>
      </c>
      <c r="BE531" s="2">
        <v>21755.86</v>
      </c>
      <c r="BF531" s="2">
        <v>1686.28</v>
      </c>
      <c r="BG531" s="5">
        <v>0</v>
      </c>
      <c r="BH531" s="2">
        <v>26255.200000000001</v>
      </c>
      <c r="BI531" s="12">
        <v>23442.14</v>
      </c>
      <c r="BJ531" s="2">
        <v>0</v>
      </c>
      <c r="BK531" s="5">
        <v>2625.52</v>
      </c>
      <c r="BL531" s="1" t="s">
        <v>137</v>
      </c>
    </row>
    <row r="532" spans="1:64" x14ac:dyDescent="0.3">
      <c r="A532" t="s">
        <v>1035</v>
      </c>
      <c r="B532" s="1" t="s">
        <v>1035</v>
      </c>
      <c r="C532" s="9" t="s">
        <v>1036</v>
      </c>
      <c r="D532" s="1" t="s">
        <v>95</v>
      </c>
      <c r="E532" s="1" t="s">
        <v>135</v>
      </c>
      <c r="F532" s="10" t="s">
        <v>435</v>
      </c>
      <c r="G532" s="1">
        <v>0</v>
      </c>
      <c r="H532" s="1">
        <v>0.05</v>
      </c>
      <c r="I532" s="8">
        <v>44540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0</v>
      </c>
      <c r="U532" s="6">
        <v>0</v>
      </c>
      <c r="V532" s="6">
        <v>0</v>
      </c>
      <c r="W532" s="6">
        <v>0</v>
      </c>
      <c r="AI532" s="2">
        <v>334788</v>
      </c>
      <c r="AJ532" s="2">
        <v>50210</v>
      </c>
      <c r="AK532" s="2">
        <v>14945.89</v>
      </c>
      <c r="AL532" s="2">
        <v>2241.52</v>
      </c>
      <c r="AM532" s="5">
        <v>3437.48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23099.88</v>
      </c>
      <c r="AT532" s="12">
        <v>20624.89</v>
      </c>
      <c r="AU532" s="2">
        <v>0</v>
      </c>
      <c r="AV532" s="5">
        <v>1924.99</v>
      </c>
      <c r="AX532" s="2">
        <v>334788</v>
      </c>
      <c r="AY532" s="2">
        <v>50210</v>
      </c>
      <c r="AZ532" s="2">
        <v>14945.89</v>
      </c>
      <c r="BA532" s="2">
        <v>2241.52</v>
      </c>
      <c r="BB532" s="5">
        <v>3437.48</v>
      </c>
      <c r="BC532" s="12">
        <v>0</v>
      </c>
      <c r="BD532" s="2">
        <v>0</v>
      </c>
      <c r="BE532" s="2">
        <v>0</v>
      </c>
      <c r="BF532" s="2">
        <v>0</v>
      </c>
      <c r="BG532" s="5">
        <v>0</v>
      </c>
      <c r="BH532" s="2">
        <v>23099.88</v>
      </c>
      <c r="BI532" s="12">
        <v>20624.89</v>
      </c>
      <c r="BJ532" s="2">
        <v>0</v>
      </c>
      <c r="BK532" s="5">
        <v>1924.99</v>
      </c>
      <c r="BL532" s="1" t="s">
        <v>137</v>
      </c>
    </row>
    <row r="533" spans="1:64" x14ac:dyDescent="0.3">
      <c r="A533" t="s">
        <v>1037</v>
      </c>
      <c r="B533" s="1" t="s">
        <v>1037</v>
      </c>
      <c r="C533" s="9" t="s">
        <v>1038</v>
      </c>
      <c r="D533" s="1" t="s">
        <v>95</v>
      </c>
      <c r="E533" s="1" t="s">
        <v>135</v>
      </c>
      <c r="F533" s="10" t="s">
        <v>435</v>
      </c>
      <c r="G533" s="1">
        <v>0</v>
      </c>
      <c r="H533" s="1">
        <v>0.05</v>
      </c>
      <c r="I533" s="8">
        <v>44642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  <c r="T533" s="11">
        <v>0</v>
      </c>
      <c r="U533" s="6">
        <v>0</v>
      </c>
      <c r="V533" s="6">
        <v>0</v>
      </c>
      <c r="W533" s="6">
        <v>0</v>
      </c>
      <c r="AI533" s="2">
        <v>406486</v>
      </c>
      <c r="AJ533" s="2">
        <v>73030</v>
      </c>
      <c r="AK533" s="2">
        <v>18146.7</v>
      </c>
      <c r="AL533" s="2">
        <v>3260.27</v>
      </c>
      <c r="AM533" s="5">
        <v>4281.3900000000003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28770.959999999999</v>
      </c>
      <c r="AT533" s="12">
        <v>25688.36</v>
      </c>
      <c r="AU533" s="2">
        <v>0</v>
      </c>
      <c r="AV533" s="5">
        <v>2397.58</v>
      </c>
      <c r="AX533" s="2">
        <v>406486</v>
      </c>
      <c r="AY533" s="2">
        <v>73030</v>
      </c>
      <c r="AZ533" s="2">
        <v>18146.7</v>
      </c>
      <c r="BA533" s="2">
        <v>3260.27</v>
      </c>
      <c r="BB533" s="5">
        <v>4281.3900000000003</v>
      </c>
      <c r="BC533" s="12">
        <v>0</v>
      </c>
      <c r="BD533" s="2">
        <v>0</v>
      </c>
      <c r="BE533" s="2">
        <v>0</v>
      </c>
      <c r="BF533" s="2">
        <v>0</v>
      </c>
      <c r="BG533" s="5">
        <v>0</v>
      </c>
      <c r="BH533" s="2">
        <v>28770.959999999999</v>
      </c>
      <c r="BI533" s="12">
        <v>25688.36</v>
      </c>
      <c r="BJ533" s="2">
        <v>0</v>
      </c>
      <c r="BK533" s="5">
        <v>2397.58</v>
      </c>
      <c r="BL533" s="1" t="s">
        <v>137</v>
      </c>
    </row>
    <row r="534" spans="1:64" x14ac:dyDescent="0.3">
      <c r="A534" t="s">
        <v>1039</v>
      </c>
      <c r="B534" s="1" t="s">
        <v>1039</v>
      </c>
      <c r="C534" s="9" t="s">
        <v>1040</v>
      </c>
      <c r="D534" s="1" t="s">
        <v>95</v>
      </c>
      <c r="E534" s="1" t="s">
        <v>135</v>
      </c>
      <c r="F534" s="10" t="s">
        <v>193</v>
      </c>
      <c r="G534" s="1">
        <v>0</v>
      </c>
      <c r="H534" s="1">
        <v>0.05</v>
      </c>
      <c r="I534" s="8">
        <v>44572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0</v>
      </c>
      <c r="U534" s="6">
        <v>0</v>
      </c>
      <c r="V534" s="6">
        <v>0</v>
      </c>
      <c r="W534" s="6">
        <v>0</v>
      </c>
      <c r="AI534" s="2">
        <v>333406.5</v>
      </c>
      <c r="AJ534" s="2">
        <v>102455</v>
      </c>
      <c r="AK534" s="2">
        <v>14884.21</v>
      </c>
      <c r="AL534" s="2">
        <v>4573.88</v>
      </c>
      <c r="AM534" s="5">
        <v>3891.62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26151.68</v>
      </c>
      <c r="AT534" s="12">
        <v>23349.71</v>
      </c>
      <c r="AU534" s="2">
        <v>0</v>
      </c>
      <c r="AV534" s="5">
        <v>2179.31</v>
      </c>
      <c r="AX534" s="2">
        <v>333406.5</v>
      </c>
      <c r="AY534" s="2">
        <v>102455</v>
      </c>
      <c r="AZ534" s="2">
        <v>14884.21</v>
      </c>
      <c r="BA534" s="2">
        <v>4573.88</v>
      </c>
      <c r="BB534" s="5">
        <v>3891.62</v>
      </c>
      <c r="BC534" s="12">
        <v>0</v>
      </c>
      <c r="BD534" s="2">
        <v>0</v>
      </c>
      <c r="BE534" s="2">
        <v>0</v>
      </c>
      <c r="BF534" s="2">
        <v>0</v>
      </c>
      <c r="BG534" s="5">
        <v>0</v>
      </c>
      <c r="BH534" s="2">
        <v>26151.68</v>
      </c>
      <c r="BI534" s="12">
        <v>23349.71</v>
      </c>
      <c r="BJ534" s="2">
        <v>0</v>
      </c>
      <c r="BK534" s="5">
        <v>2179.31</v>
      </c>
      <c r="BL534" s="1" t="s">
        <v>137</v>
      </c>
    </row>
    <row r="535" spans="1:64" x14ac:dyDescent="0.3">
      <c r="A535" t="s">
        <v>1041</v>
      </c>
      <c r="B535" s="1" t="s">
        <v>1041</v>
      </c>
      <c r="C535" s="9" t="s">
        <v>1042</v>
      </c>
      <c r="D535" s="1" t="s">
        <v>95</v>
      </c>
      <c r="E535" s="1" t="s">
        <v>135</v>
      </c>
      <c r="F535" s="10" t="s">
        <v>193</v>
      </c>
      <c r="G535" s="1">
        <v>0</v>
      </c>
      <c r="H535" s="1">
        <v>0.05</v>
      </c>
      <c r="I535" s="8">
        <v>44548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0</v>
      </c>
      <c r="U535" s="6">
        <v>0</v>
      </c>
      <c r="V535" s="6">
        <v>0</v>
      </c>
      <c r="W535" s="6">
        <v>0</v>
      </c>
      <c r="AI535" s="2">
        <v>310090</v>
      </c>
      <c r="AJ535" s="2">
        <v>85523</v>
      </c>
      <c r="AK535" s="2">
        <v>13843.3</v>
      </c>
      <c r="AL535" s="2">
        <v>3817.99</v>
      </c>
      <c r="AM535" s="5">
        <v>3532.26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23736.78</v>
      </c>
      <c r="AT535" s="12">
        <v>21193.550000000003</v>
      </c>
      <c r="AU535" s="2">
        <v>0</v>
      </c>
      <c r="AV535" s="5">
        <v>1978.06</v>
      </c>
      <c r="AX535" s="2">
        <v>310090</v>
      </c>
      <c r="AY535" s="2">
        <v>85523</v>
      </c>
      <c r="AZ535" s="2">
        <v>13843.3</v>
      </c>
      <c r="BA535" s="2">
        <v>3817.99</v>
      </c>
      <c r="BB535" s="5">
        <v>3532.26</v>
      </c>
      <c r="BC535" s="12">
        <v>0</v>
      </c>
      <c r="BD535" s="2">
        <v>0</v>
      </c>
      <c r="BE535" s="2">
        <v>0</v>
      </c>
      <c r="BF535" s="2">
        <v>0</v>
      </c>
      <c r="BG535" s="5">
        <v>0</v>
      </c>
      <c r="BH535" s="2">
        <v>23736.78</v>
      </c>
      <c r="BI535" s="12">
        <v>21193.550000000003</v>
      </c>
      <c r="BJ535" s="2">
        <v>0</v>
      </c>
      <c r="BK535" s="5">
        <v>1978.06</v>
      </c>
      <c r="BL535" s="1" t="s">
        <v>137</v>
      </c>
    </row>
    <row r="536" spans="1:64" x14ac:dyDescent="0.3">
      <c r="A536" t="s">
        <v>1043</v>
      </c>
      <c r="B536" s="1" t="s">
        <v>1043</v>
      </c>
      <c r="C536" s="9" t="s">
        <v>1044</v>
      </c>
      <c r="D536" s="1" t="s">
        <v>95</v>
      </c>
      <c r="E536" s="1" t="s">
        <v>128</v>
      </c>
      <c r="F536" s="10" t="s">
        <v>309</v>
      </c>
      <c r="G536" s="1">
        <v>0</v>
      </c>
      <c r="H536" s="1">
        <v>0.05</v>
      </c>
      <c r="I536" s="8">
        <v>44851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0</v>
      </c>
      <c r="U536" s="6">
        <v>0</v>
      </c>
      <c r="V536" s="6">
        <v>0</v>
      </c>
      <c r="W536" s="6">
        <v>0</v>
      </c>
      <c r="AI536" s="2">
        <v>647768</v>
      </c>
      <c r="AJ536" s="2">
        <v>0</v>
      </c>
      <c r="AK536" s="2">
        <v>28918.21</v>
      </c>
      <c r="AL536" s="2">
        <v>0</v>
      </c>
      <c r="AM536" s="5">
        <v>5783.64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38866.07</v>
      </c>
      <c r="AT536" s="12">
        <v>34701.85</v>
      </c>
      <c r="AU536" s="2">
        <v>0</v>
      </c>
      <c r="AV536" s="5">
        <v>3238.84</v>
      </c>
      <c r="AX536" s="2">
        <v>647768</v>
      </c>
      <c r="AY536" s="2">
        <v>0</v>
      </c>
      <c r="AZ536" s="2">
        <v>28918.21</v>
      </c>
      <c r="BA536" s="2">
        <v>0</v>
      </c>
      <c r="BB536" s="5">
        <v>5783.64</v>
      </c>
      <c r="BC536" s="12">
        <v>0</v>
      </c>
      <c r="BD536" s="2">
        <v>0</v>
      </c>
      <c r="BE536" s="2">
        <v>0</v>
      </c>
      <c r="BF536" s="2">
        <v>0</v>
      </c>
      <c r="BG536" s="5">
        <v>0</v>
      </c>
      <c r="BH536" s="2">
        <v>38866.07</v>
      </c>
      <c r="BI536" s="12">
        <v>34701.85</v>
      </c>
      <c r="BJ536" s="2">
        <v>0</v>
      </c>
      <c r="BK536" s="5">
        <v>3238.84</v>
      </c>
      <c r="BL536" s="1" t="s">
        <v>130</v>
      </c>
    </row>
    <row r="537" spans="1:64" x14ac:dyDescent="0.3">
      <c r="A537" t="s">
        <v>1045</v>
      </c>
      <c r="B537" s="1" t="s">
        <v>1045</v>
      </c>
      <c r="C537" s="9" t="s">
        <v>1046</v>
      </c>
      <c r="D537" s="1" t="s">
        <v>95</v>
      </c>
      <c r="E537" s="1" t="s">
        <v>128</v>
      </c>
      <c r="F537" s="10" t="s">
        <v>129</v>
      </c>
      <c r="G537" s="1">
        <v>0</v>
      </c>
      <c r="H537" s="1">
        <v>0.05</v>
      </c>
      <c r="I537" s="8">
        <v>44550</v>
      </c>
      <c r="J537" s="6">
        <v>-4557</v>
      </c>
      <c r="K537" s="6">
        <v>60</v>
      </c>
      <c r="L537" s="6">
        <v>-203.43999999999869</v>
      </c>
      <c r="M537" s="6">
        <v>2.6700000000000728</v>
      </c>
      <c r="N537" s="7">
        <v>-40.150000000000546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-269.83000000000175</v>
      </c>
      <c r="U537" s="6">
        <v>-240.91999999999825</v>
      </c>
      <c r="V537" s="6">
        <v>0</v>
      </c>
      <c r="W537" s="6">
        <v>-22.479999999999563</v>
      </c>
      <c r="AI537" s="2">
        <v>597660</v>
      </c>
      <c r="AJ537" s="2">
        <v>27891</v>
      </c>
      <c r="AK537" s="2">
        <v>26681.25</v>
      </c>
      <c r="AL537" s="2">
        <v>1245.1300000000001</v>
      </c>
      <c r="AM537" s="5">
        <v>5585.28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37533.06</v>
      </c>
      <c r="AT537" s="12">
        <v>33511.660000000003</v>
      </c>
      <c r="AU537" s="2">
        <v>0</v>
      </c>
      <c r="AV537" s="5">
        <v>3127.76</v>
      </c>
      <c r="AX537" s="2">
        <v>602217</v>
      </c>
      <c r="AY537" s="2">
        <v>27831</v>
      </c>
      <c r="AZ537" s="2">
        <v>26884.69</v>
      </c>
      <c r="BA537" s="2">
        <v>1242.46</v>
      </c>
      <c r="BB537" s="5">
        <v>5625.43</v>
      </c>
      <c r="BC537" s="12">
        <v>0</v>
      </c>
      <c r="BD537" s="2">
        <v>0</v>
      </c>
      <c r="BE537" s="2">
        <v>0</v>
      </c>
      <c r="BF537" s="2">
        <v>0</v>
      </c>
      <c r="BG537" s="5">
        <v>0</v>
      </c>
      <c r="BH537" s="2">
        <v>37802.89</v>
      </c>
      <c r="BI537" s="12">
        <v>33752.58</v>
      </c>
      <c r="BJ537" s="2">
        <v>0</v>
      </c>
      <c r="BK537" s="5">
        <v>3150.24</v>
      </c>
      <c r="BL537" s="1" t="s">
        <v>130</v>
      </c>
    </row>
    <row r="538" spans="1:64" x14ac:dyDescent="0.3">
      <c r="A538" t="s">
        <v>1045</v>
      </c>
      <c r="B538" s="1" t="s">
        <v>1047</v>
      </c>
      <c r="C538" s="9" t="s">
        <v>1048</v>
      </c>
      <c r="D538" s="1" t="s">
        <v>95</v>
      </c>
      <c r="E538" s="1" t="s">
        <v>128</v>
      </c>
      <c r="F538" s="10" t="s">
        <v>129</v>
      </c>
      <c r="G538" s="1">
        <v>0</v>
      </c>
      <c r="H538" s="1">
        <v>0.05</v>
      </c>
      <c r="I538" s="8">
        <v>45775</v>
      </c>
      <c r="J538" s="6">
        <v>28073</v>
      </c>
      <c r="K538" s="6">
        <v>820</v>
      </c>
      <c r="L538" s="6">
        <v>125.32</v>
      </c>
      <c r="M538" s="6">
        <v>3.66</v>
      </c>
      <c r="N538" s="7">
        <v>257.97000000000003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433.38</v>
      </c>
      <c r="U538" s="6">
        <v>386.95000000000005</v>
      </c>
      <c r="V538" s="6">
        <v>0</v>
      </c>
      <c r="W538" s="6">
        <v>144.46</v>
      </c>
      <c r="AI538" s="2">
        <v>28073</v>
      </c>
      <c r="AJ538" s="2">
        <v>820</v>
      </c>
      <c r="AK538" s="2">
        <v>125.32</v>
      </c>
      <c r="AL538" s="2">
        <v>3.66</v>
      </c>
      <c r="AM538" s="5">
        <v>257.97000000000003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433.38</v>
      </c>
      <c r="AT538" s="12">
        <v>386.95000000000005</v>
      </c>
      <c r="AU538" s="2">
        <v>0</v>
      </c>
      <c r="AV538" s="5">
        <v>144.46</v>
      </c>
      <c r="AX538" s="2">
        <v>0</v>
      </c>
      <c r="AY538" s="2">
        <v>0</v>
      </c>
      <c r="AZ538" s="2">
        <v>0</v>
      </c>
      <c r="BA538" s="2">
        <v>0</v>
      </c>
      <c r="BB538" s="5">
        <v>0</v>
      </c>
      <c r="BC538" s="12">
        <v>0</v>
      </c>
      <c r="BD538" s="2">
        <v>0</v>
      </c>
      <c r="BE538" s="2">
        <v>0</v>
      </c>
      <c r="BF538" s="2">
        <v>0</v>
      </c>
      <c r="BG538" s="5">
        <v>0</v>
      </c>
      <c r="BH538" s="2">
        <v>0</v>
      </c>
      <c r="BI538" s="12">
        <v>0</v>
      </c>
      <c r="BJ538" s="2">
        <v>0</v>
      </c>
      <c r="BK538" s="5">
        <v>0</v>
      </c>
      <c r="BL538" s="1" t="s">
        <v>130</v>
      </c>
    </row>
    <row r="539" spans="1:64" x14ac:dyDescent="0.3">
      <c r="A539" t="s">
        <v>1055</v>
      </c>
      <c r="B539" s="1" t="s">
        <v>1055</v>
      </c>
      <c r="C539" s="9" t="s">
        <v>1056</v>
      </c>
      <c r="D539" s="1" t="s">
        <v>95</v>
      </c>
      <c r="E539" s="1" t="s">
        <v>88</v>
      </c>
      <c r="F539" s="10" t="s">
        <v>441</v>
      </c>
      <c r="G539" s="1">
        <v>0</v>
      </c>
      <c r="H539" s="1">
        <v>0.05</v>
      </c>
      <c r="I539" s="8">
        <v>44655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0</v>
      </c>
      <c r="U539" s="6">
        <v>0</v>
      </c>
      <c r="V539" s="6">
        <v>0</v>
      </c>
      <c r="W539" s="6">
        <v>0</v>
      </c>
      <c r="AI539" s="2">
        <v>213000</v>
      </c>
      <c r="AJ539" s="2">
        <v>46428</v>
      </c>
      <c r="AK539" s="2">
        <v>9508.93</v>
      </c>
      <c r="AL539" s="2">
        <v>2072.6799999999998</v>
      </c>
      <c r="AM539" s="5">
        <v>2316.3200000000002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15565.68</v>
      </c>
      <c r="AT539" s="12">
        <v>13897.93</v>
      </c>
      <c r="AU539" s="2">
        <v>0</v>
      </c>
      <c r="AV539" s="5">
        <v>1297.1400000000001</v>
      </c>
      <c r="AX539" s="2">
        <v>213000</v>
      </c>
      <c r="AY539" s="2">
        <v>46428</v>
      </c>
      <c r="AZ539" s="2">
        <v>9508.93</v>
      </c>
      <c r="BA539" s="2">
        <v>2072.6799999999998</v>
      </c>
      <c r="BB539" s="5">
        <v>2316.3200000000002</v>
      </c>
      <c r="BC539" s="12">
        <v>0</v>
      </c>
      <c r="BD539" s="2">
        <v>0</v>
      </c>
      <c r="BE539" s="2">
        <v>0</v>
      </c>
      <c r="BF539" s="2">
        <v>0</v>
      </c>
      <c r="BG539" s="5">
        <v>0</v>
      </c>
      <c r="BH539" s="2">
        <v>15565.68</v>
      </c>
      <c r="BI539" s="12">
        <v>13897.93</v>
      </c>
      <c r="BJ539" s="2">
        <v>0</v>
      </c>
      <c r="BK539" s="5">
        <v>1297.1400000000001</v>
      </c>
      <c r="BL539" s="1" t="s">
        <v>90</v>
      </c>
    </row>
    <row r="540" spans="1:64" x14ac:dyDescent="0.3">
      <c r="A540" t="s">
        <v>1059</v>
      </c>
      <c r="B540" s="1" t="s">
        <v>1059</v>
      </c>
      <c r="C540" s="9" t="s">
        <v>1060</v>
      </c>
      <c r="D540" s="1" t="s">
        <v>95</v>
      </c>
      <c r="E540" s="1" t="s">
        <v>88</v>
      </c>
      <c r="F540" s="10" t="s">
        <v>441</v>
      </c>
      <c r="G540" s="1">
        <v>0</v>
      </c>
      <c r="H540" s="1">
        <v>0.05</v>
      </c>
      <c r="I540" s="8">
        <v>44735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0</v>
      </c>
      <c r="U540" s="6">
        <v>0</v>
      </c>
      <c r="V540" s="6">
        <v>0</v>
      </c>
      <c r="W540" s="6">
        <v>0</v>
      </c>
      <c r="AI540" s="2">
        <v>143422</v>
      </c>
      <c r="AJ540" s="2">
        <v>49290</v>
      </c>
      <c r="AK540" s="2">
        <v>6402.77</v>
      </c>
      <c r="AL540" s="2">
        <v>2200.4499999999998</v>
      </c>
      <c r="AM540" s="5">
        <v>1720.64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11562.72</v>
      </c>
      <c r="AT540" s="12">
        <v>10323.86</v>
      </c>
      <c r="AU540" s="2">
        <v>0</v>
      </c>
      <c r="AV540" s="5">
        <v>963.56</v>
      </c>
      <c r="AX540" s="2">
        <v>143422</v>
      </c>
      <c r="AY540" s="2">
        <v>49290</v>
      </c>
      <c r="AZ540" s="2">
        <v>6402.77</v>
      </c>
      <c r="BA540" s="2">
        <v>2200.4499999999998</v>
      </c>
      <c r="BB540" s="5">
        <v>1720.64</v>
      </c>
      <c r="BC540" s="12">
        <v>0</v>
      </c>
      <c r="BD540" s="2">
        <v>0</v>
      </c>
      <c r="BE540" s="2">
        <v>0</v>
      </c>
      <c r="BF540" s="2">
        <v>0</v>
      </c>
      <c r="BG540" s="5">
        <v>0</v>
      </c>
      <c r="BH540" s="2">
        <v>11562.72</v>
      </c>
      <c r="BI540" s="12">
        <v>10323.86</v>
      </c>
      <c r="BJ540" s="2">
        <v>0</v>
      </c>
      <c r="BK540" s="5">
        <v>963.56</v>
      </c>
      <c r="BL540" s="1" t="s">
        <v>90</v>
      </c>
    </row>
    <row r="541" spans="1:64" x14ac:dyDescent="0.3">
      <c r="A541" t="s">
        <v>1063</v>
      </c>
      <c r="B541" s="1" t="s">
        <v>1063</v>
      </c>
      <c r="C541" s="9" t="s">
        <v>1064</v>
      </c>
      <c r="D541" s="1" t="s">
        <v>95</v>
      </c>
      <c r="E541" s="1" t="s">
        <v>135</v>
      </c>
      <c r="F541" s="10" t="s">
        <v>193</v>
      </c>
      <c r="G541" s="1">
        <v>0</v>
      </c>
      <c r="H541" s="1">
        <v>0.05</v>
      </c>
      <c r="I541" s="8">
        <v>44669</v>
      </c>
      <c r="J541" s="6">
        <v>27025</v>
      </c>
      <c r="K541" s="6">
        <v>5577</v>
      </c>
      <c r="L541" s="6">
        <v>1206.4799999999996</v>
      </c>
      <c r="M541" s="6">
        <v>248.98000000000002</v>
      </c>
      <c r="N541" s="7">
        <v>291.09000000000015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1956.1399999999994</v>
      </c>
      <c r="U541" s="6">
        <v>1746.5500000000029</v>
      </c>
      <c r="V541" s="6">
        <v>0</v>
      </c>
      <c r="W541" s="6">
        <v>163</v>
      </c>
      <c r="AI541" s="2">
        <v>669128</v>
      </c>
      <c r="AJ541" s="2">
        <v>70585</v>
      </c>
      <c r="AK541" s="2">
        <v>29871.79</v>
      </c>
      <c r="AL541" s="2">
        <v>3151.12</v>
      </c>
      <c r="AM541" s="5">
        <v>6604.58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44382.79</v>
      </c>
      <c r="AT541" s="12">
        <v>39627.490000000005</v>
      </c>
      <c r="AU541" s="2">
        <v>0</v>
      </c>
      <c r="AV541" s="5">
        <v>3698.56</v>
      </c>
      <c r="AX541" s="2">
        <v>642103</v>
      </c>
      <c r="AY541" s="2">
        <v>65008</v>
      </c>
      <c r="AZ541" s="2">
        <v>28665.31</v>
      </c>
      <c r="BA541" s="2">
        <v>2902.14</v>
      </c>
      <c r="BB541" s="5">
        <v>6313.49</v>
      </c>
      <c r="BC541" s="12">
        <v>0</v>
      </c>
      <c r="BD541" s="2">
        <v>0</v>
      </c>
      <c r="BE541" s="2">
        <v>0</v>
      </c>
      <c r="BF541" s="2">
        <v>0</v>
      </c>
      <c r="BG541" s="5">
        <v>0</v>
      </c>
      <c r="BH541" s="2">
        <v>42426.65</v>
      </c>
      <c r="BI541" s="12">
        <v>37880.94</v>
      </c>
      <c r="BJ541" s="2">
        <v>0</v>
      </c>
      <c r="BK541" s="5">
        <v>3535.56</v>
      </c>
      <c r="BL541" s="1" t="s">
        <v>137</v>
      </c>
    </row>
    <row r="542" spans="1:64" x14ac:dyDescent="0.3">
      <c r="A542" t="s">
        <v>1065</v>
      </c>
      <c r="B542" s="1" t="s">
        <v>1065</v>
      </c>
      <c r="C542" s="9" t="s">
        <v>1066</v>
      </c>
      <c r="D542" s="1" t="s">
        <v>95</v>
      </c>
      <c r="E542" s="1" t="s">
        <v>135</v>
      </c>
      <c r="F542" s="10" t="s">
        <v>435</v>
      </c>
      <c r="G542" s="1">
        <v>0</v>
      </c>
      <c r="H542" s="1">
        <v>0.05</v>
      </c>
      <c r="I542" s="8">
        <v>44628</v>
      </c>
      <c r="J542" s="6">
        <v>276624</v>
      </c>
      <c r="K542" s="6">
        <v>87189</v>
      </c>
      <c r="L542" s="6">
        <v>12349.29</v>
      </c>
      <c r="M542" s="6">
        <v>3892.37</v>
      </c>
      <c r="N542" s="7">
        <v>3248.33</v>
      </c>
      <c r="O542" s="6">
        <v>-436023</v>
      </c>
      <c r="P542" s="6">
        <v>-44990.400000000001</v>
      </c>
      <c r="Q542" s="6">
        <v>-19465.310000000001</v>
      </c>
      <c r="R542" s="6">
        <v>-2008.5</v>
      </c>
      <c r="S542" s="7">
        <v>0</v>
      </c>
      <c r="T542" s="11">
        <v>-2221.8799999999974</v>
      </c>
      <c r="U542" s="6">
        <v>-1983.8200000000033</v>
      </c>
      <c r="V542" s="6">
        <v>0</v>
      </c>
      <c r="W542" s="6">
        <v>-586.01000000000022</v>
      </c>
      <c r="AI542" s="2">
        <v>276624</v>
      </c>
      <c r="AJ542" s="2">
        <v>87189</v>
      </c>
      <c r="AK542" s="2">
        <v>12349.29</v>
      </c>
      <c r="AL542" s="2">
        <v>3892.37</v>
      </c>
      <c r="AM542" s="5">
        <v>3248.33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21828.79</v>
      </c>
      <c r="AT542" s="12">
        <v>19489.989999999998</v>
      </c>
      <c r="AU542" s="2">
        <v>0</v>
      </c>
      <c r="AV542" s="5">
        <v>1819.06</v>
      </c>
      <c r="AX542" s="2">
        <v>0</v>
      </c>
      <c r="AY542" s="2">
        <v>0</v>
      </c>
      <c r="AZ542" s="2">
        <v>0</v>
      </c>
      <c r="BA542" s="2">
        <v>0</v>
      </c>
      <c r="BB542" s="5">
        <v>0</v>
      </c>
      <c r="BC542" s="12">
        <v>436023</v>
      </c>
      <c r="BD542" s="2">
        <v>44990.400000000001</v>
      </c>
      <c r="BE542" s="2">
        <v>19465.310000000001</v>
      </c>
      <c r="BF542" s="2">
        <v>2008.5</v>
      </c>
      <c r="BG542" s="5">
        <v>0</v>
      </c>
      <c r="BH542" s="2">
        <v>24050.67</v>
      </c>
      <c r="BI542" s="12">
        <v>21473.81</v>
      </c>
      <c r="BJ542" s="2">
        <v>0</v>
      </c>
      <c r="BK542" s="5">
        <v>2405.0700000000002</v>
      </c>
      <c r="BL542" s="1" t="s">
        <v>137</v>
      </c>
    </row>
    <row r="543" spans="1:64" x14ac:dyDescent="0.3">
      <c r="A543" t="s">
        <v>1073</v>
      </c>
      <c r="B543" s="1" t="s">
        <v>1073</v>
      </c>
      <c r="C543" s="9" t="s">
        <v>1074</v>
      </c>
      <c r="D543" s="1" t="s">
        <v>95</v>
      </c>
      <c r="E543" s="1" t="s">
        <v>135</v>
      </c>
      <c r="F543" s="10" t="s">
        <v>1075</v>
      </c>
      <c r="G543" s="1">
        <v>0</v>
      </c>
      <c r="H543" s="1">
        <v>0.05</v>
      </c>
      <c r="I543" s="8">
        <v>44887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0</v>
      </c>
      <c r="U543" s="6">
        <v>0</v>
      </c>
      <c r="V543" s="6">
        <v>0</v>
      </c>
      <c r="W543" s="6">
        <v>0</v>
      </c>
      <c r="AI543" s="2">
        <v>714265</v>
      </c>
      <c r="AJ543" s="2">
        <v>51761</v>
      </c>
      <c r="AK543" s="2">
        <v>31886.83</v>
      </c>
      <c r="AL543" s="2">
        <v>2310.7600000000002</v>
      </c>
      <c r="AM543" s="5">
        <v>6839.52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45961.56</v>
      </c>
      <c r="AT543" s="12">
        <v>41037.11</v>
      </c>
      <c r="AU543" s="2">
        <v>0</v>
      </c>
      <c r="AV543" s="5">
        <v>3830.13</v>
      </c>
      <c r="AX543" s="2">
        <v>714265</v>
      </c>
      <c r="AY543" s="2">
        <v>51761</v>
      </c>
      <c r="AZ543" s="2">
        <v>31886.83</v>
      </c>
      <c r="BA543" s="2">
        <v>2310.7600000000002</v>
      </c>
      <c r="BB543" s="5">
        <v>6839.52</v>
      </c>
      <c r="BC543" s="12">
        <v>0</v>
      </c>
      <c r="BD543" s="2">
        <v>0</v>
      </c>
      <c r="BE543" s="2">
        <v>0</v>
      </c>
      <c r="BF543" s="2">
        <v>0</v>
      </c>
      <c r="BG543" s="5">
        <v>0</v>
      </c>
      <c r="BH543" s="2">
        <v>45961.56</v>
      </c>
      <c r="BI543" s="12">
        <v>41037.11</v>
      </c>
      <c r="BJ543" s="2">
        <v>0</v>
      </c>
      <c r="BK543" s="5">
        <v>3830.13</v>
      </c>
      <c r="BL543" s="1" t="s">
        <v>137</v>
      </c>
    </row>
    <row r="544" spans="1:64" x14ac:dyDescent="0.3">
      <c r="A544" t="s">
        <v>1076</v>
      </c>
      <c r="B544" s="1" t="s">
        <v>1076</v>
      </c>
      <c r="C544" s="9" t="s">
        <v>1077</v>
      </c>
      <c r="D544" s="1" t="s">
        <v>95</v>
      </c>
      <c r="E544" s="1" t="s">
        <v>135</v>
      </c>
      <c r="F544" s="10" t="s">
        <v>136</v>
      </c>
      <c r="G544" s="1">
        <v>0</v>
      </c>
      <c r="H544" s="1">
        <v>0.05</v>
      </c>
      <c r="I544" s="8">
        <v>44767</v>
      </c>
      <c r="J544" s="6">
        <v>303113</v>
      </c>
      <c r="K544" s="6">
        <v>25982</v>
      </c>
      <c r="L544" s="6">
        <v>13531.83</v>
      </c>
      <c r="M544" s="6">
        <v>1159.9100000000001</v>
      </c>
      <c r="N544" s="7">
        <v>2938.35</v>
      </c>
      <c r="O544" s="6">
        <v>-859426.5</v>
      </c>
      <c r="P544" s="6">
        <v>-70368.900000000009</v>
      </c>
      <c r="Q544" s="6">
        <v>-38367.25</v>
      </c>
      <c r="R544" s="6">
        <v>-3141.47</v>
      </c>
      <c r="S544" s="7">
        <v>0</v>
      </c>
      <c r="T544" s="11">
        <v>-26744.069999999996</v>
      </c>
      <c r="U544" s="6">
        <v>-23878.63</v>
      </c>
      <c r="V544" s="6">
        <v>0</v>
      </c>
      <c r="W544" s="6">
        <v>-3003.4999999999995</v>
      </c>
      <c r="AI544" s="2">
        <v>303113</v>
      </c>
      <c r="AJ544" s="2">
        <v>25982</v>
      </c>
      <c r="AK544" s="2">
        <v>13531.83</v>
      </c>
      <c r="AL544" s="2">
        <v>1159.9100000000001</v>
      </c>
      <c r="AM544" s="5">
        <v>2938.35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19745.7</v>
      </c>
      <c r="AT544" s="12">
        <v>17630.09</v>
      </c>
      <c r="AU544" s="2">
        <v>0</v>
      </c>
      <c r="AV544" s="5">
        <v>1645.48</v>
      </c>
      <c r="AX544" s="2">
        <v>0</v>
      </c>
      <c r="AY544" s="2">
        <v>0</v>
      </c>
      <c r="AZ544" s="2">
        <v>0</v>
      </c>
      <c r="BA544" s="2">
        <v>0</v>
      </c>
      <c r="BB544" s="5">
        <v>0</v>
      </c>
      <c r="BC544" s="12">
        <v>859426.5</v>
      </c>
      <c r="BD544" s="2">
        <v>70368.900000000009</v>
      </c>
      <c r="BE544" s="2">
        <v>38367.25</v>
      </c>
      <c r="BF544" s="2">
        <v>3141.47</v>
      </c>
      <c r="BG544" s="5">
        <v>0</v>
      </c>
      <c r="BH544" s="2">
        <v>46489.77</v>
      </c>
      <c r="BI544" s="12">
        <v>41508.720000000001</v>
      </c>
      <c r="BJ544" s="2">
        <v>0</v>
      </c>
      <c r="BK544" s="5">
        <v>4648.9799999999996</v>
      </c>
      <c r="BL544" s="1" t="s">
        <v>137</v>
      </c>
    </row>
    <row r="545" spans="1:64" x14ac:dyDescent="0.3">
      <c r="A545" t="s">
        <v>1076</v>
      </c>
      <c r="B545" s="1" t="s">
        <v>1078</v>
      </c>
      <c r="C545" s="9" t="s">
        <v>1079</v>
      </c>
      <c r="D545" s="1" t="s">
        <v>95</v>
      </c>
      <c r="E545" s="1" t="s">
        <v>135</v>
      </c>
      <c r="F545" s="10" t="s">
        <v>136</v>
      </c>
      <c r="G545" s="1">
        <v>0</v>
      </c>
      <c r="H545" s="1">
        <v>0.05</v>
      </c>
      <c r="I545" s="8">
        <v>44967</v>
      </c>
      <c r="J545" s="6">
        <v>79543</v>
      </c>
      <c r="K545" s="6">
        <v>9788</v>
      </c>
      <c r="L545" s="6">
        <v>3551.03</v>
      </c>
      <c r="M545" s="6">
        <v>436.96</v>
      </c>
      <c r="N545" s="7">
        <v>797.6</v>
      </c>
      <c r="O545" s="6">
        <v>-365511.3</v>
      </c>
      <c r="P545" s="6">
        <v>-19064.399999999998</v>
      </c>
      <c r="Q545" s="6">
        <v>-16317.46</v>
      </c>
      <c r="R545" s="6">
        <v>-851.09</v>
      </c>
      <c r="S545" s="7">
        <v>0</v>
      </c>
      <c r="T545" s="11">
        <v>-13868.919999999998</v>
      </c>
      <c r="U545" s="6">
        <v>-12382.96</v>
      </c>
      <c r="V545" s="6">
        <v>0</v>
      </c>
      <c r="W545" s="6">
        <v>-1476.22</v>
      </c>
      <c r="AI545" s="2">
        <v>79543</v>
      </c>
      <c r="AJ545" s="2">
        <v>9788</v>
      </c>
      <c r="AK545" s="2">
        <v>3551.03</v>
      </c>
      <c r="AL545" s="2">
        <v>436.96</v>
      </c>
      <c r="AM545" s="5">
        <v>797.6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5359.86</v>
      </c>
      <c r="AT545" s="12">
        <v>4785.59</v>
      </c>
      <c r="AU545" s="2">
        <v>0</v>
      </c>
      <c r="AV545" s="5">
        <v>446.66</v>
      </c>
      <c r="AX545" s="2">
        <v>0</v>
      </c>
      <c r="AY545" s="2">
        <v>0</v>
      </c>
      <c r="AZ545" s="2">
        <v>0</v>
      </c>
      <c r="BA545" s="2">
        <v>0</v>
      </c>
      <c r="BB545" s="5">
        <v>0</v>
      </c>
      <c r="BC545" s="12">
        <v>365511.3</v>
      </c>
      <c r="BD545" s="2">
        <v>19064.399999999998</v>
      </c>
      <c r="BE545" s="2">
        <v>16317.46</v>
      </c>
      <c r="BF545" s="2">
        <v>851.09</v>
      </c>
      <c r="BG545" s="5">
        <v>0</v>
      </c>
      <c r="BH545" s="2">
        <v>19228.78</v>
      </c>
      <c r="BI545" s="12">
        <v>17168.55</v>
      </c>
      <c r="BJ545" s="2">
        <v>0</v>
      </c>
      <c r="BK545" s="5">
        <v>1922.88</v>
      </c>
      <c r="BL545" s="1" t="s">
        <v>137</v>
      </c>
    </row>
    <row r="546" spans="1:64" x14ac:dyDescent="0.3">
      <c r="A546" t="s">
        <v>1080</v>
      </c>
      <c r="B546" s="1" t="s">
        <v>1080</v>
      </c>
      <c r="C546" s="9" t="s">
        <v>1081</v>
      </c>
      <c r="D546" s="1" t="s">
        <v>95</v>
      </c>
      <c r="E546" s="1" t="s">
        <v>135</v>
      </c>
      <c r="F546" s="10" t="s">
        <v>136</v>
      </c>
      <c r="G546" s="1">
        <v>3.5000000000000003E-2</v>
      </c>
      <c r="H546" s="1">
        <v>0.05</v>
      </c>
      <c r="I546" s="8">
        <v>44441</v>
      </c>
      <c r="J546" s="6">
        <v>138805</v>
      </c>
      <c r="K546" s="6">
        <v>37997</v>
      </c>
      <c r="L546" s="6">
        <v>6196.65</v>
      </c>
      <c r="M546" s="6">
        <v>1696.29</v>
      </c>
      <c r="N546" s="7">
        <v>1578.59</v>
      </c>
      <c r="O546" s="6">
        <v>-547150.5</v>
      </c>
      <c r="P546" s="6">
        <v>-44003.399999999994</v>
      </c>
      <c r="Q546" s="6">
        <v>-24426.36</v>
      </c>
      <c r="R546" s="6">
        <v>-1964.44</v>
      </c>
      <c r="S546" s="7">
        <v>-5278.16</v>
      </c>
      <c r="T546" s="11">
        <v>-24861.129999999997</v>
      </c>
      <c r="U546" s="6">
        <v>-22197.43</v>
      </c>
      <c r="V546" s="6">
        <v>0</v>
      </c>
      <c r="W546" s="6">
        <v>-2071.7600000000002</v>
      </c>
      <c r="AI546" s="2">
        <v>138805</v>
      </c>
      <c r="AJ546" s="2">
        <v>37997</v>
      </c>
      <c r="AK546" s="2">
        <v>6196.65</v>
      </c>
      <c r="AL546" s="2">
        <v>1696.29</v>
      </c>
      <c r="AM546" s="5">
        <v>1578.59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10608.11</v>
      </c>
      <c r="AT546" s="12">
        <v>9471.5299999999988</v>
      </c>
      <c r="AU546" s="2">
        <v>0</v>
      </c>
      <c r="AV546" s="5">
        <v>884.01</v>
      </c>
      <c r="AX546" s="2">
        <v>0</v>
      </c>
      <c r="AY546" s="2">
        <v>0</v>
      </c>
      <c r="AZ546" s="2">
        <v>0</v>
      </c>
      <c r="BA546" s="2">
        <v>0</v>
      </c>
      <c r="BB546" s="5">
        <v>0</v>
      </c>
      <c r="BC546" s="12">
        <v>547150.5</v>
      </c>
      <c r="BD546" s="2">
        <v>44003.399999999994</v>
      </c>
      <c r="BE546" s="2">
        <v>24426.36</v>
      </c>
      <c r="BF546" s="2">
        <v>1964.44</v>
      </c>
      <c r="BG546" s="5">
        <v>5278.16</v>
      </c>
      <c r="BH546" s="2">
        <v>35469.24</v>
      </c>
      <c r="BI546" s="12">
        <v>31668.959999999999</v>
      </c>
      <c r="BJ546" s="2">
        <v>0</v>
      </c>
      <c r="BK546" s="5">
        <v>2955.77</v>
      </c>
      <c r="BL546" s="1" t="s">
        <v>137</v>
      </c>
    </row>
    <row r="547" spans="1:64" x14ac:dyDescent="0.3">
      <c r="A547" t="s">
        <v>1082</v>
      </c>
      <c r="B547" s="1" t="s">
        <v>1082</v>
      </c>
      <c r="C547" s="9" t="s">
        <v>1083</v>
      </c>
      <c r="D547" s="1" t="s">
        <v>95</v>
      </c>
      <c r="E547" s="1" t="s">
        <v>135</v>
      </c>
      <c r="F547" s="10" t="s">
        <v>1075</v>
      </c>
      <c r="G547" s="1">
        <v>0</v>
      </c>
      <c r="H547" s="1">
        <v>0.05</v>
      </c>
      <c r="I547" s="8">
        <v>44770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621816</v>
      </c>
      <c r="AJ547" s="2">
        <v>122391</v>
      </c>
      <c r="AK547" s="2">
        <v>27759.64</v>
      </c>
      <c r="AL547" s="2">
        <v>5463.88</v>
      </c>
      <c r="AM547" s="5">
        <v>6644.71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44652.42</v>
      </c>
      <c r="AT547" s="12">
        <v>39868.229999999996</v>
      </c>
      <c r="AU547" s="2">
        <v>0</v>
      </c>
      <c r="AV547" s="5">
        <v>3721.04</v>
      </c>
      <c r="AX547" s="2">
        <v>621816</v>
      </c>
      <c r="AY547" s="2">
        <v>122391</v>
      </c>
      <c r="AZ547" s="2">
        <v>27759.64</v>
      </c>
      <c r="BA547" s="2">
        <v>5463.88</v>
      </c>
      <c r="BB547" s="5">
        <v>6644.71</v>
      </c>
      <c r="BC547" s="12">
        <v>0</v>
      </c>
      <c r="BD547" s="2">
        <v>0</v>
      </c>
      <c r="BE547" s="2">
        <v>0</v>
      </c>
      <c r="BF547" s="2">
        <v>0</v>
      </c>
      <c r="BG547" s="5">
        <v>0</v>
      </c>
      <c r="BH547" s="2">
        <v>44652.42</v>
      </c>
      <c r="BI547" s="12">
        <v>39868.229999999996</v>
      </c>
      <c r="BJ547" s="2">
        <v>0</v>
      </c>
      <c r="BK547" s="5">
        <v>3721.04</v>
      </c>
      <c r="BL547" s="1" t="s">
        <v>137</v>
      </c>
    </row>
    <row r="548" spans="1:64" x14ac:dyDescent="0.3">
      <c r="A548" t="s">
        <v>1088</v>
      </c>
      <c r="B548" s="1" t="s">
        <v>1089</v>
      </c>
      <c r="C548" s="9" t="s">
        <v>1090</v>
      </c>
      <c r="D548" s="1" t="s">
        <v>95</v>
      </c>
      <c r="E548" s="1" t="s">
        <v>128</v>
      </c>
      <c r="F548" s="10" t="s">
        <v>309</v>
      </c>
      <c r="G548" s="1">
        <v>0</v>
      </c>
      <c r="H548" s="1">
        <v>0.05</v>
      </c>
      <c r="I548" s="8">
        <v>44755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0</v>
      </c>
      <c r="U548" s="6">
        <v>0</v>
      </c>
      <c r="V548" s="6">
        <v>0</v>
      </c>
      <c r="W548" s="6">
        <v>0</v>
      </c>
      <c r="AI548" s="2">
        <v>295658</v>
      </c>
      <c r="AJ548" s="2">
        <v>0</v>
      </c>
      <c r="AK548" s="2">
        <v>13199.02</v>
      </c>
      <c r="AL548" s="2">
        <v>0</v>
      </c>
      <c r="AM548" s="5">
        <v>2639.8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17739.48</v>
      </c>
      <c r="AT548" s="12">
        <v>15838.82</v>
      </c>
      <c r="AU548" s="2">
        <v>0</v>
      </c>
      <c r="AV548" s="5">
        <v>1478.29</v>
      </c>
      <c r="AX548" s="2">
        <v>295658</v>
      </c>
      <c r="AY548" s="2">
        <v>0</v>
      </c>
      <c r="AZ548" s="2">
        <v>13199.02</v>
      </c>
      <c r="BA548" s="2">
        <v>0</v>
      </c>
      <c r="BB548" s="5">
        <v>2639.8</v>
      </c>
      <c r="BC548" s="12">
        <v>0</v>
      </c>
      <c r="BD548" s="2">
        <v>0</v>
      </c>
      <c r="BE548" s="2">
        <v>0</v>
      </c>
      <c r="BF548" s="2">
        <v>0</v>
      </c>
      <c r="BG548" s="5">
        <v>0</v>
      </c>
      <c r="BH548" s="2">
        <v>17739.48</v>
      </c>
      <c r="BI548" s="12">
        <v>15838.82</v>
      </c>
      <c r="BJ548" s="2">
        <v>0</v>
      </c>
      <c r="BK548" s="5">
        <v>1478.29</v>
      </c>
      <c r="BL548" s="1" t="s">
        <v>130</v>
      </c>
    </row>
    <row r="549" spans="1:64" x14ac:dyDescent="0.3">
      <c r="A549" t="s">
        <v>1088</v>
      </c>
      <c r="B549" s="1" t="s">
        <v>1091</v>
      </c>
      <c r="C549" s="9" t="s">
        <v>1092</v>
      </c>
      <c r="D549" s="1" t="s">
        <v>95</v>
      </c>
      <c r="E549" s="1" t="s">
        <v>128</v>
      </c>
      <c r="F549" s="10" t="s">
        <v>309</v>
      </c>
      <c r="G549" s="1">
        <v>0</v>
      </c>
      <c r="H549" s="1">
        <v>0.05</v>
      </c>
      <c r="I549" s="8">
        <v>44755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0</v>
      </c>
      <c r="U549" s="6">
        <v>0</v>
      </c>
      <c r="V549" s="6">
        <v>0</v>
      </c>
      <c r="W549" s="6">
        <v>0</v>
      </c>
      <c r="AI549" s="2">
        <v>217983</v>
      </c>
      <c r="AJ549" s="2">
        <v>0</v>
      </c>
      <c r="AK549" s="2">
        <v>9731.3799999999992</v>
      </c>
      <c r="AL549" s="2">
        <v>0</v>
      </c>
      <c r="AM549" s="5">
        <v>1946.28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13078.98</v>
      </c>
      <c r="AT549" s="12">
        <v>11677.66</v>
      </c>
      <c r="AU549" s="2">
        <v>0</v>
      </c>
      <c r="AV549" s="5">
        <v>1089.92</v>
      </c>
      <c r="AX549" s="2">
        <v>217983</v>
      </c>
      <c r="AY549" s="2">
        <v>0</v>
      </c>
      <c r="AZ549" s="2">
        <v>9731.3799999999992</v>
      </c>
      <c r="BA549" s="2">
        <v>0</v>
      </c>
      <c r="BB549" s="5">
        <v>1946.28</v>
      </c>
      <c r="BC549" s="12">
        <v>0</v>
      </c>
      <c r="BD549" s="2">
        <v>0</v>
      </c>
      <c r="BE549" s="2">
        <v>0</v>
      </c>
      <c r="BF549" s="2">
        <v>0</v>
      </c>
      <c r="BG549" s="5">
        <v>0</v>
      </c>
      <c r="BH549" s="2">
        <v>13078.98</v>
      </c>
      <c r="BI549" s="12">
        <v>11677.66</v>
      </c>
      <c r="BJ549" s="2">
        <v>0</v>
      </c>
      <c r="BK549" s="5">
        <v>1089.92</v>
      </c>
      <c r="BL549" s="1" t="s">
        <v>130</v>
      </c>
    </row>
    <row r="550" spans="1:64" x14ac:dyDescent="0.3">
      <c r="A550" t="s">
        <v>1088</v>
      </c>
      <c r="B550" s="1" t="s">
        <v>1088</v>
      </c>
      <c r="C550" s="9" t="s">
        <v>1093</v>
      </c>
      <c r="D550" s="1" t="s">
        <v>95</v>
      </c>
      <c r="E550" s="1" t="s">
        <v>128</v>
      </c>
      <c r="F550" s="10" t="s">
        <v>309</v>
      </c>
      <c r="G550" s="1">
        <v>0.04</v>
      </c>
      <c r="H550" s="1">
        <v>0.05</v>
      </c>
      <c r="I550" s="8">
        <v>44755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0</v>
      </c>
      <c r="U550" s="6">
        <v>0</v>
      </c>
      <c r="V550" s="6">
        <v>0</v>
      </c>
      <c r="W550" s="6">
        <v>0</v>
      </c>
      <c r="AI550" s="2">
        <v>456061</v>
      </c>
      <c r="AJ550" s="2">
        <v>16995</v>
      </c>
      <c r="AK550" s="2">
        <v>20359.87</v>
      </c>
      <c r="AL550" s="2">
        <v>758.71</v>
      </c>
      <c r="AM550" s="5">
        <v>4223.71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28383.360000000001</v>
      </c>
      <c r="AT550" s="12">
        <v>25342.289999999997</v>
      </c>
      <c r="AU550" s="2">
        <v>0</v>
      </c>
      <c r="AV550" s="5">
        <v>2365.2800000000002</v>
      </c>
      <c r="AX550" s="2">
        <v>456061</v>
      </c>
      <c r="AY550" s="2">
        <v>16995</v>
      </c>
      <c r="AZ550" s="2">
        <v>20359.87</v>
      </c>
      <c r="BA550" s="2">
        <v>758.71</v>
      </c>
      <c r="BB550" s="5">
        <v>4223.71</v>
      </c>
      <c r="BC550" s="12">
        <v>0</v>
      </c>
      <c r="BD550" s="2">
        <v>0</v>
      </c>
      <c r="BE550" s="2">
        <v>0</v>
      </c>
      <c r="BF550" s="2">
        <v>0</v>
      </c>
      <c r="BG550" s="5">
        <v>0</v>
      </c>
      <c r="BH550" s="2">
        <v>28383.360000000001</v>
      </c>
      <c r="BI550" s="12">
        <v>25342.289999999997</v>
      </c>
      <c r="BJ550" s="2">
        <v>0</v>
      </c>
      <c r="BK550" s="5">
        <v>2365.2800000000002</v>
      </c>
      <c r="BL550" s="1" t="s">
        <v>130</v>
      </c>
    </row>
    <row r="551" spans="1:64" x14ac:dyDescent="0.3">
      <c r="A551" t="s">
        <v>1088</v>
      </c>
      <c r="B551" s="1" t="s">
        <v>1094</v>
      </c>
      <c r="C551" s="9" t="s">
        <v>1095</v>
      </c>
      <c r="D551" s="1" t="s">
        <v>95</v>
      </c>
      <c r="E551" s="1" t="s">
        <v>128</v>
      </c>
      <c r="F551" s="10" t="s">
        <v>309</v>
      </c>
      <c r="G551" s="1">
        <v>0</v>
      </c>
      <c r="H551" s="1">
        <v>0.05</v>
      </c>
      <c r="I551" s="8">
        <v>44755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0</v>
      </c>
      <c r="U551" s="6">
        <v>0</v>
      </c>
      <c r="V551" s="6">
        <v>0</v>
      </c>
      <c r="W551" s="6">
        <v>0</v>
      </c>
      <c r="AI551" s="2">
        <v>415322</v>
      </c>
      <c r="AJ551" s="2">
        <v>0</v>
      </c>
      <c r="AK551" s="2">
        <v>18541.16</v>
      </c>
      <c r="AL551" s="2">
        <v>0</v>
      </c>
      <c r="AM551" s="5">
        <v>3708.23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24919.32</v>
      </c>
      <c r="AT551" s="12">
        <v>22249.39</v>
      </c>
      <c r="AU551" s="2">
        <v>0</v>
      </c>
      <c r="AV551" s="5">
        <v>2076.61</v>
      </c>
      <c r="AX551" s="2">
        <v>415322</v>
      </c>
      <c r="AY551" s="2">
        <v>0</v>
      </c>
      <c r="AZ551" s="2">
        <v>18541.16</v>
      </c>
      <c r="BA551" s="2">
        <v>0</v>
      </c>
      <c r="BB551" s="5">
        <v>3708.23</v>
      </c>
      <c r="BC551" s="12">
        <v>0</v>
      </c>
      <c r="BD551" s="2">
        <v>0</v>
      </c>
      <c r="BE551" s="2">
        <v>0</v>
      </c>
      <c r="BF551" s="2">
        <v>0</v>
      </c>
      <c r="BG551" s="5">
        <v>0</v>
      </c>
      <c r="BH551" s="2">
        <v>24919.32</v>
      </c>
      <c r="BI551" s="12">
        <v>22249.39</v>
      </c>
      <c r="BJ551" s="2">
        <v>0</v>
      </c>
      <c r="BK551" s="5">
        <v>2076.61</v>
      </c>
      <c r="BL551" s="1" t="s">
        <v>130</v>
      </c>
    </row>
    <row r="552" spans="1:64" x14ac:dyDescent="0.3">
      <c r="A552" t="s">
        <v>1088</v>
      </c>
      <c r="B552" s="1" t="s">
        <v>1096</v>
      </c>
      <c r="C552" s="9" t="s">
        <v>1097</v>
      </c>
      <c r="D552" s="1" t="s">
        <v>95</v>
      </c>
      <c r="E552" s="1" t="s">
        <v>128</v>
      </c>
      <c r="F552" s="10" t="s">
        <v>309</v>
      </c>
      <c r="G552" s="1">
        <v>0</v>
      </c>
      <c r="H552" s="1">
        <v>0.05</v>
      </c>
      <c r="I552" s="8">
        <v>44765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0</v>
      </c>
      <c r="U552" s="6">
        <v>0</v>
      </c>
      <c r="V552" s="6">
        <v>0</v>
      </c>
      <c r="W552" s="6">
        <v>0</v>
      </c>
      <c r="AI552" s="2">
        <v>175335</v>
      </c>
      <c r="AJ552" s="2">
        <v>25560</v>
      </c>
      <c r="AK552" s="2">
        <v>7827.46</v>
      </c>
      <c r="AL552" s="2">
        <v>1141.07</v>
      </c>
      <c r="AM552" s="5">
        <v>1793.71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12053.71</v>
      </c>
      <c r="AT552" s="12">
        <v>10762.240000000002</v>
      </c>
      <c r="AU552" s="2">
        <v>0</v>
      </c>
      <c r="AV552" s="5">
        <v>1004.48</v>
      </c>
      <c r="AX552" s="2">
        <v>175335</v>
      </c>
      <c r="AY552" s="2">
        <v>25560</v>
      </c>
      <c r="AZ552" s="2">
        <v>7827.46</v>
      </c>
      <c r="BA552" s="2">
        <v>1141.07</v>
      </c>
      <c r="BB552" s="5">
        <v>1793.71</v>
      </c>
      <c r="BC552" s="12">
        <v>0</v>
      </c>
      <c r="BD552" s="2">
        <v>0</v>
      </c>
      <c r="BE552" s="2">
        <v>0</v>
      </c>
      <c r="BF552" s="2">
        <v>0</v>
      </c>
      <c r="BG552" s="5">
        <v>0</v>
      </c>
      <c r="BH552" s="2">
        <v>12053.71</v>
      </c>
      <c r="BI552" s="12">
        <v>10762.240000000002</v>
      </c>
      <c r="BJ552" s="2">
        <v>0</v>
      </c>
      <c r="BK552" s="5">
        <v>1004.48</v>
      </c>
      <c r="BL552" s="1" t="s">
        <v>130</v>
      </c>
    </row>
    <row r="553" spans="1:64" x14ac:dyDescent="0.3">
      <c r="A553" t="s">
        <v>1088</v>
      </c>
      <c r="B553" s="1" t="s">
        <v>1098</v>
      </c>
      <c r="C553" s="9" t="s">
        <v>1099</v>
      </c>
      <c r="D553" s="1" t="s">
        <v>95</v>
      </c>
      <c r="E553" s="1" t="s">
        <v>128</v>
      </c>
      <c r="F553" s="10" t="s">
        <v>309</v>
      </c>
      <c r="G553" s="1">
        <v>0</v>
      </c>
      <c r="H553" s="1">
        <v>0.05</v>
      </c>
      <c r="I553" s="8">
        <v>44848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0</v>
      </c>
      <c r="U553" s="6">
        <v>0</v>
      </c>
      <c r="V553" s="6">
        <v>0</v>
      </c>
      <c r="W553" s="6">
        <v>0</v>
      </c>
      <c r="AI553" s="2">
        <v>519205</v>
      </c>
      <c r="AJ553" s="2">
        <v>0</v>
      </c>
      <c r="AK553" s="2">
        <v>23178.79</v>
      </c>
      <c r="AL553" s="2">
        <v>0</v>
      </c>
      <c r="AM553" s="5">
        <v>4635.76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31152.3</v>
      </c>
      <c r="AT553" s="12">
        <v>27814.550000000003</v>
      </c>
      <c r="AU553" s="2">
        <v>0</v>
      </c>
      <c r="AV553" s="5">
        <v>2596.02</v>
      </c>
      <c r="AX553" s="2">
        <v>519205</v>
      </c>
      <c r="AY553" s="2">
        <v>0</v>
      </c>
      <c r="AZ553" s="2">
        <v>23178.79</v>
      </c>
      <c r="BA553" s="2">
        <v>0</v>
      </c>
      <c r="BB553" s="5">
        <v>4635.76</v>
      </c>
      <c r="BC553" s="12">
        <v>0</v>
      </c>
      <c r="BD553" s="2">
        <v>0</v>
      </c>
      <c r="BE553" s="2">
        <v>0</v>
      </c>
      <c r="BF553" s="2">
        <v>0</v>
      </c>
      <c r="BG553" s="5">
        <v>0</v>
      </c>
      <c r="BH553" s="2">
        <v>31152.3</v>
      </c>
      <c r="BI553" s="12">
        <v>27814.550000000003</v>
      </c>
      <c r="BJ553" s="2">
        <v>0</v>
      </c>
      <c r="BK553" s="5">
        <v>2596.02</v>
      </c>
      <c r="BL553" s="1" t="s">
        <v>130</v>
      </c>
    </row>
    <row r="554" spans="1:64" x14ac:dyDescent="0.3">
      <c r="A554" t="s">
        <v>1088</v>
      </c>
      <c r="B554" s="1" t="s">
        <v>1100</v>
      </c>
      <c r="C554" s="9" t="s">
        <v>1101</v>
      </c>
      <c r="D554" s="1" t="s">
        <v>95</v>
      </c>
      <c r="E554" s="1" t="s">
        <v>128</v>
      </c>
      <c r="F554" s="10" t="s">
        <v>309</v>
      </c>
      <c r="G554" s="1">
        <v>0</v>
      </c>
      <c r="H554" s="1">
        <v>0.05</v>
      </c>
      <c r="I554" s="8">
        <v>44828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0</v>
      </c>
      <c r="U554" s="6">
        <v>0</v>
      </c>
      <c r="V554" s="6">
        <v>0</v>
      </c>
      <c r="W554" s="6">
        <v>0</v>
      </c>
      <c r="AI554" s="2">
        <v>369599</v>
      </c>
      <c r="AJ554" s="2">
        <v>0</v>
      </c>
      <c r="AK554" s="2">
        <v>16499.96</v>
      </c>
      <c r="AL554" s="2">
        <v>0</v>
      </c>
      <c r="AM554" s="5">
        <v>3299.99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22175.94</v>
      </c>
      <c r="AT554" s="12">
        <v>19799.949999999997</v>
      </c>
      <c r="AU554" s="2">
        <v>0</v>
      </c>
      <c r="AV554" s="5">
        <v>1848</v>
      </c>
      <c r="AX554" s="2">
        <v>369599</v>
      </c>
      <c r="AY554" s="2">
        <v>0</v>
      </c>
      <c r="AZ554" s="2">
        <v>16499.96</v>
      </c>
      <c r="BA554" s="2">
        <v>0</v>
      </c>
      <c r="BB554" s="5">
        <v>3299.99</v>
      </c>
      <c r="BC554" s="12">
        <v>0</v>
      </c>
      <c r="BD554" s="2">
        <v>0</v>
      </c>
      <c r="BE554" s="2">
        <v>0</v>
      </c>
      <c r="BF554" s="2">
        <v>0</v>
      </c>
      <c r="BG554" s="5">
        <v>0</v>
      </c>
      <c r="BH554" s="2">
        <v>22175.94</v>
      </c>
      <c r="BI554" s="12">
        <v>19799.949999999997</v>
      </c>
      <c r="BJ554" s="2">
        <v>0</v>
      </c>
      <c r="BK554" s="5">
        <v>1848</v>
      </c>
      <c r="BL554" s="1" t="s">
        <v>130</v>
      </c>
    </row>
    <row r="555" spans="1:64" x14ac:dyDescent="0.3">
      <c r="A555" t="s">
        <v>1088</v>
      </c>
      <c r="B555" s="1" t="s">
        <v>1102</v>
      </c>
      <c r="C555" s="9" t="s">
        <v>1103</v>
      </c>
      <c r="D555" s="1" t="s">
        <v>95</v>
      </c>
      <c r="E555" s="1" t="s">
        <v>128</v>
      </c>
      <c r="F555" s="10" t="s">
        <v>309</v>
      </c>
      <c r="G555" s="1">
        <v>0</v>
      </c>
      <c r="H555" s="1">
        <v>0.05</v>
      </c>
      <c r="I555" s="8">
        <v>45107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0</v>
      </c>
      <c r="U555" s="6">
        <v>0</v>
      </c>
      <c r="V555" s="6">
        <v>0</v>
      </c>
      <c r="W555" s="6">
        <v>0</v>
      </c>
      <c r="AI555" s="2">
        <v>177811</v>
      </c>
      <c r="AJ555" s="2">
        <v>0</v>
      </c>
      <c r="AK555" s="2">
        <v>7937.99</v>
      </c>
      <c r="AL555" s="2">
        <v>0</v>
      </c>
      <c r="AM555" s="5">
        <v>1587.6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10668.66</v>
      </c>
      <c r="AT555" s="12">
        <v>9525.59</v>
      </c>
      <c r="AU555" s="2">
        <v>0</v>
      </c>
      <c r="AV555" s="5">
        <v>889.06</v>
      </c>
      <c r="AX555" s="2">
        <v>177811</v>
      </c>
      <c r="AY555" s="2">
        <v>0</v>
      </c>
      <c r="AZ555" s="2">
        <v>7937.99</v>
      </c>
      <c r="BA555" s="2">
        <v>0</v>
      </c>
      <c r="BB555" s="5">
        <v>1587.6</v>
      </c>
      <c r="BC555" s="12">
        <v>0</v>
      </c>
      <c r="BD555" s="2">
        <v>0</v>
      </c>
      <c r="BE555" s="2">
        <v>0</v>
      </c>
      <c r="BF555" s="2">
        <v>0</v>
      </c>
      <c r="BG555" s="5">
        <v>0</v>
      </c>
      <c r="BH555" s="2">
        <v>10668.66</v>
      </c>
      <c r="BI555" s="12">
        <v>9525.59</v>
      </c>
      <c r="BJ555" s="2">
        <v>0</v>
      </c>
      <c r="BK555" s="5">
        <v>889.06</v>
      </c>
      <c r="BL555" s="1" t="s">
        <v>130</v>
      </c>
    </row>
    <row r="556" spans="1:64" x14ac:dyDescent="0.3">
      <c r="A556" t="s">
        <v>1088</v>
      </c>
      <c r="B556" s="1" t="s">
        <v>1104</v>
      </c>
      <c r="C556" s="9" t="s">
        <v>1105</v>
      </c>
      <c r="D556" s="1" t="s">
        <v>95</v>
      </c>
      <c r="E556" s="1" t="s">
        <v>128</v>
      </c>
      <c r="F556" s="10" t="s">
        <v>309</v>
      </c>
      <c r="G556" s="1">
        <v>0</v>
      </c>
      <c r="H556" s="1">
        <v>0.05</v>
      </c>
      <c r="I556" s="8">
        <v>45323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0</v>
      </c>
      <c r="U556" s="6">
        <v>0</v>
      </c>
      <c r="V556" s="6">
        <v>0</v>
      </c>
      <c r="W556" s="6">
        <v>0</v>
      </c>
      <c r="AI556" s="2">
        <v>140970</v>
      </c>
      <c r="AJ556" s="2">
        <v>0</v>
      </c>
      <c r="AK556" s="2">
        <v>6293.3</v>
      </c>
      <c r="AL556" s="2">
        <v>0</v>
      </c>
      <c r="AM556" s="5">
        <v>1258.6600000000001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8458.2000000000007</v>
      </c>
      <c r="AT556" s="12">
        <v>7551.96</v>
      </c>
      <c r="AU556" s="2">
        <v>0</v>
      </c>
      <c r="AV556" s="5">
        <v>704.85</v>
      </c>
      <c r="AX556" s="2">
        <v>140970</v>
      </c>
      <c r="AY556" s="2">
        <v>0</v>
      </c>
      <c r="AZ556" s="2">
        <v>6293.3</v>
      </c>
      <c r="BA556" s="2">
        <v>0</v>
      </c>
      <c r="BB556" s="5">
        <v>1258.6600000000001</v>
      </c>
      <c r="BC556" s="12">
        <v>0</v>
      </c>
      <c r="BD556" s="2">
        <v>0</v>
      </c>
      <c r="BE556" s="2">
        <v>0</v>
      </c>
      <c r="BF556" s="2">
        <v>0</v>
      </c>
      <c r="BG556" s="5">
        <v>0</v>
      </c>
      <c r="BH556" s="2">
        <v>8458.2000000000007</v>
      </c>
      <c r="BI556" s="12">
        <v>7551.96</v>
      </c>
      <c r="BJ556" s="2">
        <v>0</v>
      </c>
      <c r="BK556" s="5">
        <v>704.85</v>
      </c>
      <c r="BL556" s="1" t="s">
        <v>130</v>
      </c>
    </row>
    <row r="557" spans="1:64" x14ac:dyDescent="0.3">
      <c r="A557" t="s">
        <v>1088</v>
      </c>
      <c r="B557" s="1" t="s">
        <v>1106</v>
      </c>
      <c r="C557" s="9" t="s">
        <v>1107</v>
      </c>
      <c r="D557" s="1" t="s">
        <v>95</v>
      </c>
      <c r="E557" s="1" t="s">
        <v>128</v>
      </c>
      <c r="F557" s="10" t="s">
        <v>309</v>
      </c>
      <c r="G557" s="1">
        <v>0</v>
      </c>
      <c r="H557" s="1">
        <v>0.05</v>
      </c>
      <c r="I557" s="8">
        <v>45281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0</v>
      </c>
      <c r="U557" s="6">
        <v>0</v>
      </c>
      <c r="V557" s="6">
        <v>0</v>
      </c>
      <c r="W557" s="6">
        <v>0</v>
      </c>
      <c r="AI557" s="2">
        <v>371128</v>
      </c>
      <c r="AJ557" s="2">
        <v>0</v>
      </c>
      <c r="AK557" s="2">
        <v>16568.21</v>
      </c>
      <c r="AL557" s="2">
        <v>0</v>
      </c>
      <c r="AM557" s="5">
        <v>3313.64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22267.67</v>
      </c>
      <c r="AT557" s="12">
        <v>19881.849999999999</v>
      </c>
      <c r="AU557" s="2">
        <v>0</v>
      </c>
      <c r="AV557" s="5">
        <v>1855.64</v>
      </c>
      <c r="AX557" s="2">
        <v>371128</v>
      </c>
      <c r="AY557" s="2">
        <v>0</v>
      </c>
      <c r="AZ557" s="2">
        <v>16568.21</v>
      </c>
      <c r="BA557" s="2">
        <v>0</v>
      </c>
      <c r="BB557" s="5">
        <v>3313.64</v>
      </c>
      <c r="BC557" s="12">
        <v>0</v>
      </c>
      <c r="BD557" s="2">
        <v>0</v>
      </c>
      <c r="BE557" s="2">
        <v>0</v>
      </c>
      <c r="BF557" s="2">
        <v>0</v>
      </c>
      <c r="BG557" s="5">
        <v>0</v>
      </c>
      <c r="BH557" s="2">
        <v>22267.67</v>
      </c>
      <c r="BI557" s="12">
        <v>19881.849999999999</v>
      </c>
      <c r="BJ557" s="2">
        <v>0</v>
      </c>
      <c r="BK557" s="5">
        <v>1855.64</v>
      </c>
      <c r="BL557" s="1" t="s">
        <v>130</v>
      </c>
    </row>
    <row r="558" spans="1:64" x14ac:dyDescent="0.3">
      <c r="A558" t="s">
        <v>1088</v>
      </c>
      <c r="B558" s="1" t="s">
        <v>1108</v>
      </c>
      <c r="C558" s="9" t="s">
        <v>1109</v>
      </c>
      <c r="D558" s="1" t="s">
        <v>95</v>
      </c>
      <c r="E558" s="1" t="s">
        <v>128</v>
      </c>
      <c r="F558" s="10" t="s">
        <v>309</v>
      </c>
      <c r="G558" s="1">
        <v>0</v>
      </c>
      <c r="H558" s="1">
        <v>0.05</v>
      </c>
      <c r="I558" s="8">
        <v>45636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0</v>
      </c>
      <c r="U558" s="6">
        <v>0</v>
      </c>
      <c r="V558" s="6">
        <v>0</v>
      </c>
      <c r="W558" s="6">
        <v>0</v>
      </c>
      <c r="AI558" s="2">
        <v>259327</v>
      </c>
      <c r="AJ558" s="2">
        <v>0</v>
      </c>
      <c r="AK558" s="2">
        <v>11577.1</v>
      </c>
      <c r="AL558" s="2">
        <v>0</v>
      </c>
      <c r="AM558" s="5">
        <v>2315.42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15559.62</v>
      </c>
      <c r="AT558" s="12">
        <v>13892.52</v>
      </c>
      <c r="AU558" s="2">
        <v>0</v>
      </c>
      <c r="AV558" s="5">
        <v>1296.6400000000001</v>
      </c>
      <c r="AX558" s="2">
        <v>259327</v>
      </c>
      <c r="AY558" s="2">
        <v>0</v>
      </c>
      <c r="AZ558" s="2">
        <v>11577.1</v>
      </c>
      <c r="BA558" s="2">
        <v>0</v>
      </c>
      <c r="BB558" s="5">
        <v>2315.42</v>
      </c>
      <c r="BC558" s="12">
        <v>0</v>
      </c>
      <c r="BD558" s="2">
        <v>0</v>
      </c>
      <c r="BE558" s="2">
        <v>0</v>
      </c>
      <c r="BF558" s="2">
        <v>0</v>
      </c>
      <c r="BG558" s="5">
        <v>0</v>
      </c>
      <c r="BH558" s="2">
        <v>15559.62</v>
      </c>
      <c r="BI558" s="12">
        <v>13892.52</v>
      </c>
      <c r="BJ558" s="2">
        <v>0</v>
      </c>
      <c r="BK558" s="5">
        <v>1296.6400000000001</v>
      </c>
      <c r="BL558" s="1" t="s">
        <v>130</v>
      </c>
    </row>
    <row r="559" spans="1:64" x14ac:dyDescent="0.3">
      <c r="A559" t="s">
        <v>1088</v>
      </c>
      <c r="B559" s="1" t="s">
        <v>1110</v>
      </c>
      <c r="C559" s="9" t="s">
        <v>1111</v>
      </c>
      <c r="D559" s="1" t="s">
        <v>95</v>
      </c>
      <c r="E559" s="1" t="s">
        <v>128</v>
      </c>
      <c r="F559" s="10" t="s">
        <v>309</v>
      </c>
      <c r="G559" s="1">
        <v>0</v>
      </c>
      <c r="H559" s="1">
        <v>0.05</v>
      </c>
      <c r="I559" s="8">
        <v>45600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0</v>
      </c>
      <c r="U559" s="6">
        <v>0</v>
      </c>
      <c r="V559" s="6">
        <v>0</v>
      </c>
      <c r="W559" s="6">
        <v>0</v>
      </c>
      <c r="AI559" s="2">
        <v>174640</v>
      </c>
      <c r="AJ559" s="2">
        <v>0</v>
      </c>
      <c r="AK559" s="2">
        <v>7796.43</v>
      </c>
      <c r="AL559" s="2">
        <v>0</v>
      </c>
      <c r="AM559" s="5">
        <v>1559.29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10478.41</v>
      </c>
      <c r="AT559" s="12">
        <v>9355.7200000000012</v>
      </c>
      <c r="AU559" s="2">
        <v>0</v>
      </c>
      <c r="AV559" s="5">
        <v>873.2</v>
      </c>
      <c r="AX559" s="2">
        <v>174640</v>
      </c>
      <c r="AY559" s="2">
        <v>0</v>
      </c>
      <c r="AZ559" s="2">
        <v>7796.43</v>
      </c>
      <c r="BA559" s="2">
        <v>0</v>
      </c>
      <c r="BB559" s="5">
        <v>1559.29</v>
      </c>
      <c r="BC559" s="12">
        <v>0</v>
      </c>
      <c r="BD559" s="2">
        <v>0</v>
      </c>
      <c r="BE559" s="2">
        <v>0</v>
      </c>
      <c r="BF559" s="2">
        <v>0</v>
      </c>
      <c r="BG559" s="5">
        <v>0</v>
      </c>
      <c r="BH559" s="2">
        <v>10478.41</v>
      </c>
      <c r="BI559" s="12">
        <v>9355.7200000000012</v>
      </c>
      <c r="BJ559" s="2">
        <v>0</v>
      </c>
      <c r="BK559" s="5">
        <v>873.2</v>
      </c>
      <c r="BL559" s="1" t="s">
        <v>130</v>
      </c>
    </row>
    <row r="560" spans="1:64" x14ac:dyDescent="0.3">
      <c r="A560" t="s">
        <v>1088</v>
      </c>
      <c r="B560" s="1" t="s">
        <v>1112</v>
      </c>
      <c r="C560" s="9" t="s">
        <v>1113</v>
      </c>
      <c r="D560" s="1" t="s">
        <v>95</v>
      </c>
      <c r="E560" s="1" t="s">
        <v>128</v>
      </c>
      <c r="F560" s="10" t="s">
        <v>309</v>
      </c>
      <c r="G560" s="1">
        <v>0</v>
      </c>
      <c r="H560" s="1">
        <v>0.05</v>
      </c>
      <c r="I560" s="8">
        <v>0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0</v>
      </c>
      <c r="U560" s="6">
        <v>0</v>
      </c>
      <c r="V560" s="6">
        <v>0</v>
      </c>
      <c r="W560" s="6">
        <v>0</v>
      </c>
      <c r="AI560" s="2">
        <v>112493</v>
      </c>
      <c r="AJ560" s="2">
        <v>0</v>
      </c>
      <c r="AK560" s="2">
        <v>5022.01</v>
      </c>
      <c r="AL560" s="2">
        <v>0</v>
      </c>
      <c r="AM560" s="5">
        <v>1004.4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6749.58</v>
      </c>
      <c r="AT560" s="12">
        <v>6026.41</v>
      </c>
      <c r="AU560" s="2">
        <v>0</v>
      </c>
      <c r="AV560" s="5">
        <v>562.46</v>
      </c>
      <c r="AX560" s="2">
        <v>112493</v>
      </c>
      <c r="AY560" s="2">
        <v>0</v>
      </c>
      <c r="AZ560" s="2">
        <v>5022.01</v>
      </c>
      <c r="BA560" s="2">
        <v>0</v>
      </c>
      <c r="BB560" s="5">
        <v>1004.4</v>
      </c>
      <c r="BC560" s="12">
        <v>0</v>
      </c>
      <c r="BD560" s="2">
        <v>0</v>
      </c>
      <c r="BE560" s="2">
        <v>0</v>
      </c>
      <c r="BF560" s="2">
        <v>0</v>
      </c>
      <c r="BG560" s="5">
        <v>0</v>
      </c>
      <c r="BH560" s="2">
        <v>6749.58</v>
      </c>
      <c r="BI560" s="12">
        <v>6026.41</v>
      </c>
      <c r="BJ560" s="2">
        <v>0</v>
      </c>
      <c r="BK560" s="5">
        <v>562.46</v>
      </c>
      <c r="BL560" s="1" t="s">
        <v>130</v>
      </c>
    </row>
    <row r="561" spans="1:64" x14ac:dyDescent="0.3">
      <c r="A561" t="s">
        <v>1088</v>
      </c>
      <c r="B561" s="1" t="s">
        <v>1114</v>
      </c>
      <c r="C561" s="9" t="s">
        <v>1115</v>
      </c>
      <c r="D561" s="1" t="s">
        <v>95</v>
      </c>
      <c r="E561" s="1" t="s">
        <v>128</v>
      </c>
      <c r="F561" s="10" t="s">
        <v>309</v>
      </c>
      <c r="G561" s="1">
        <v>0</v>
      </c>
      <c r="H561" s="1">
        <v>0.05</v>
      </c>
      <c r="I561" s="8">
        <v>0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0</v>
      </c>
      <c r="U561" s="6">
        <v>0</v>
      </c>
      <c r="V561" s="6">
        <v>0</v>
      </c>
      <c r="W561" s="6">
        <v>0</v>
      </c>
      <c r="AI561" s="2">
        <v>0</v>
      </c>
      <c r="AJ561" s="2">
        <v>0</v>
      </c>
      <c r="AK561" s="2">
        <v>0</v>
      </c>
      <c r="AL561" s="2">
        <v>0</v>
      </c>
      <c r="AM561" s="5">
        <v>0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0</v>
      </c>
      <c r="AT561" s="12">
        <v>0</v>
      </c>
      <c r="AU561" s="2">
        <v>0</v>
      </c>
      <c r="AV561" s="5">
        <v>0</v>
      </c>
      <c r="AX561" s="2">
        <v>0</v>
      </c>
      <c r="AY561" s="2">
        <v>0</v>
      </c>
      <c r="AZ561" s="2">
        <v>0</v>
      </c>
      <c r="BA561" s="2">
        <v>0</v>
      </c>
      <c r="BB561" s="5">
        <v>0</v>
      </c>
      <c r="BC561" s="12">
        <v>0</v>
      </c>
      <c r="BD561" s="2">
        <v>0</v>
      </c>
      <c r="BE561" s="2">
        <v>0</v>
      </c>
      <c r="BF561" s="2">
        <v>0</v>
      </c>
      <c r="BG561" s="5">
        <v>0</v>
      </c>
      <c r="BH561" s="2">
        <v>0</v>
      </c>
      <c r="BI561" s="12">
        <v>0</v>
      </c>
      <c r="BJ561" s="2">
        <v>0</v>
      </c>
      <c r="BK561" s="5">
        <v>0</v>
      </c>
      <c r="BL561" s="1" t="s">
        <v>130</v>
      </c>
    </row>
    <row r="562" spans="1:64" x14ac:dyDescent="0.3">
      <c r="A562" t="s">
        <v>1116</v>
      </c>
      <c r="B562" s="1" t="s">
        <v>1116</v>
      </c>
      <c r="C562" s="9" t="s">
        <v>1117</v>
      </c>
      <c r="D562" s="1" t="s">
        <v>95</v>
      </c>
      <c r="E562" s="1" t="s">
        <v>88</v>
      </c>
      <c r="F562" s="10" t="s">
        <v>534</v>
      </c>
      <c r="G562" s="1">
        <v>0</v>
      </c>
      <c r="H562" s="1">
        <v>0.05</v>
      </c>
      <c r="I562" s="8">
        <v>45004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0</v>
      </c>
      <c r="P562" s="6">
        <v>0</v>
      </c>
      <c r="Q562" s="6">
        <v>0</v>
      </c>
      <c r="R562" s="6">
        <v>0</v>
      </c>
      <c r="S562" s="7">
        <v>5917.01</v>
      </c>
      <c r="T562" s="11">
        <v>6627.0499999999956</v>
      </c>
      <c r="U562" s="6">
        <v>5917.0099999999984</v>
      </c>
      <c r="V562" s="6">
        <v>0</v>
      </c>
      <c r="W562" s="6">
        <v>0</v>
      </c>
      <c r="AI562" s="2">
        <v>0</v>
      </c>
      <c r="AJ562" s="2">
        <v>0</v>
      </c>
      <c r="AK562" s="2">
        <v>0</v>
      </c>
      <c r="AL562" s="2">
        <v>0</v>
      </c>
      <c r="AM562" s="5">
        <v>0</v>
      </c>
      <c r="AN562" s="12">
        <v>589272.60000000009</v>
      </c>
      <c r="AO562" s="2">
        <v>73431.899999999994</v>
      </c>
      <c r="AP562" s="2">
        <v>26306.81</v>
      </c>
      <c r="AQ562" s="2">
        <v>3278.21</v>
      </c>
      <c r="AR562" s="5">
        <v>5917.01</v>
      </c>
      <c r="AS562" s="2">
        <v>39762.269999999997</v>
      </c>
      <c r="AT562" s="12">
        <v>35502.03</v>
      </c>
      <c r="AU562" s="2">
        <v>0</v>
      </c>
      <c r="AV562" s="5">
        <v>3313.52</v>
      </c>
      <c r="AX562" s="2">
        <v>0</v>
      </c>
      <c r="AY562" s="2">
        <v>0</v>
      </c>
      <c r="AZ562" s="2">
        <v>0</v>
      </c>
      <c r="BA562" s="2">
        <v>0</v>
      </c>
      <c r="BB562" s="5">
        <v>0</v>
      </c>
      <c r="BC562" s="12">
        <v>589272.60000000009</v>
      </c>
      <c r="BD562" s="2">
        <v>73431.899999999994</v>
      </c>
      <c r="BE562" s="2">
        <v>26306.81</v>
      </c>
      <c r="BF562" s="2">
        <v>3278.21</v>
      </c>
      <c r="BG562" s="5">
        <v>0</v>
      </c>
      <c r="BH562" s="2">
        <v>33135.22</v>
      </c>
      <c r="BI562" s="12">
        <v>29585.02</v>
      </c>
      <c r="BJ562" s="2">
        <v>0</v>
      </c>
      <c r="BK562" s="5">
        <v>3313.52</v>
      </c>
      <c r="BL562" s="1" t="s">
        <v>90</v>
      </c>
    </row>
    <row r="563" spans="1:64" x14ac:dyDescent="0.3">
      <c r="A563" t="s">
        <v>1118</v>
      </c>
      <c r="B563" s="1" t="s">
        <v>1118</v>
      </c>
      <c r="C563" s="9" t="s">
        <v>1119</v>
      </c>
      <c r="D563" s="1" t="s">
        <v>95</v>
      </c>
      <c r="E563" s="1" t="s">
        <v>135</v>
      </c>
      <c r="F563" s="10" t="s">
        <v>435</v>
      </c>
      <c r="G563" s="1">
        <v>0</v>
      </c>
      <c r="H563" s="1">
        <v>0.05</v>
      </c>
      <c r="I563" s="8">
        <v>44879</v>
      </c>
      <c r="J563" s="6">
        <v>1123634</v>
      </c>
      <c r="K563" s="6">
        <v>157506</v>
      </c>
      <c r="L563" s="6">
        <v>50162.23</v>
      </c>
      <c r="M563" s="6">
        <v>7031.52</v>
      </c>
      <c r="N563" s="7">
        <v>11438.75</v>
      </c>
      <c r="O563" s="6">
        <v>-573654.30000000016</v>
      </c>
      <c r="P563" s="6">
        <v>-46283.1</v>
      </c>
      <c r="Q563" s="6">
        <v>-25609.57</v>
      </c>
      <c r="R563" s="6">
        <v>-2066.21</v>
      </c>
      <c r="S563" s="7">
        <v>0</v>
      </c>
      <c r="T563" s="11">
        <v>45871.53</v>
      </c>
      <c r="U563" s="6">
        <v>40956.720000000001</v>
      </c>
      <c r="V563" s="6">
        <v>0</v>
      </c>
      <c r="W563" s="6">
        <v>3306.0099999999998</v>
      </c>
      <c r="AI563" s="2">
        <v>1123634</v>
      </c>
      <c r="AJ563" s="2">
        <v>157506</v>
      </c>
      <c r="AK563" s="2">
        <v>50162.23</v>
      </c>
      <c r="AL563" s="2">
        <v>7031.52</v>
      </c>
      <c r="AM563" s="5">
        <v>11438.75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76868.399999999994</v>
      </c>
      <c r="AT563" s="12">
        <v>68632.5</v>
      </c>
      <c r="AU563" s="2">
        <v>0</v>
      </c>
      <c r="AV563" s="5">
        <v>6405.7</v>
      </c>
      <c r="AX563" s="2">
        <v>0</v>
      </c>
      <c r="AY563" s="2">
        <v>0</v>
      </c>
      <c r="AZ563" s="2">
        <v>0</v>
      </c>
      <c r="BA563" s="2">
        <v>0</v>
      </c>
      <c r="BB563" s="5">
        <v>0</v>
      </c>
      <c r="BC563" s="12">
        <v>573654.30000000016</v>
      </c>
      <c r="BD563" s="2">
        <v>46283.1</v>
      </c>
      <c r="BE563" s="2">
        <v>25609.57</v>
      </c>
      <c r="BF563" s="2">
        <v>2066.21</v>
      </c>
      <c r="BG563" s="5">
        <v>0</v>
      </c>
      <c r="BH563" s="2">
        <v>30996.87</v>
      </c>
      <c r="BI563" s="12">
        <v>27675.78</v>
      </c>
      <c r="BJ563" s="2">
        <v>0</v>
      </c>
      <c r="BK563" s="5">
        <v>3099.69</v>
      </c>
      <c r="BL563" s="1" t="s">
        <v>137</v>
      </c>
    </row>
    <row r="564" spans="1:64" x14ac:dyDescent="0.3">
      <c r="A564" t="s">
        <v>1140</v>
      </c>
      <c r="B564" s="1" t="s">
        <v>1140</v>
      </c>
      <c r="C564" s="9" t="s">
        <v>1141</v>
      </c>
      <c r="D564" s="1" t="s">
        <v>95</v>
      </c>
      <c r="E564" s="1" t="s">
        <v>135</v>
      </c>
      <c r="F564" s="10" t="s">
        <v>136</v>
      </c>
      <c r="G564" s="1">
        <v>0</v>
      </c>
      <c r="H564" s="1">
        <v>0.05</v>
      </c>
      <c r="I564" s="8">
        <v>45123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0</v>
      </c>
      <c r="U564" s="6">
        <v>0</v>
      </c>
      <c r="V564" s="6">
        <v>0</v>
      </c>
      <c r="W564" s="6">
        <v>0</v>
      </c>
      <c r="AI564" s="2">
        <v>1087436</v>
      </c>
      <c r="AJ564" s="2">
        <v>134752</v>
      </c>
      <c r="AK564" s="2">
        <v>48546.25</v>
      </c>
      <c r="AL564" s="2">
        <v>6015.71</v>
      </c>
      <c r="AM564" s="5">
        <v>10912.39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73331.27</v>
      </c>
      <c r="AT564" s="12">
        <v>65474.35</v>
      </c>
      <c r="AU564" s="2">
        <v>0</v>
      </c>
      <c r="AV564" s="5">
        <v>6110.94</v>
      </c>
      <c r="AX564" s="2">
        <v>1087436</v>
      </c>
      <c r="AY564" s="2">
        <v>134752</v>
      </c>
      <c r="AZ564" s="2">
        <v>48546.25</v>
      </c>
      <c r="BA564" s="2">
        <v>6015.71</v>
      </c>
      <c r="BB564" s="5">
        <v>10912.39</v>
      </c>
      <c r="BC564" s="12">
        <v>0</v>
      </c>
      <c r="BD564" s="2">
        <v>0</v>
      </c>
      <c r="BE564" s="2">
        <v>0</v>
      </c>
      <c r="BF564" s="2">
        <v>0</v>
      </c>
      <c r="BG564" s="5">
        <v>0</v>
      </c>
      <c r="BH564" s="2">
        <v>73331.27</v>
      </c>
      <c r="BI564" s="12">
        <v>65474.35</v>
      </c>
      <c r="BJ564" s="2">
        <v>0</v>
      </c>
      <c r="BK564" s="5">
        <v>6110.94</v>
      </c>
      <c r="BL564" s="1" t="s">
        <v>137</v>
      </c>
    </row>
    <row r="565" spans="1:64" x14ac:dyDescent="0.3">
      <c r="A565" t="s">
        <v>1142</v>
      </c>
      <c r="B565" s="1" t="s">
        <v>1142</v>
      </c>
      <c r="C565" s="9" t="s">
        <v>1143</v>
      </c>
      <c r="D565" s="1" t="s">
        <v>95</v>
      </c>
      <c r="E565" s="1" t="s">
        <v>135</v>
      </c>
      <c r="F565" s="10" t="s">
        <v>193</v>
      </c>
      <c r="G565" s="1">
        <v>0</v>
      </c>
      <c r="H565" s="1">
        <v>0.05</v>
      </c>
      <c r="I565" s="8">
        <v>44774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0</v>
      </c>
      <c r="U565" s="6">
        <v>0</v>
      </c>
      <c r="V565" s="6">
        <v>0</v>
      </c>
      <c r="W565" s="6">
        <v>0</v>
      </c>
      <c r="AI565" s="2">
        <v>296399</v>
      </c>
      <c r="AJ565" s="2">
        <v>56211</v>
      </c>
      <c r="AK565" s="2">
        <v>13232.1</v>
      </c>
      <c r="AL565" s="2">
        <v>2509.42</v>
      </c>
      <c r="AM565" s="5">
        <v>3148.3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21156.6</v>
      </c>
      <c r="AT565" s="12">
        <v>18889.82</v>
      </c>
      <c r="AU565" s="2">
        <v>0</v>
      </c>
      <c r="AV565" s="5">
        <v>1763.05</v>
      </c>
      <c r="AX565" s="2">
        <v>296399</v>
      </c>
      <c r="AY565" s="2">
        <v>56211</v>
      </c>
      <c r="AZ565" s="2">
        <v>13232.1</v>
      </c>
      <c r="BA565" s="2">
        <v>2509.42</v>
      </c>
      <c r="BB565" s="5">
        <v>3148.3</v>
      </c>
      <c r="BC565" s="12">
        <v>0</v>
      </c>
      <c r="BD565" s="2">
        <v>0</v>
      </c>
      <c r="BE565" s="2">
        <v>0</v>
      </c>
      <c r="BF565" s="2">
        <v>0</v>
      </c>
      <c r="BG565" s="5">
        <v>0</v>
      </c>
      <c r="BH565" s="2">
        <v>21156.6</v>
      </c>
      <c r="BI565" s="12">
        <v>18889.82</v>
      </c>
      <c r="BJ565" s="2">
        <v>0</v>
      </c>
      <c r="BK565" s="5">
        <v>1763.05</v>
      </c>
      <c r="BL565" s="1" t="s">
        <v>137</v>
      </c>
    </row>
    <row r="566" spans="1:64" x14ac:dyDescent="0.3">
      <c r="A566" t="s">
        <v>1144</v>
      </c>
      <c r="B566" s="1" t="s">
        <v>1144</v>
      </c>
      <c r="C566" s="9" t="s">
        <v>1145</v>
      </c>
      <c r="D566" s="1" t="s">
        <v>95</v>
      </c>
      <c r="E566" s="1" t="s">
        <v>135</v>
      </c>
      <c r="F566" s="10" t="s">
        <v>193</v>
      </c>
      <c r="G566" s="1">
        <v>0</v>
      </c>
      <c r="H566" s="1">
        <v>0.05</v>
      </c>
      <c r="I566" s="8">
        <v>44774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148304</v>
      </c>
      <c r="AJ566" s="2">
        <v>40239</v>
      </c>
      <c r="AK566" s="2">
        <v>6620.71</v>
      </c>
      <c r="AL566" s="2">
        <v>1796.38</v>
      </c>
      <c r="AM566" s="5">
        <v>1683.42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11312.57</v>
      </c>
      <c r="AT566" s="12">
        <v>10100.51</v>
      </c>
      <c r="AU566" s="2">
        <v>0</v>
      </c>
      <c r="AV566" s="5">
        <v>942.72</v>
      </c>
      <c r="AX566" s="2">
        <v>148304</v>
      </c>
      <c r="AY566" s="2">
        <v>40239</v>
      </c>
      <c r="AZ566" s="2">
        <v>6620.71</v>
      </c>
      <c r="BA566" s="2">
        <v>1796.38</v>
      </c>
      <c r="BB566" s="5">
        <v>1683.42</v>
      </c>
      <c r="BC566" s="12">
        <v>0</v>
      </c>
      <c r="BD566" s="2">
        <v>0</v>
      </c>
      <c r="BE566" s="2">
        <v>0</v>
      </c>
      <c r="BF566" s="2">
        <v>0</v>
      </c>
      <c r="BG566" s="5">
        <v>0</v>
      </c>
      <c r="BH566" s="2">
        <v>11312.57</v>
      </c>
      <c r="BI566" s="12">
        <v>10100.51</v>
      </c>
      <c r="BJ566" s="2">
        <v>0</v>
      </c>
      <c r="BK566" s="5">
        <v>942.72</v>
      </c>
      <c r="BL566" s="1" t="s">
        <v>137</v>
      </c>
    </row>
    <row r="567" spans="1:64" x14ac:dyDescent="0.3">
      <c r="A567" t="s">
        <v>1144</v>
      </c>
      <c r="B567" s="1" t="s">
        <v>1146</v>
      </c>
      <c r="C567" s="9" t="s">
        <v>1147</v>
      </c>
      <c r="D567" s="1" t="s">
        <v>95</v>
      </c>
      <c r="E567" s="1" t="s">
        <v>135</v>
      </c>
      <c r="F567" s="10" t="s">
        <v>193</v>
      </c>
      <c r="G567" s="1">
        <v>0</v>
      </c>
      <c r="H567" s="1">
        <v>0.05</v>
      </c>
      <c r="I567" s="8">
        <v>44774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0</v>
      </c>
      <c r="U567" s="6">
        <v>0</v>
      </c>
      <c r="V567" s="6">
        <v>0</v>
      </c>
      <c r="W567" s="6">
        <v>0</v>
      </c>
      <c r="AI567" s="2">
        <v>313202</v>
      </c>
      <c r="AJ567" s="2">
        <v>62549</v>
      </c>
      <c r="AK567" s="2">
        <v>13982.23</v>
      </c>
      <c r="AL567" s="2">
        <v>2792.37</v>
      </c>
      <c r="AM567" s="5">
        <v>3354.92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22545.06</v>
      </c>
      <c r="AT567" s="12">
        <v>20129.519999999997</v>
      </c>
      <c r="AU567" s="2">
        <v>0</v>
      </c>
      <c r="AV567" s="5">
        <v>1878.76</v>
      </c>
      <c r="AX567" s="2">
        <v>313202</v>
      </c>
      <c r="AY567" s="2">
        <v>62549</v>
      </c>
      <c r="AZ567" s="2">
        <v>13982.23</v>
      </c>
      <c r="BA567" s="2">
        <v>2792.37</v>
      </c>
      <c r="BB567" s="5">
        <v>3354.92</v>
      </c>
      <c r="BC567" s="12">
        <v>0</v>
      </c>
      <c r="BD567" s="2">
        <v>0</v>
      </c>
      <c r="BE567" s="2">
        <v>0</v>
      </c>
      <c r="BF567" s="2">
        <v>0</v>
      </c>
      <c r="BG567" s="5">
        <v>0</v>
      </c>
      <c r="BH567" s="2">
        <v>22545.06</v>
      </c>
      <c r="BI567" s="12">
        <v>20129.519999999997</v>
      </c>
      <c r="BJ567" s="2">
        <v>0</v>
      </c>
      <c r="BK567" s="5">
        <v>1878.76</v>
      </c>
      <c r="BL567" s="1" t="s">
        <v>137</v>
      </c>
    </row>
    <row r="568" spans="1:64" x14ac:dyDescent="0.3">
      <c r="A568" t="s">
        <v>1144</v>
      </c>
      <c r="B568" s="1" t="s">
        <v>1148</v>
      </c>
      <c r="C568" s="9" t="s">
        <v>1149</v>
      </c>
      <c r="D568" s="1" t="s">
        <v>95</v>
      </c>
      <c r="E568" s="1" t="s">
        <v>135</v>
      </c>
      <c r="F568" s="10" t="s">
        <v>193</v>
      </c>
      <c r="G568" s="1">
        <v>0</v>
      </c>
      <c r="H568" s="1">
        <v>0.05</v>
      </c>
      <c r="I568" s="8">
        <v>44774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0</v>
      </c>
      <c r="U568" s="6">
        <v>0</v>
      </c>
      <c r="V568" s="6">
        <v>0</v>
      </c>
      <c r="W568" s="6">
        <v>0</v>
      </c>
      <c r="AI568" s="2">
        <v>148765</v>
      </c>
      <c r="AJ568" s="2">
        <v>29697</v>
      </c>
      <c r="AK568" s="2">
        <v>6641.29</v>
      </c>
      <c r="AL568" s="2">
        <v>1325.76</v>
      </c>
      <c r="AM568" s="5">
        <v>1593.41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10707.72</v>
      </c>
      <c r="AT568" s="12">
        <v>9560.4600000000009</v>
      </c>
      <c r="AU568" s="2">
        <v>0</v>
      </c>
      <c r="AV568" s="5">
        <v>892.31</v>
      </c>
      <c r="AX568" s="2">
        <v>148765</v>
      </c>
      <c r="AY568" s="2">
        <v>29697</v>
      </c>
      <c r="AZ568" s="2">
        <v>6641.29</v>
      </c>
      <c r="BA568" s="2">
        <v>1325.76</v>
      </c>
      <c r="BB568" s="5">
        <v>1593.41</v>
      </c>
      <c r="BC568" s="12">
        <v>0</v>
      </c>
      <c r="BD568" s="2">
        <v>0</v>
      </c>
      <c r="BE568" s="2">
        <v>0</v>
      </c>
      <c r="BF568" s="2">
        <v>0</v>
      </c>
      <c r="BG568" s="5">
        <v>0</v>
      </c>
      <c r="BH568" s="2">
        <v>10707.72</v>
      </c>
      <c r="BI568" s="12">
        <v>9560.4600000000009</v>
      </c>
      <c r="BJ568" s="2">
        <v>0</v>
      </c>
      <c r="BK568" s="5">
        <v>892.31</v>
      </c>
      <c r="BL568" s="1" t="s">
        <v>137</v>
      </c>
    </row>
    <row r="569" spans="1:64" x14ac:dyDescent="0.3">
      <c r="A569" t="s">
        <v>1150</v>
      </c>
      <c r="B569" s="1" t="s">
        <v>1150</v>
      </c>
      <c r="C569" s="9" t="s">
        <v>1151</v>
      </c>
      <c r="D569" s="1" t="s">
        <v>95</v>
      </c>
      <c r="E569" s="1" t="s">
        <v>88</v>
      </c>
      <c r="F569" s="10" t="s">
        <v>534</v>
      </c>
      <c r="G569" s="1">
        <v>0</v>
      </c>
      <c r="H569" s="1">
        <v>0.05</v>
      </c>
      <c r="I569" s="8">
        <v>44638</v>
      </c>
      <c r="J569" s="6">
        <v>188035</v>
      </c>
      <c r="K569" s="6">
        <v>17205</v>
      </c>
      <c r="L569" s="6">
        <v>8394.42</v>
      </c>
      <c r="M569" s="6">
        <v>768.08</v>
      </c>
      <c r="N569" s="7">
        <v>1832.5</v>
      </c>
      <c r="O569" s="6">
        <v>-523928.4</v>
      </c>
      <c r="P569" s="6">
        <v>-42271.5</v>
      </c>
      <c r="Q569" s="6">
        <v>-23389.66</v>
      </c>
      <c r="R569" s="6">
        <v>-1887.12</v>
      </c>
      <c r="S569" s="7">
        <v>0</v>
      </c>
      <c r="T569" s="11">
        <v>-15995.590000000002</v>
      </c>
      <c r="U569" s="6">
        <v>-14281.779999999999</v>
      </c>
      <c r="V569" s="6">
        <v>0</v>
      </c>
      <c r="W569" s="6">
        <v>-1804.8</v>
      </c>
      <c r="AI569" s="2">
        <v>188035</v>
      </c>
      <c r="AJ569" s="2">
        <v>17205</v>
      </c>
      <c r="AK569" s="2">
        <v>8394.42</v>
      </c>
      <c r="AL569" s="2">
        <v>768.08</v>
      </c>
      <c r="AM569" s="5">
        <v>1832.5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12314.4</v>
      </c>
      <c r="AT569" s="12">
        <v>10995</v>
      </c>
      <c r="AU569" s="2">
        <v>0</v>
      </c>
      <c r="AV569" s="5">
        <v>1026.2</v>
      </c>
      <c r="AX569" s="2">
        <v>0</v>
      </c>
      <c r="AY569" s="2">
        <v>0</v>
      </c>
      <c r="AZ569" s="2">
        <v>0</v>
      </c>
      <c r="BA569" s="2">
        <v>0</v>
      </c>
      <c r="BB569" s="5">
        <v>0</v>
      </c>
      <c r="BC569" s="12">
        <v>523928.4</v>
      </c>
      <c r="BD569" s="2">
        <v>42271.5</v>
      </c>
      <c r="BE569" s="2">
        <v>23389.66</v>
      </c>
      <c r="BF569" s="2">
        <v>1887.12</v>
      </c>
      <c r="BG569" s="5">
        <v>0</v>
      </c>
      <c r="BH569" s="2">
        <v>28309.99</v>
      </c>
      <c r="BI569" s="12">
        <v>25276.78</v>
      </c>
      <c r="BJ569" s="2">
        <v>0</v>
      </c>
      <c r="BK569" s="5">
        <v>2831</v>
      </c>
      <c r="BL569" s="1" t="s">
        <v>90</v>
      </c>
    </row>
    <row r="570" spans="1:64" x14ac:dyDescent="0.3">
      <c r="A570" t="s">
        <v>1156</v>
      </c>
      <c r="B570" s="1" t="s">
        <v>1156</v>
      </c>
      <c r="C570" s="9" t="s">
        <v>1157</v>
      </c>
      <c r="D570" s="1" t="s">
        <v>95</v>
      </c>
      <c r="E570" s="1" t="s">
        <v>135</v>
      </c>
      <c r="F570" s="10" t="s">
        <v>435</v>
      </c>
      <c r="G570" s="1">
        <v>0</v>
      </c>
      <c r="H570" s="1">
        <v>0.05</v>
      </c>
      <c r="I570" s="8">
        <v>44942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0</v>
      </c>
      <c r="U570" s="6">
        <v>0</v>
      </c>
      <c r="V570" s="6">
        <v>0</v>
      </c>
      <c r="W570" s="6">
        <v>0</v>
      </c>
      <c r="AI570" s="2">
        <v>394776</v>
      </c>
      <c r="AJ570" s="2">
        <v>62420</v>
      </c>
      <c r="AK570" s="2">
        <v>17623.93</v>
      </c>
      <c r="AL570" s="2">
        <v>2786.61</v>
      </c>
      <c r="AM570" s="5">
        <v>4082.11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27431.77</v>
      </c>
      <c r="AT570" s="12">
        <v>24492.65</v>
      </c>
      <c r="AU570" s="2">
        <v>0</v>
      </c>
      <c r="AV570" s="5">
        <v>2285.98</v>
      </c>
      <c r="AX570" s="2">
        <v>394776</v>
      </c>
      <c r="AY570" s="2">
        <v>62420</v>
      </c>
      <c r="AZ570" s="2">
        <v>17623.93</v>
      </c>
      <c r="BA570" s="2">
        <v>2786.61</v>
      </c>
      <c r="BB570" s="5">
        <v>4082.11</v>
      </c>
      <c r="BC570" s="12">
        <v>0</v>
      </c>
      <c r="BD570" s="2">
        <v>0</v>
      </c>
      <c r="BE570" s="2">
        <v>0</v>
      </c>
      <c r="BF570" s="2">
        <v>0</v>
      </c>
      <c r="BG570" s="5">
        <v>0</v>
      </c>
      <c r="BH570" s="2">
        <v>27431.77</v>
      </c>
      <c r="BI570" s="12">
        <v>24492.65</v>
      </c>
      <c r="BJ570" s="2">
        <v>0</v>
      </c>
      <c r="BK570" s="5">
        <v>2285.98</v>
      </c>
      <c r="BL570" s="1" t="s">
        <v>137</v>
      </c>
    </row>
    <row r="571" spans="1:64" x14ac:dyDescent="0.3">
      <c r="A571" t="s">
        <v>1158</v>
      </c>
      <c r="B571" s="1" t="s">
        <v>1158</v>
      </c>
      <c r="C571" s="9" t="s">
        <v>1159</v>
      </c>
      <c r="D571" s="1" t="s">
        <v>95</v>
      </c>
      <c r="E571" s="1" t="s">
        <v>135</v>
      </c>
      <c r="F571" s="10" t="s">
        <v>193</v>
      </c>
      <c r="G571" s="1">
        <v>0</v>
      </c>
      <c r="H571" s="1">
        <v>0.05</v>
      </c>
      <c r="I571" s="8">
        <v>44948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  <c r="T571" s="11">
        <v>0</v>
      </c>
      <c r="U571" s="6">
        <v>0</v>
      </c>
      <c r="V571" s="6">
        <v>0</v>
      </c>
      <c r="W571" s="6">
        <v>0</v>
      </c>
      <c r="AI571" s="2">
        <v>298480.5</v>
      </c>
      <c r="AJ571" s="2">
        <v>60429</v>
      </c>
      <c r="AK571" s="2">
        <v>13325.03</v>
      </c>
      <c r="AL571" s="2">
        <v>2697.72</v>
      </c>
      <c r="AM571" s="5">
        <v>3204.55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21534.58</v>
      </c>
      <c r="AT571" s="12">
        <v>19227.3</v>
      </c>
      <c r="AU571" s="2">
        <v>0</v>
      </c>
      <c r="AV571" s="5">
        <v>1794.55</v>
      </c>
      <c r="AX571" s="2">
        <v>298480.5</v>
      </c>
      <c r="AY571" s="2">
        <v>60429</v>
      </c>
      <c r="AZ571" s="2">
        <v>13325.03</v>
      </c>
      <c r="BA571" s="2">
        <v>2697.72</v>
      </c>
      <c r="BB571" s="5">
        <v>3204.55</v>
      </c>
      <c r="BC571" s="12">
        <v>0</v>
      </c>
      <c r="BD571" s="2">
        <v>0</v>
      </c>
      <c r="BE571" s="2">
        <v>0</v>
      </c>
      <c r="BF571" s="2">
        <v>0</v>
      </c>
      <c r="BG571" s="5">
        <v>0</v>
      </c>
      <c r="BH571" s="2">
        <v>21534.58</v>
      </c>
      <c r="BI571" s="12">
        <v>19227.3</v>
      </c>
      <c r="BJ571" s="2">
        <v>0</v>
      </c>
      <c r="BK571" s="5">
        <v>1794.55</v>
      </c>
      <c r="BL571" s="1" t="s">
        <v>137</v>
      </c>
    </row>
    <row r="572" spans="1:64" x14ac:dyDescent="0.3">
      <c r="A572" t="s">
        <v>1160</v>
      </c>
      <c r="B572" s="1" t="s">
        <v>1160</v>
      </c>
      <c r="C572" s="9" t="s">
        <v>1161</v>
      </c>
      <c r="D572" s="1" t="s">
        <v>95</v>
      </c>
      <c r="E572" s="1" t="s">
        <v>135</v>
      </c>
      <c r="F572" s="10" t="s">
        <v>435</v>
      </c>
      <c r="G572" s="1">
        <v>0</v>
      </c>
      <c r="H572" s="1">
        <v>0.05</v>
      </c>
      <c r="I572" s="8">
        <v>44040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0</v>
      </c>
      <c r="U572" s="6">
        <v>0</v>
      </c>
      <c r="V572" s="6">
        <v>0</v>
      </c>
      <c r="W572" s="6">
        <v>0</v>
      </c>
      <c r="AI572" s="2">
        <v>1022634</v>
      </c>
      <c r="AJ572" s="2">
        <v>113679</v>
      </c>
      <c r="AK572" s="2">
        <v>45653.3</v>
      </c>
      <c r="AL572" s="2">
        <v>5074.96</v>
      </c>
      <c r="AM572" s="5">
        <v>10145.65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68178.78</v>
      </c>
      <c r="AT572" s="12">
        <v>60873.91</v>
      </c>
      <c r="AU572" s="2">
        <v>0</v>
      </c>
      <c r="AV572" s="5">
        <v>5681.56</v>
      </c>
      <c r="AX572" s="2">
        <v>1022634</v>
      </c>
      <c r="AY572" s="2">
        <v>113679</v>
      </c>
      <c r="AZ572" s="2">
        <v>45653.3</v>
      </c>
      <c r="BA572" s="2">
        <v>5074.96</v>
      </c>
      <c r="BB572" s="5">
        <v>10145.65</v>
      </c>
      <c r="BC572" s="12">
        <v>0</v>
      </c>
      <c r="BD572" s="2">
        <v>0</v>
      </c>
      <c r="BE572" s="2">
        <v>0</v>
      </c>
      <c r="BF572" s="2">
        <v>0</v>
      </c>
      <c r="BG572" s="5">
        <v>0</v>
      </c>
      <c r="BH572" s="2">
        <v>68178.78</v>
      </c>
      <c r="BI572" s="12">
        <v>60873.91</v>
      </c>
      <c r="BJ572" s="2">
        <v>0</v>
      </c>
      <c r="BK572" s="5">
        <v>5681.56</v>
      </c>
      <c r="BL572" s="1" t="s">
        <v>302</v>
      </c>
    </row>
    <row r="573" spans="1:64" x14ac:dyDescent="0.3">
      <c r="A573" t="s">
        <v>1162</v>
      </c>
      <c r="B573" s="1" t="s">
        <v>1162</v>
      </c>
      <c r="C573" s="9" t="s">
        <v>1163</v>
      </c>
      <c r="D573" s="1" t="s">
        <v>95</v>
      </c>
      <c r="E573" s="1" t="s">
        <v>135</v>
      </c>
      <c r="F573" s="10" t="s">
        <v>136</v>
      </c>
      <c r="G573" s="1">
        <v>0</v>
      </c>
      <c r="H573" s="1">
        <v>0.05</v>
      </c>
      <c r="I573" s="8">
        <v>44878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0</v>
      </c>
      <c r="U573" s="6">
        <v>0</v>
      </c>
      <c r="V573" s="6">
        <v>0</v>
      </c>
      <c r="W573" s="6">
        <v>0</v>
      </c>
      <c r="AI573" s="2">
        <v>1232128</v>
      </c>
      <c r="AJ573" s="2">
        <v>156216</v>
      </c>
      <c r="AK573" s="2">
        <v>55005.71</v>
      </c>
      <c r="AL573" s="2">
        <v>6973.93</v>
      </c>
      <c r="AM573" s="5">
        <v>12395.93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83300.639999999999</v>
      </c>
      <c r="AT573" s="12">
        <v>74375.570000000007</v>
      </c>
      <c r="AU573" s="2">
        <v>0</v>
      </c>
      <c r="AV573" s="5">
        <v>6941.72</v>
      </c>
      <c r="AX573" s="2">
        <v>1232128</v>
      </c>
      <c r="AY573" s="2">
        <v>156216</v>
      </c>
      <c r="AZ573" s="2">
        <v>55005.71</v>
      </c>
      <c r="BA573" s="2">
        <v>6973.93</v>
      </c>
      <c r="BB573" s="5">
        <v>12395.93</v>
      </c>
      <c r="BC573" s="12">
        <v>0</v>
      </c>
      <c r="BD573" s="2">
        <v>0</v>
      </c>
      <c r="BE573" s="2">
        <v>0</v>
      </c>
      <c r="BF573" s="2">
        <v>0</v>
      </c>
      <c r="BG573" s="5">
        <v>0</v>
      </c>
      <c r="BH573" s="2">
        <v>83300.639999999999</v>
      </c>
      <c r="BI573" s="12">
        <v>74375.570000000007</v>
      </c>
      <c r="BJ573" s="2">
        <v>0</v>
      </c>
      <c r="BK573" s="5">
        <v>6941.72</v>
      </c>
      <c r="BL573" s="1" t="s">
        <v>302</v>
      </c>
    </row>
    <row r="574" spans="1:64" x14ac:dyDescent="0.3">
      <c r="A574" t="s">
        <v>1164</v>
      </c>
      <c r="B574" s="1" t="s">
        <v>1164</v>
      </c>
      <c r="C574" s="9" t="s">
        <v>1165</v>
      </c>
      <c r="D574" s="1" t="s">
        <v>95</v>
      </c>
      <c r="E574" s="1" t="s">
        <v>135</v>
      </c>
      <c r="F574" s="10" t="s">
        <v>193</v>
      </c>
      <c r="G574" s="1">
        <v>0</v>
      </c>
      <c r="H574" s="1">
        <v>0.05</v>
      </c>
      <c r="I574" s="8">
        <v>45000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0</v>
      </c>
      <c r="U574" s="6">
        <v>0</v>
      </c>
      <c r="V574" s="6">
        <v>0</v>
      </c>
      <c r="W574" s="6">
        <v>0</v>
      </c>
      <c r="AI574" s="2">
        <v>474345</v>
      </c>
      <c r="AJ574" s="2">
        <v>47725</v>
      </c>
      <c r="AK574" s="2">
        <v>21176.12</v>
      </c>
      <c r="AL574" s="2">
        <v>2130.58</v>
      </c>
      <c r="AM574" s="5">
        <v>4661.34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31324.2</v>
      </c>
      <c r="AT574" s="12">
        <v>27968.039999999997</v>
      </c>
      <c r="AU574" s="2">
        <v>0</v>
      </c>
      <c r="AV574" s="5">
        <v>2610.35</v>
      </c>
      <c r="AX574" s="2">
        <v>474345</v>
      </c>
      <c r="AY574" s="2">
        <v>47725</v>
      </c>
      <c r="AZ574" s="2">
        <v>21176.12</v>
      </c>
      <c r="BA574" s="2">
        <v>2130.58</v>
      </c>
      <c r="BB574" s="5">
        <v>4661.34</v>
      </c>
      <c r="BC574" s="12">
        <v>0</v>
      </c>
      <c r="BD574" s="2">
        <v>0</v>
      </c>
      <c r="BE574" s="2">
        <v>0</v>
      </c>
      <c r="BF574" s="2">
        <v>0</v>
      </c>
      <c r="BG574" s="5">
        <v>0</v>
      </c>
      <c r="BH574" s="2">
        <v>31324.2</v>
      </c>
      <c r="BI574" s="12">
        <v>27968.039999999997</v>
      </c>
      <c r="BJ574" s="2">
        <v>0</v>
      </c>
      <c r="BK574" s="5">
        <v>2610.35</v>
      </c>
      <c r="BL574" s="1" t="s">
        <v>137</v>
      </c>
    </row>
    <row r="575" spans="1:64" x14ac:dyDescent="0.3">
      <c r="A575" t="s">
        <v>1168</v>
      </c>
      <c r="B575" s="1" t="s">
        <v>1168</v>
      </c>
      <c r="C575" s="9" t="s">
        <v>1169</v>
      </c>
      <c r="D575" s="1" t="s">
        <v>95</v>
      </c>
      <c r="E575" s="1" t="s">
        <v>88</v>
      </c>
      <c r="F575" s="10" t="s">
        <v>1170</v>
      </c>
      <c r="G575" s="1">
        <v>0</v>
      </c>
      <c r="H575" s="1">
        <v>0.05</v>
      </c>
      <c r="I575" s="8">
        <v>44915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0</v>
      </c>
      <c r="U575" s="6">
        <v>0</v>
      </c>
      <c r="V575" s="6">
        <v>0</v>
      </c>
      <c r="W575" s="6">
        <v>0</v>
      </c>
      <c r="AI575" s="2">
        <v>506190</v>
      </c>
      <c r="AJ575" s="2">
        <v>71119</v>
      </c>
      <c r="AK575" s="2">
        <v>22597.77</v>
      </c>
      <c r="AL575" s="2">
        <v>3174.96</v>
      </c>
      <c r="AM575" s="5">
        <v>5154.54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34638.54</v>
      </c>
      <c r="AT575" s="12">
        <v>30927.27</v>
      </c>
      <c r="AU575" s="2">
        <v>0</v>
      </c>
      <c r="AV575" s="5">
        <v>2886.54</v>
      </c>
      <c r="AX575" s="2">
        <v>506190</v>
      </c>
      <c r="AY575" s="2">
        <v>71119</v>
      </c>
      <c r="AZ575" s="2">
        <v>22597.77</v>
      </c>
      <c r="BA575" s="2">
        <v>3174.96</v>
      </c>
      <c r="BB575" s="5">
        <v>5154.54</v>
      </c>
      <c r="BC575" s="12">
        <v>0</v>
      </c>
      <c r="BD575" s="2">
        <v>0</v>
      </c>
      <c r="BE575" s="2">
        <v>0</v>
      </c>
      <c r="BF575" s="2">
        <v>0</v>
      </c>
      <c r="BG575" s="5">
        <v>0</v>
      </c>
      <c r="BH575" s="2">
        <v>34638.54</v>
      </c>
      <c r="BI575" s="12">
        <v>30927.27</v>
      </c>
      <c r="BJ575" s="2">
        <v>0</v>
      </c>
      <c r="BK575" s="5">
        <v>2886.54</v>
      </c>
      <c r="BL575" s="1" t="s">
        <v>90</v>
      </c>
    </row>
    <row r="576" spans="1:64" x14ac:dyDescent="0.3">
      <c r="A576" t="s">
        <v>1168</v>
      </c>
      <c r="B576" s="1" t="s">
        <v>1171</v>
      </c>
      <c r="C576" s="9" t="s">
        <v>1172</v>
      </c>
      <c r="D576" s="1" t="s">
        <v>95</v>
      </c>
      <c r="E576" s="1" t="s">
        <v>88</v>
      </c>
      <c r="F576" s="10" t="s">
        <v>1170</v>
      </c>
      <c r="G576" s="1">
        <v>0</v>
      </c>
      <c r="H576" s="1">
        <v>0.05</v>
      </c>
      <c r="I576" s="8">
        <v>44952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0</v>
      </c>
      <c r="U576" s="6">
        <v>0</v>
      </c>
      <c r="V576" s="6">
        <v>0</v>
      </c>
      <c r="W576" s="6">
        <v>0</v>
      </c>
      <c r="AI576" s="2">
        <v>316943</v>
      </c>
      <c r="AJ576" s="2">
        <v>82010</v>
      </c>
      <c r="AK576" s="2">
        <v>14149.24</v>
      </c>
      <c r="AL576" s="2">
        <v>3661.16</v>
      </c>
      <c r="AM576" s="5">
        <v>3562.08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23937.18</v>
      </c>
      <c r="AT576" s="12">
        <v>21372.480000000003</v>
      </c>
      <c r="AU576" s="2">
        <v>0</v>
      </c>
      <c r="AV576" s="5">
        <v>1994.76</v>
      </c>
      <c r="AX576" s="2">
        <v>316943</v>
      </c>
      <c r="AY576" s="2">
        <v>82010</v>
      </c>
      <c r="AZ576" s="2">
        <v>14149.24</v>
      </c>
      <c r="BA576" s="2">
        <v>3661.16</v>
      </c>
      <c r="BB576" s="5">
        <v>3562.08</v>
      </c>
      <c r="BC576" s="12">
        <v>0</v>
      </c>
      <c r="BD576" s="2">
        <v>0</v>
      </c>
      <c r="BE576" s="2">
        <v>0</v>
      </c>
      <c r="BF576" s="2">
        <v>0</v>
      </c>
      <c r="BG576" s="5">
        <v>0</v>
      </c>
      <c r="BH576" s="2">
        <v>23937.18</v>
      </c>
      <c r="BI576" s="12">
        <v>21372.480000000003</v>
      </c>
      <c r="BJ576" s="2">
        <v>0</v>
      </c>
      <c r="BK576" s="5">
        <v>1994.76</v>
      </c>
      <c r="BL576" s="1" t="s">
        <v>90</v>
      </c>
    </row>
    <row r="577" spans="1:64" x14ac:dyDescent="0.3">
      <c r="A577" t="s">
        <v>1175</v>
      </c>
      <c r="B577" s="1" t="s">
        <v>1175</v>
      </c>
      <c r="C577" s="9" t="s">
        <v>1176</v>
      </c>
      <c r="D577" s="1" t="s">
        <v>95</v>
      </c>
      <c r="E577" s="1" t="s">
        <v>135</v>
      </c>
      <c r="F577" s="10" t="s">
        <v>485</v>
      </c>
      <c r="G577" s="1">
        <v>0</v>
      </c>
      <c r="H577" s="1">
        <v>0.05</v>
      </c>
      <c r="I577" s="8">
        <v>0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0</v>
      </c>
      <c r="U577" s="6">
        <v>0</v>
      </c>
      <c r="V577" s="6">
        <v>0</v>
      </c>
      <c r="W577" s="6">
        <v>0</v>
      </c>
      <c r="AI577" s="2">
        <v>0</v>
      </c>
      <c r="AJ577" s="2">
        <v>0</v>
      </c>
      <c r="AK577" s="2">
        <v>0</v>
      </c>
      <c r="AL577" s="2">
        <v>0</v>
      </c>
      <c r="AM577" s="5">
        <v>0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0</v>
      </c>
      <c r="AT577" s="12">
        <v>0</v>
      </c>
      <c r="AU577" s="2">
        <v>0</v>
      </c>
      <c r="AV577" s="5">
        <v>0</v>
      </c>
      <c r="AX577" s="2">
        <v>0</v>
      </c>
      <c r="AY577" s="2">
        <v>0</v>
      </c>
      <c r="AZ577" s="2">
        <v>0</v>
      </c>
      <c r="BA577" s="2">
        <v>0</v>
      </c>
      <c r="BB577" s="5">
        <v>0</v>
      </c>
      <c r="BC577" s="12">
        <v>0</v>
      </c>
      <c r="BD577" s="2">
        <v>0</v>
      </c>
      <c r="BE577" s="2">
        <v>0</v>
      </c>
      <c r="BF577" s="2">
        <v>0</v>
      </c>
      <c r="BG577" s="5">
        <v>0</v>
      </c>
      <c r="BH577" s="2">
        <v>0</v>
      </c>
      <c r="BI577" s="12">
        <v>0</v>
      </c>
      <c r="BJ577" s="2">
        <v>0</v>
      </c>
      <c r="BK577" s="5">
        <v>0</v>
      </c>
      <c r="BL577" s="1" t="s">
        <v>302</v>
      </c>
    </row>
    <row r="578" spans="1:64" x14ac:dyDescent="0.3">
      <c r="A578" t="s">
        <v>1177</v>
      </c>
      <c r="B578" s="1" t="s">
        <v>1177</v>
      </c>
      <c r="C578" s="9" t="s">
        <v>1178</v>
      </c>
      <c r="D578" s="1" t="s">
        <v>95</v>
      </c>
      <c r="E578" s="1" t="s">
        <v>135</v>
      </c>
      <c r="F578" s="10" t="s">
        <v>435</v>
      </c>
      <c r="G578" s="1">
        <v>0</v>
      </c>
      <c r="H578" s="1">
        <v>0.05</v>
      </c>
      <c r="I578" s="8">
        <v>44948</v>
      </c>
      <c r="J578" s="6">
        <v>541645</v>
      </c>
      <c r="K578" s="6">
        <v>71500</v>
      </c>
      <c r="L578" s="6">
        <v>24180.58</v>
      </c>
      <c r="M578" s="6">
        <v>3191.96</v>
      </c>
      <c r="N578" s="7">
        <v>5474.51</v>
      </c>
      <c r="O578" s="6">
        <v>-616506.89999999991</v>
      </c>
      <c r="P578" s="6">
        <v>-56328.3</v>
      </c>
      <c r="Q578" s="6">
        <v>-27522.62</v>
      </c>
      <c r="R578" s="6">
        <v>-2514.66</v>
      </c>
      <c r="S578" s="7">
        <v>0</v>
      </c>
      <c r="T578" s="11">
        <v>3146.9499999999971</v>
      </c>
      <c r="U578" s="6">
        <v>2809.7700000000041</v>
      </c>
      <c r="V578" s="6">
        <v>0</v>
      </c>
      <c r="W578" s="6">
        <v>-298.46000000000004</v>
      </c>
      <c r="AI578" s="2">
        <v>541645</v>
      </c>
      <c r="AJ578" s="2">
        <v>71500</v>
      </c>
      <c r="AK578" s="2">
        <v>24180.58</v>
      </c>
      <c r="AL578" s="2">
        <v>3191.96</v>
      </c>
      <c r="AM578" s="5">
        <v>5474.51</v>
      </c>
      <c r="AN578" s="12">
        <v>0</v>
      </c>
      <c r="AO578" s="2">
        <v>0</v>
      </c>
      <c r="AP578" s="2">
        <v>0</v>
      </c>
      <c r="AQ578" s="2">
        <v>0</v>
      </c>
      <c r="AR578" s="5">
        <v>0</v>
      </c>
      <c r="AS578" s="2">
        <v>36788.699999999997</v>
      </c>
      <c r="AT578" s="12">
        <v>32847.050000000003</v>
      </c>
      <c r="AU578" s="2">
        <v>0</v>
      </c>
      <c r="AV578" s="5">
        <v>3065.72</v>
      </c>
      <c r="AX578" s="2">
        <v>0</v>
      </c>
      <c r="AY578" s="2">
        <v>0</v>
      </c>
      <c r="AZ578" s="2">
        <v>0</v>
      </c>
      <c r="BA578" s="2">
        <v>0</v>
      </c>
      <c r="BB578" s="5">
        <v>0</v>
      </c>
      <c r="BC578" s="12">
        <v>616506.89999999991</v>
      </c>
      <c r="BD578" s="2">
        <v>56328.3</v>
      </c>
      <c r="BE578" s="2">
        <v>27522.62</v>
      </c>
      <c r="BF578" s="2">
        <v>2514.66</v>
      </c>
      <c r="BG578" s="5">
        <v>0</v>
      </c>
      <c r="BH578" s="2">
        <v>33641.75</v>
      </c>
      <c r="BI578" s="12">
        <v>30037.279999999999</v>
      </c>
      <c r="BJ578" s="2">
        <v>0</v>
      </c>
      <c r="BK578" s="5">
        <v>3364.18</v>
      </c>
      <c r="BL578" s="1" t="s">
        <v>137</v>
      </c>
    </row>
    <row r="579" spans="1:64" x14ac:dyDescent="0.3">
      <c r="A579" t="s">
        <v>1179</v>
      </c>
      <c r="B579" s="1" t="s">
        <v>1179</v>
      </c>
      <c r="C579" s="9" t="s">
        <v>1180</v>
      </c>
      <c r="D579" s="1" t="s">
        <v>95</v>
      </c>
      <c r="E579" s="1" t="s">
        <v>135</v>
      </c>
      <c r="F579" s="10" t="s">
        <v>435</v>
      </c>
      <c r="G579" s="1">
        <v>0</v>
      </c>
      <c r="H579" s="1">
        <v>0.05</v>
      </c>
      <c r="I579" s="8">
        <v>45007</v>
      </c>
      <c r="J579" s="6">
        <v>244740</v>
      </c>
      <c r="K579" s="6">
        <v>52609</v>
      </c>
      <c r="L579" s="6">
        <v>10925.89</v>
      </c>
      <c r="M579" s="6">
        <v>2348.62</v>
      </c>
      <c r="N579" s="7">
        <v>2654.9</v>
      </c>
      <c r="O579" s="6">
        <v>-611152.5</v>
      </c>
      <c r="P579" s="6">
        <v>-67696.5</v>
      </c>
      <c r="Q579" s="6">
        <v>-27283.59</v>
      </c>
      <c r="R579" s="6">
        <v>-3022.16</v>
      </c>
      <c r="S579" s="7">
        <v>0</v>
      </c>
      <c r="T579" s="11">
        <v>-16101.500000000004</v>
      </c>
      <c r="U579" s="6">
        <v>-14376.340000000002</v>
      </c>
      <c r="V579" s="6">
        <v>0</v>
      </c>
      <c r="W579" s="6">
        <v>-1907.4999999999998</v>
      </c>
      <c r="AI579" s="2">
        <v>244740</v>
      </c>
      <c r="AJ579" s="2">
        <v>52609</v>
      </c>
      <c r="AK579" s="2">
        <v>10925.89</v>
      </c>
      <c r="AL579" s="2">
        <v>2348.62</v>
      </c>
      <c r="AM579" s="5">
        <v>2654.9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17840.939999999999</v>
      </c>
      <c r="AT579" s="12">
        <v>15929.409999999998</v>
      </c>
      <c r="AU579" s="2">
        <v>0</v>
      </c>
      <c r="AV579" s="5">
        <v>1486.74</v>
      </c>
      <c r="AX579" s="2">
        <v>0</v>
      </c>
      <c r="AY579" s="2">
        <v>0</v>
      </c>
      <c r="AZ579" s="2">
        <v>0</v>
      </c>
      <c r="BA579" s="2">
        <v>0</v>
      </c>
      <c r="BB579" s="5">
        <v>0</v>
      </c>
      <c r="BC579" s="12">
        <v>611152.5</v>
      </c>
      <c r="BD579" s="2">
        <v>67696.5</v>
      </c>
      <c r="BE579" s="2">
        <v>27283.59</v>
      </c>
      <c r="BF579" s="2">
        <v>3022.16</v>
      </c>
      <c r="BG579" s="5">
        <v>0</v>
      </c>
      <c r="BH579" s="2">
        <v>33942.44</v>
      </c>
      <c r="BI579" s="12">
        <v>30305.75</v>
      </c>
      <c r="BJ579" s="2">
        <v>0</v>
      </c>
      <c r="BK579" s="5">
        <v>3394.24</v>
      </c>
      <c r="BL579" s="1" t="s">
        <v>137</v>
      </c>
    </row>
    <row r="580" spans="1:64" x14ac:dyDescent="0.3">
      <c r="A580" t="s">
        <v>1181</v>
      </c>
      <c r="B580" s="1" t="s">
        <v>1181</v>
      </c>
      <c r="C580" s="9" t="s">
        <v>1182</v>
      </c>
      <c r="D580" s="1" t="s">
        <v>95</v>
      </c>
      <c r="E580" s="1" t="s">
        <v>128</v>
      </c>
      <c r="F580" s="10" t="s">
        <v>309</v>
      </c>
      <c r="G580" s="1">
        <v>0</v>
      </c>
      <c r="H580" s="1">
        <v>0.05</v>
      </c>
      <c r="I580" s="8">
        <v>45092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0</v>
      </c>
      <c r="U580" s="6">
        <v>0</v>
      </c>
      <c r="V580" s="6">
        <v>0</v>
      </c>
      <c r="W580" s="6">
        <v>0</v>
      </c>
      <c r="AI580" s="2">
        <v>302016</v>
      </c>
      <c r="AJ580" s="2">
        <v>12390</v>
      </c>
      <c r="AK580" s="2">
        <v>13482.86</v>
      </c>
      <c r="AL580" s="2">
        <v>553.12</v>
      </c>
      <c r="AM580" s="5">
        <v>2807.2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18864.36</v>
      </c>
      <c r="AT580" s="12">
        <v>16843.18</v>
      </c>
      <c r="AU580" s="2">
        <v>0</v>
      </c>
      <c r="AV580" s="5">
        <v>1572.03</v>
      </c>
      <c r="AX580" s="2">
        <v>302016</v>
      </c>
      <c r="AY580" s="2">
        <v>12390</v>
      </c>
      <c r="AZ580" s="2">
        <v>13482.86</v>
      </c>
      <c r="BA580" s="2">
        <v>553.12</v>
      </c>
      <c r="BB580" s="5">
        <v>2807.2</v>
      </c>
      <c r="BC580" s="12">
        <v>0</v>
      </c>
      <c r="BD580" s="2">
        <v>0</v>
      </c>
      <c r="BE580" s="2">
        <v>0</v>
      </c>
      <c r="BF580" s="2">
        <v>0</v>
      </c>
      <c r="BG580" s="5">
        <v>0</v>
      </c>
      <c r="BH580" s="2">
        <v>18864.36</v>
      </c>
      <c r="BI580" s="12">
        <v>16843.18</v>
      </c>
      <c r="BJ580" s="2">
        <v>0</v>
      </c>
      <c r="BK580" s="5">
        <v>1572.03</v>
      </c>
      <c r="BL580" s="1" t="s">
        <v>130</v>
      </c>
    </row>
    <row r="581" spans="1:64" x14ac:dyDescent="0.3">
      <c r="A581" t="s">
        <v>1183</v>
      </c>
      <c r="B581" s="1" t="s">
        <v>1183</v>
      </c>
      <c r="C581" s="9" t="s">
        <v>1184</v>
      </c>
      <c r="D581" s="1" t="s">
        <v>95</v>
      </c>
      <c r="E581" s="1" t="s">
        <v>135</v>
      </c>
      <c r="F581" s="10" t="s">
        <v>136</v>
      </c>
      <c r="G581" s="1">
        <v>0</v>
      </c>
      <c r="H581" s="1">
        <v>0.05</v>
      </c>
      <c r="I581" s="8">
        <v>44944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0</v>
      </c>
      <c r="U581" s="6">
        <v>0</v>
      </c>
      <c r="V581" s="6">
        <v>0</v>
      </c>
      <c r="W581" s="6">
        <v>0</v>
      </c>
      <c r="AI581" s="2">
        <v>784052</v>
      </c>
      <c r="AJ581" s="2">
        <v>112600</v>
      </c>
      <c r="AK581" s="2">
        <v>35002.32</v>
      </c>
      <c r="AL581" s="2">
        <v>5026.79</v>
      </c>
      <c r="AM581" s="5">
        <v>8005.82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53799.12</v>
      </c>
      <c r="AT581" s="12">
        <v>48034.93</v>
      </c>
      <c r="AU581" s="2">
        <v>0</v>
      </c>
      <c r="AV581" s="5">
        <v>4483.26</v>
      </c>
      <c r="AX581" s="2">
        <v>784052</v>
      </c>
      <c r="AY581" s="2">
        <v>112600</v>
      </c>
      <c r="AZ581" s="2">
        <v>35002.32</v>
      </c>
      <c r="BA581" s="2">
        <v>5026.79</v>
      </c>
      <c r="BB581" s="5">
        <v>8005.82</v>
      </c>
      <c r="BC581" s="12">
        <v>0</v>
      </c>
      <c r="BD581" s="2">
        <v>0</v>
      </c>
      <c r="BE581" s="2">
        <v>0</v>
      </c>
      <c r="BF581" s="2">
        <v>0</v>
      </c>
      <c r="BG581" s="5">
        <v>0</v>
      </c>
      <c r="BH581" s="2">
        <v>53799.12</v>
      </c>
      <c r="BI581" s="12">
        <v>48034.93</v>
      </c>
      <c r="BJ581" s="2">
        <v>0</v>
      </c>
      <c r="BK581" s="5">
        <v>4483.26</v>
      </c>
      <c r="BL581" s="1" t="s">
        <v>137</v>
      </c>
    </row>
    <row r="582" spans="1:64" x14ac:dyDescent="0.3">
      <c r="A582" t="s">
        <v>1207</v>
      </c>
      <c r="B582" s="1" t="s">
        <v>1208</v>
      </c>
      <c r="C582" s="9" t="s">
        <v>1209</v>
      </c>
      <c r="D582" s="1" t="s">
        <v>95</v>
      </c>
      <c r="E582" s="1" t="s">
        <v>135</v>
      </c>
      <c r="F582" s="10" t="s">
        <v>136</v>
      </c>
      <c r="G582" s="1">
        <v>4.4999999999999998E-2</v>
      </c>
      <c r="H582" s="1">
        <v>0.05</v>
      </c>
      <c r="I582" s="8">
        <v>44441</v>
      </c>
      <c r="J582" s="6">
        <v>122837</v>
      </c>
      <c r="K582" s="6">
        <v>27155</v>
      </c>
      <c r="L582" s="6">
        <v>5483.79</v>
      </c>
      <c r="M582" s="6">
        <v>1212.28</v>
      </c>
      <c r="N582" s="7">
        <v>1339.21</v>
      </c>
      <c r="O582" s="6">
        <v>-377829.60000000003</v>
      </c>
      <c r="P582" s="6">
        <v>-79964.100000000006</v>
      </c>
      <c r="Q582" s="6">
        <v>-16867.39</v>
      </c>
      <c r="R582" s="6">
        <v>-3569.83</v>
      </c>
      <c r="S582" s="7">
        <v>-4087.45</v>
      </c>
      <c r="T582" s="11">
        <v>-18468.120000000003</v>
      </c>
      <c r="U582" s="6">
        <v>-16489.390000000003</v>
      </c>
      <c r="V582" s="6">
        <v>0</v>
      </c>
      <c r="W582" s="6">
        <v>-1539.0099999999998</v>
      </c>
      <c r="AI582" s="2">
        <v>122837</v>
      </c>
      <c r="AJ582" s="2">
        <v>27155</v>
      </c>
      <c r="AK582" s="2">
        <v>5483.79</v>
      </c>
      <c r="AL582" s="2">
        <v>1212.28</v>
      </c>
      <c r="AM582" s="5">
        <v>1339.21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8999.51</v>
      </c>
      <c r="AT582" s="12">
        <v>8035.28</v>
      </c>
      <c r="AU582" s="2">
        <v>0</v>
      </c>
      <c r="AV582" s="5">
        <v>749.96</v>
      </c>
      <c r="AX582" s="2">
        <v>0</v>
      </c>
      <c r="AY582" s="2">
        <v>0</v>
      </c>
      <c r="AZ582" s="2">
        <v>0</v>
      </c>
      <c r="BA582" s="2">
        <v>0</v>
      </c>
      <c r="BB582" s="5">
        <v>0</v>
      </c>
      <c r="BC582" s="12">
        <v>377829.60000000003</v>
      </c>
      <c r="BD582" s="2">
        <v>79964.100000000006</v>
      </c>
      <c r="BE582" s="2">
        <v>16867.39</v>
      </c>
      <c r="BF582" s="2">
        <v>3569.83</v>
      </c>
      <c r="BG582" s="5">
        <v>4087.45</v>
      </c>
      <c r="BH582" s="2">
        <v>27467.63</v>
      </c>
      <c r="BI582" s="12">
        <v>24524.670000000002</v>
      </c>
      <c r="BJ582" s="2">
        <v>0</v>
      </c>
      <c r="BK582" s="5">
        <v>2288.9699999999998</v>
      </c>
      <c r="BL582" s="1" t="s">
        <v>137</v>
      </c>
    </row>
    <row r="583" spans="1:64" x14ac:dyDescent="0.3">
      <c r="A583" t="s">
        <v>1207</v>
      </c>
      <c r="B583" s="1" t="s">
        <v>1207</v>
      </c>
      <c r="C583" s="9" t="s">
        <v>1210</v>
      </c>
      <c r="D583" s="1" t="s">
        <v>95</v>
      </c>
      <c r="E583" s="1" t="s">
        <v>135</v>
      </c>
      <c r="F583" s="10" t="s">
        <v>136</v>
      </c>
      <c r="G583" s="1">
        <v>0.04</v>
      </c>
      <c r="H583" s="1">
        <v>0.05</v>
      </c>
      <c r="I583" s="8">
        <v>44441</v>
      </c>
      <c r="J583" s="6">
        <v>402385.5</v>
      </c>
      <c r="K583" s="6">
        <v>109646</v>
      </c>
      <c r="L583" s="6">
        <v>17963.64</v>
      </c>
      <c r="M583" s="6">
        <v>4894.91</v>
      </c>
      <c r="N583" s="7">
        <v>4571.71</v>
      </c>
      <c r="O583" s="6">
        <v>-472955.39999999997</v>
      </c>
      <c r="P583" s="6">
        <v>-50625.599999999999</v>
      </c>
      <c r="Q583" s="6">
        <v>-21114.080000000002</v>
      </c>
      <c r="R583" s="6">
        <v>-2260.0700000000002</v>
      </c>
      <c r="S583" s="7">
        <v>-4674.83</v>
      </c>
      <c r="T583" s="11">
        <v>-692.97000000000116</v>
      </c>
      <c r="U583" s="6">
        <v>-618.7200000000048</v>
      </c>
      <c r="V583" s="6">
        <v>0</v>
      </c>
      <c r="W583" s="6">
        <v>-57.740000000000236</v>
      </c>
      <c r="AI583" s="2">
        <v>402385.5</v>
      </c>
      <c r="AJ583" s="2">
        <v>109646</v>
      </c>
      <c r="AK583" s="2">
        <v>17963.64</v>
      </c>
      <c r="AL583" s="2">
        <v>4894.91</v>
      </c>
      <c r="AM583" s="5">
        <v>4571.71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30721.89</v>
      </c>
      <c r="AT583" s="12">
        <v>27430.26</v>
      </c>
      <c r="AU583" s="2">
        <v>0</v>
      </c>
      <c r="AV583" s="5">
        <v>2560.16</v>
      </c>
      <c r="AX583" s="2">
        <v>0</v>
      </c>
      <c r="AY583" s="2">
        <v>0</v>
      </c>
      <c r="AZ583" s="2">
        <v>0</v>
      </c>
      <c r="BA583" s="2">
        <v>0</v>
      </c>
      <c r="BB583" s="5">
        <v>0</v>
      </c>
      <c r="BC583" s="12">
        <v>472955.39999999997</v>
      </c>
      <c r="BD583" s="2">
        <v>50625.599999999999</v>
      </c>
      <c r="BE583" s="2">
        <v>21114.080000000002</v>
      </c>
      <c r="BF583" s="2">
        <v>2260.0700000000002</v>
      </c>
      <c r="BG583" s="5">
        <v>4674.83</v>
      </c>
      <c r="BH583" s="2">
        <v>31414.86</v>
      </c>
      <c r="BI583" s="12">
        <v>28048.980000000003</v>
      </c>
      <c r="BJ583" s="2">
        <v>0</v>
      </c>
      <c r="BK583" s="5">
        <v>2617.9</v>
      </c>
      <c r="BL583" s="1" t="s">
        <v>137</v>
      </c>
    </row>
    <row r="584" spans="1:64" x14ac:dyDescent="0.3">
      <c r="A584" t="s">
        <v>1211</v>
      </c>
      <c r="B584" s="1" t="s">
        <v>1211</v>
      </c>
      <c r="C584" s="9" t="s">
        <v>1212</v>
      </c>
      <c r="D584" s="1" t="s">
        <v>95</v>
      </c>
      <c r="E584" s="1" t="s">
        <v>128</v>
      </c>
      <c r="F584" s="10" t="s">
        <v>988</v>
      </c>
      <c r="G584" s="1">
        <v>4.4999999999999998E-2</v>
      </c>
      <c r="H584" s="1">
        <v>0.05</v>
      </c>
      <c r="I584" s="8">
        <v>44956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0</v>
      </c>
      <c r="U584" s="6">
        <v>0</v>
      </c>
      <c r="V584" s="6">
        <v>0</v>
      </c>
      <c r="W584" s="6">
        <v>0</v>
      </c>
      <c r="AI584" s="2">
        <v>119038</v>
      </c>
      <c r="AJ584" s="2">
        <v>21945</v>
      </c>
      <c r="AK584" s="2">
        <v>5314.2</v>
      </c>
      <c r="AL584" s="2">
        <v>979.69</v>
      </c>
      <c r="AM584" s="5">
        <v>1258.78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8458.99</v>
      </c>
      <c r="AT584" s="12">
        <v>7552.6699999999992</v>
      </c>
      <c r="AU584" s="2">
        <v>0</v>
      </c>
      <c r="AV584" s="5">
        <v>704.92</v>
      </c>
      <c r="AX584" s="2">
        <v>119038</v>
      </c>
      <c r="AY584" s="2">
        <v>21945</v>
      </c>
      <c r="AZ584" s="2">
        <v>5314.2</v>
      </c>
      <c r="BA584" s="2">
        <v>979.69</v>
      </c>
      <c r="BB584" s="5">
        <v>1258.78</v>
      </c>
      <c r="BC584" s="12">
        <v>0</v>
      </c>
      <c r="BD584" s="2">
        <v>0</v>
      </c>
      <c r="BE584" s="2">
        <v>0</v>
      </c>
      <c r="BF584" s="2">
        <v>0</v>
      </c>
      <c r="BG584" s="5">
        <v>0</v>
      </c>
      <c r="BH584" s="2">
        <v>8458.99</v>
      </c>
      <c r="BI584" s="12">
        <v>7552.6699999999992</v>
      </c>
      <c r="BJ584" s="2">
        <v>0</v>
      </c>
      <c r="BK584" s="5">
        <v>704.92</v>
      </c>
      <c r="BL584" s="1" t="s">
        <v>130</v>
      </c>
    </row>
    <row r="585" spans="1:64" x14ac:dyDescent="0.3">
      <c r="A585" t="s">
        <v>1211</v>
      </c>
      <c r="B585" s="1" t="s">
        <v>1213</v>
      </c>
      <c r="C585" s="9" t="s">
        <v>1214</v>
      </c>
      <c r="D585" s="1" t="s">
        <v>95</v>
      </c>
      <c r="E585" s="1" t="s">
        <v>128</v>
      </c>
      <c r="F585" s="10" t="s">
        <v>988</v>
      </c>
      <c r="G585" s="1">
        <v>0</v>
      </c>
      <c r="H585" s="1">
        <v>0.05</v>
      </c>
      <c r="I585" s="8">
        <v>45147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0</v>
      </c>
      <c r="U585" s="6">
        <v>0</v>
      </c>
      <c r="V585" s="6">
        <v>0</v>
      </c>
      <c r="W585" s="6">
        <v>0</v>
      </c>
      <c r="AI585" s="2">
        <v>26485</v>
      </c>
      <c r="AJ585" s="2">
        <v>910</v>
      </c>
      <c r="AK585" s="2">
        <v>1182.3699999999999</v>
      </c>
      <c r="AL585" s="2">
        <v>40.619999999999997</v>
      </c>
      <c r="AM585" s="5">
        <v>244.6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1643.7</v>
      </c>
      <c r="AT585" s="12">
        <v>1467.5899999999997</v>
      </c>
      <c r="AU585" s="2">
        <v>0</v>
      </c>
      <c r="AV585" s="5">
        <v>136.97999999999999</v>
      </c>
      <c r="AX585" s="2">
        <v>26485</v>
      </c>
      <c r="AY585" s="2">
        <v>910</v>
      </c>
      <c r="AZ585" s="2">
        <v>1182.3699999999999</v>
      </c>
      <c r="BA585" s="2">
        <v>40.619999999999997</v>
      </c>
      <c r="BB585" s="5">
        <v>244.6</v>
      </c>
      <c r="BC585" s="12">
        <v>0</v>
      </c>
      <c r="BD585" s="2">
        <v>0</v>
      </c>
      <c r="BE585" s="2">
        <v>0</v>
      </c>
      <c r="BF585" s="2">
        <v>0</v>
      </c>
      <c r="BG585" s="5">
        <v>0</v>
      </c>
      <c r="BH585" s="2">
        <v>1643.7</v>
      </c>
      <c r="BI585" s="12">
        <v>1467.5899999999997</v>
      </c>
      <c r="BJ585" s="2">
        <v>0</v>
      </c>
      <c r="BK585" s="5">
        <v>136.97999999999999</v>
      </c>
      <c r="BL585" s="1" t="s">
        <v>130</v>
      </c>
    </row>
    <row r="586" spans="1:64" x14ac:dyDescent="0.3">
      <c r="A586" t="s">
        <v>1211</v>
      </c>
      <c r="B586" s="1" t="s">
        <v>1215</v>
      </c>
      <c r="C586" s="9" t="s">
        <v>1216</v>
      </c>
      <c r="D586" s="1" t="s">
        <v>95</v>
      </c>
      <c r="E586" s="1" t="s">
        <v>128</v>
      </c>
      <c r="F586" s="10" t="s">
        <v>988</v>
      </c>
      <c r="G586" s="1">
        <v>0</v>
      </c>
      <c r="H586" s="1">
        <v>0.05</v>
      </c>
      <c r="I586" s="8">
        <v>45549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0</v>
      </c>
      <c r="U586" s="6">
        <v>0</v>
      </c>
      <c r="V586" s="6">
        <v>0</v>
      </c>
      <c r="W586" s="6">
        <v>0</v>
      </c>
      <c r="AI586" s="2">
        <v>120989</v>
      </c>
      <c r="AJ586" s="2">
        <v>435</v>
      </c>
      <c r="AK586" s="2">
        <v>5401.29</v>
      </c>
      <c r="AL586" s="2">
        <v>19.420000000000002</v>
      </c>
      <c r="AM586" s="5">
        <v>1084.1400000000001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7285.43</v>
      </c>
      <c r="AT586" s="12">
        <v>6504.85</v>
      </c>
      <c r="AU586" s="2">
        <v>0</v>
      </c>
      <c r="AV586" s="5">
        <v>607.12</v>
      </c>
      <c r="AX586" s="2">
        <v>120989</v>
      </c>
      <c r="AY586" s="2">
        <v>435</v>
      </c>
      <c r="AZ586" s="2">
        <v>5401.29</v>
      </c>
      <c r="BA586" s="2">
        <v>19.420000000000002</v>
      </c>
      <c r="BB586" s="5">
        <v>1084.1400000000001</v>
      </c>
      <c r="BC586" s="12">
        <v>0</v>
      </c>
      <c r="BD586" s="2">
        <v>0</v>
      </c>
      <c r="BE586" s="2">
        <v>0</v>
      </c>
      <c r="BF586" s="2">
        <v>0</v>
      </c>
      <c r="BG586" s="5">
        <v>0</v>
      </c>
      <c r="BH586" s="2">
        <v>7285.43</v>
      </c>
      <c r="BI586" s="12">
        <v>6504.85</v>
      </c>
      <c r="BJ586" s="2">
        <v>0</v>
      </c>
      <c r="BK586" s="5">
        <v>607.12</v>
      </c>
      <c r="BL586" s="1" t="s">
        <v>130</v>
      </c>
    </row>
    <row r="587" spans="1:64" x14ac:dyDescent="0.3">
      <c r="A587" t="s">
        <v>1221</v>
      </c>
      <c r="B587" s="1" t="s">
        <v>1222</v>
      </c>
      <c r="C587" s="9" t="s">
        <v>1223</v>
      </c>
      <c r="D587" s="1" t="s">
        <v>95</v>
      </c>
      <c r="E587" s="1" t="s">
        <v>128</v>
      </c>
      <c r="F587" s="10" t="s">
        <v>988</v>
      </c>
      <c r="G587" s="1">
        <v>0</v>
      </c>
      <c r="H587" s="1">
        <v>0.05</v>
      </c>
      <c r="I587" s="8">
        <v>43972</v>
      </c>
      <c r="J587" s="6">
        <v>153681</v>
      </c>
      <c r="K587" s="6">
        <v>11406</v>
      </c>
      <c r="L587" s="6">
        <v>6860.76</v>
      </c>
      <c r="M587" s="6">
        <v>509.2</v>
      </c>
      <c r="N587" s="7">
        <v>1473.99</v>
      </c>
      <c r="O587" s="6">
        <v>-163933.80000000002</v>
      </c>
      <c r="P587" s="6">
        <v>-10354.500000000002</v>
      </c>
      <c r="Q587" s="6">
        <v>-7318.47</v>
      </c>
      <c r="R587" s="6">
        <v>-462.26</v>
      </c>
      <c r="S587" s="7">
        <v>0</v>
      </c>
      <c r="T587" s="11">
        <v>1190.7999999999993</v>
      </c>
      <c r="U587" s="6">
        <v>1063.2200000000003</v>
      </c>
      <c r="V587" s="6">
        <v>0</v>
      </c>
      <c r="W587" s="6">
        <v>-46</v>
      </c>
      <c r="AI587" s="2">
        <v>153681</v>
      </c>
      <c r="AJ587" s="2">
        <v>11406</v>
      </c>
      <c r="AK587" s="2">
        <v>6860.76</v>
      </c>
      <c r="AL587" s="2">
        <v>509.2</v>
      </c>
      <c r="AM587" s="5">
        <v>1473.99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9905.2199999999993</v>
      </c>
      <c r="AT587" s="12">
        <v>8843.9500000000007</v>
      </c>
      <c r="AU587" s="2">
        <v>0</v>
      </c>
      <c r="AV587" s="5">
        <v>825.44</v>
      </c>
      <c r="AX587" s="2">
        <v>0</v>
      </c>
      <c r="AY587" s="2">
        <v>0</v>
      </c>
      <c r="AZ587" s="2">
        <v>0</v>
      </c>
      <c r="BA587" s="2">
        <v>0</v>
      </c>
      <c r="BB587" s="5">
        <v>0</v>
      </c>
      <c r="BC587" s="12">
        <v>163933.80000000002</v>
      </c>
      <c r="BD587" s="2">
        <v>10354.500000000002</v>
      </c>
      <c r="BE587" s="2">
        <v>7318.47</v>
      </c>
      <c r="BF587" s="2">
        <v>462.26</v>
      </c>
      <c r="BG587" s="5">
        <v>0</v>
      </c>
      <c r="BH587" s="2">
        <v>8714.42</v>
      </c>
      <c r="BI587" s="12">
        <v>7780.7300000000005</v>
      </c>
      <c r="BJ587" s="2">
        <v>0</v>
      </c>
      <c r="BK587" s="5">
        <v>871.44</v>
      </c>
      <c r="BL587" s="1" t="s">
        <v>130</v>
      </c>
    </row>
    <row r="588" spans="1:64" x14ac:dyDescent="0.3">
      <c r="A588" t="s">
        <v>1221</v>
      </c>
      <c r="B588" s="1" t="s">
        <v>1221</v>
      </c>
      <c r="C588" s="9" t="s">
        <v>1224</v>
      </c>
      <c r="D588" s="1" t="s">
        <v>95</v>
      </c>
      <c r="E588" s="1" t="s">
        <v>128</v>
      </c>
      <c r="F588" s="10" t="s">
        <v>988</v>
      </c>
      <c r="G588" s="1">
        <v>3.5000000000000003E-2</v>
      </c>
      <c r="H588" s="1">
        <v>0.05</v>
      </c>
      <c r="I588" s="8">
        <v>43972</v>
      </c>
      <c r="J588" s="6">
        <v>92488</v>
      </c>
      <c r="K588" s="6">
        <v>0</v>
      </c>
      <c r="L588" s="6">
        <v>4128.93</v>
      </c>
      <c r="M588" s="6">
        <v>0</v>
      </c>
      <c r="N588" s="7">
        <v>825.79</v>
      </c>
      <c r="O588" s="6">
        <v>-185083.80000000002</v>
      </c>
      <c r="P588" s="6">
        <v>-11667.3</v>
      </c>
      <c r="Q588" s="6">
        <v>-8262.67</v>
      </c>
      <c r="R588" s="6">
        <v>-520.86</v>
      </c>
      <c r="S588" s="7">
        <v>-1756.71</v>
      </c>
      <c r="T588" s="11">
        <v>-6255.78</v>
      </c>
      <c r="U588" s="6">
        <v>-5585.5200000000013</v>
      </c>
      <c r="V588" s="6">
        <v>0</v>
      </c>
      <c r="W588" s="6">
        <v>-521.31999999999994</v>
      </c>
      <c r="AI588" s="2">
        <v>92488</v>
      </c>
      <c r="AJ588" s="2">
        <v>0</v>
      </c>
      <c r="AK588" s="2">
        <v>4128.93</v>
      </c>
      <c r="AL588" s="2">
        <v>0</v>
      </c>
      <c r="AM588" s="5">
        <v>825.79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5549.29</v>
      </c>
      <c r="AT588" s="12">
        <v>4954.72</v>
      </c>
      <c r="AU588" s="2">
        <v>0</v>
      </c>
      <c r="AV588" s="5">
        <v>462.44</v>
      </c>
      <c r="AX588" s="2">
        <v>0</v>
      </c>
      <c r="AY588" s="2">
        <v>0</v>
      </c>
      <c r="AZ588" s="2">
        <v>0</v>
      </c>
      <c r="BA588" s="2">
        <v>0</v>
      </c>
      <c r="BB588" s="5">
        <v>0</v>
      </c>
      <c r="BC588" s="12">
        <v>185083.80000000002</v>
      </c>
      <c r="BD588" s="2">
        <v>11667.3</v>
      </c>
      <c r="BE588" s="2">
        <v>8262.67</v>
      </c>
      <c r="BF588" s="2">
        <v>520.86</v>
      </c>
      <c r="BG588" s="5">
        <v>1756.71</v>
      </c>
      <c r="BH588" s="2">
        <v>11805.07</v>
      </c>
      <c r="BI588" s="12">
        <v>10540.240000000002</v>
      </c>
      <c r="BJ588" s="2">
        <v>0</v>
      </c>
      <c r="BK588" s="5">
        <v>983.76</v>
      </c>
      <c r="BL588" s="1" t="s">
        <v>130</v>
      </c>
    </row>
    <row r="589" spans="1:64" x14ac:dyDescent="0.3">
      <c r="A589" t="s">
        <v>1221</v>
      </c>
      <c r="B589" s="1" t="s">
        <v>1225</v>
      </c>
      <c r="C589" s="9" t="s">
        <v>1226</v>
      </c>
      <c r="D589" s="1" t="s">
        <v>95</v>
      </c>
      <c r="E589" s="1" t="s">
        <v>128</v>
      </c>
      <c r="F589" s="10" t="s">
        <v>988</v>
      </c>
      <c r="G589" s="1">
        <v>0</v>
      </c>
      <c r="H589" s="1">
        <v>0.05</v>
      </c>
      <c r="I589" s="8">
        <v>45209</v>
      </c>
      <c r="J589" s="6">
        <v>202425</v>
      </c>
      <c r="K589" s="6">
        <v>0</v>
      </c>
      <c r="L589" s="6">
        <v>9036.83</v>
      </c>
      <c r="M589" s="6">
        <v>0</v>
      </c>
      <c r="N589" s="7">
        <v>1807.37</v>
      </c>
      <c r="O589" s="6">
        <v>-181309.80000000002</v>
      </c>
      <c r="P589" s="6">
        <v>0</v>
      </c>
      <c r="Q589" s="6">
        <v>-8094.19</v>
      </c>
      <c r="R589" s="6">
        <v>0</v>
      </c>
      <c r="S589" s="7">
        <v>0</v>
      </c>
      <c r="T589" s="11">
        <v>3080.01</v>
      </c>
      <c r="U589" s="6">
        <v>2750.0100000000011</v>
      </c>
      <c r="V589" s="6">
        <v>0</v>
      </c>
      <c r="W589" s="6">
        <v>105.57000000000005</v>
      </c>
      <c r="AI589" s="2">
        <v>202425</v>
      </c>
      <c r="AJ589" s="2">
        <v>0</v>
      </c>
      <c r="AK589" s="2">
        <v>9036.83</v>
      </c>
      <c r="AL589" s="2">
        <v>0</v>
      </c>
      <c r="AM589" s="5">
        <v>1807.37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12145.5</v>
      </c>
      <c r="AT589" s="12">
        <v>10844.2</v>
      </c>
      <c r="AU589" s="2">
        <v>0</v>
      </c>
      <c r="AV589" s="5">
        <v>1012.12</v>
      </c>
      <c r="AX589" s="2">
        <v>0</v>
      </c>
      <c r="AY589" s="2">
        <v>0</v>
      </c>
      <c r="AZ589" s="2">
        <v>0</v>
      </c>
      <c r="BA589" s="2">
        <v>0</v>
      </c>
      <c r="BB589" s="5">
        <v>0</v>
      </c>
      <c r="BC589" s="12">
        <v>181309.80000000002</v>
      </c>
      <c r="BD589" s="2">
        <v>0</v>
      </c>
      <c r="BE589" s="2">
        <v>8094.19</v>
      </c>
      <c r="BF589" s="2">
        <v>0</v>
      </c>
      <c r="BG589" s="5">
        <v>0</v>
      </c>
      <c r="BH589" s="2">
        <v>9065.49</v>
      </c>
      <c r="BI589" s="12">
        <v>8094.19</v>
      </c>
      <c r="BJ589" s="2">
        <v>0</v>
      </c>
      <c r="BK589" s="5">
        <v>906.55</v>
      </c>
      <c r="BL589" s="1" t="s">
        <v>130</v>
      </c>
    </row>
    <row r="590" spans="1:64" x14ac:dyDescent="0.3">
      <c r="A590" t="s">
        <v>1229</v>
      </c>
      <c r="B590" s="1" t="s">
        <v>1229</v>
      </c>
      <c r="C590" s="9" t="s">
        <v>1230</v>
      </c>
      <c r="D590" s="1" t="s">
        <v>95</v>
      </c>
      <c r="E590" s="1" t="s">
        <v>135</v>
      </c>
      <c r="F590" s="10" t="s">
        <v>348</v>
      </c>
      <c r="G590" s="1">
        <v>0</v>
      </c>
      <c r="H590" s="1">
        <v>0.05</v>
      </c>
      <c r="I590" s="8">
        <v>44958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0</v>
      </c>
      <c r="U590" s="6">
        <v>0</v>
      </c>
      <c r="V590" s="6">
        <v>0</v>
      </c>
      <c r="W590" s="6">
        <v>0</v>
      </c>
      <c r="AI590" s="2">
        <v>889597</v>
      </c>
      <c r="AJ590" s="2">
        <v>110781</v>
      </c>
      <c r="AK590" s="2">
        <v>39714.15</v>
      </c>
      <c r="AL590" s="2">
        <v>4945.58</v>
      </c>
      <c r="AM590" s="5">
        <v>8931.9500000000007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60022.68</v>
      </c>
      <c r="AT590" s="12">
        <v>53591.680000000008</v>
      </c>
      <c r="AU590" s="2">
        <v>0</v>
      </c>
      <c r="AV590" s="5">
        <v>5001.8900000000003</v>
      </c>
      <c r="AX590" s="2">
        <v>889597</v>
      </c>
      <c r="AY590" s="2">
        <v>110781</v>
      </c>
      <c r="AZ590" s="2">
        <v>39714.15</v>
      </c>
      <c r="BA590" s="2">
        <v>4945.58</v>
      </c>
      <c r="BB590" s="5">
        <v>8931.9500000000007</v>
      </c>
      <c r="BC590" s="12">
        <v>0</v>
      </c>
      <c r="BD590" s="2">
        <v>0</v>
      </c>
      <c r="BE590" s="2">
        <v>0</v>
      </c>
      <c r="BF590" s="2">
        <v>0</v>
      </c>
      <c r="BG590" s="5">
        <v>0</v>
      </c>
      <c r="BH590" s="2">
        <v>60022.68</v>
      </c>
      <c r="BI590" s="12">
        <v>53591.680000000008</v>
      </c>
      <c r="BJ590" s="2">
        <v>0</v>
      </c>
      <c r="BK590" s="5">
        <v>5001.8900000000003</v>
      </c>
      <c r="BL590" s="1" t="s">
        <v>302</v>
      </c>
    </row>
    <row r="591" spans="1:64" x14ac:dyDescent="0.3">
      <c r="A591" t="s">
        <v>1231</v>
      </c>
      <c r="B591" s="1" t="s">
        <v>1231</v>
      </c>
      <c r="C591" s="9" t="s">
        <v>1232</v>
      </c>
      <c r="D591" s="1" t="s">
        <v>95</v>
      </c>
      <c r="E591" s="1" t="s">
        <v>135</v>
      </c>
      <c r="F591" s="10" t="s">
        <v>348</v>
      </c>
      <c r="G591" s="1">
        <v>0</v>
      </c>
      <c r="H591" s="1">
        <v>0.05</v>
      </c>
      <c r="I591" s="8">
        <v>44958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0</v>
      </c>
      <c r="U591" s="6">
        <v>0</v>
      </c>
      <c r="V591" s="6">
        <v>0</v>
      </c>
      <c r="W591" s="6">
        <v>0</v>
      </c>
      <c r="AI591" s="2">
        <v>930675</v>
      </c>
      <c r="AJ591" s="2">
        <v>129618</v>
      </c>
      <c r="AK591" s="2">
        <v>41547.99</v>
      </c>
      <c r="AL591" s="2">
        <v>5786.52</v>
      </c>
      <c r="AM591" s="5">
        <v>9466.9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63617.58</v>
      </c>
      <c r="AT591" s="12">
        <v>56801.409999999996</v>
      </c>
      <c r="AU591" s="2">
        <v>0</v>
      </c>
      <c r="AV591" s="5">
        <v>5301.46</v>
      </c>
      <c r="AX591" s="2">
        <v>930675</v>
      </c>
      <c r="AY591" s="2">
        <v>129618</v>
      </c>
      <c r="AZ591" s="2">
        <v>41547.99</v>
      </c>
      <c r="BA591" s="2">
        <v>5786.52</v>
      </c>
      <c r="BB591" s="5">
        <v>9466.9</v>
      </c>
      <c r="BC591" s="12">
        <v>0</v>
      </c>
      <c r="BD591" s="2">
        <v>0</v>
      </c>
      <c r="BE591" s="2">
        <v>0</v>
      </c>
      <c r="BF591" s="2">
        <v>0</v>
      </c>
      <c r="BG591" s="5">
        <v>0</v>
      </c>
      <c r="BH591" s="2">
        <v>63617.58</v>
      </c>
      <c r="BI591" s="12">
        <v>56801.409999999996</v>
      </c>
      <c r="BJ591" s="2">
        <v>0</v>
      </c>
      <c r="BK591" s="5">
        <v>5301.46</v>
      </c>
      <c r="BL591" s="1" t="s">
        <v>302</v>
      </c>
    </row>
    <row r="592" spans="1:64" x14ac:dyDescent="0.3">
      <c r="A592" t="s">
        <v>1244</v>
      </c>
      <c r="B592" s="1" t="s">
        <v>1244</v>
      </c>
      <c r="C592" s="9" t="s">
        <v>1245</v>
      </c>
      <c r="D592" s="1" t="s">
        <v>95</v>
      </c>
      <c r="E592" s="1" t="s">
        <v>88</v>
      </c>
      <c r="F592" s="10" t="s">
        <v>1170</v>
      </c>
      <c r="G592" s="1">
        <v>0</v>
      </c>
      <c r="H592" s="1">
        <v>0.05</v>
      </c>
      <c r="I592" s="8">
        <v>45036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0</v>
      </c>
      <c r="U592" s="6">
        <v>0</v>
      </c>
      <c r="V592" s="6">
        <v>0</v>
      </c>
      <c r="W592" s="6">
        <v>0</v>
      </c>
      <c r="AI592" s="2">
        <v>73382</v>
      </c>
      <c r="AJ592" s="2">
        <v>17278</v>
      </c>
      <c r="AK592" s="2">
        <v>3275.98</v>
      </c>
      <c r="AL592" s="2">
        <v>771.34</v>
      </c>
      <c r="AM592" s="5">
        <v>809.46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5439.59</v>
      </c>
      <c r="AT592" s="12">
        <v>4856.7800000000007</v>
      </c>
      <c r="AU592" s="2">
        <v>0</v>
      </c>
      <c r="AV592" s="5">
        <v>453.3</v>
      </c>
      <c r="AX592" s="2">
        <v>73382</v>
      </c>
      <c r="AY592" s="2">
        <v>17278</v>
      </c>
      <c r="AZ592" s="2">
        <v>3275.98</v>
      </c>
      <c r="BA592" s="2">
        <v>771.34</v>
      </c>
      <c r="BB592" s="5">
        <v>809.46</v>
      </c>
      <c r="BC592" s="12">
        <v>0</v>
      </c>
      <c r="BD592" s="2">
        <v>0</v>
      </c>
      <c r="BE592" s="2">
        <v>0</v>
      </c>
      <c r="BF592" s="2">
        <v>0</v>
      </c>
      <c r="BG592" s="5">
        <v>0</v>
      </c>
      <c r="BH592" s="2">
        <v>5439.59</v>
      </c>
      <c r="BI592" s="12">
        <v>4856.7800000000007</v>
      </c>
      <c r="BJ592" s="2">
        <v>0</v>
      </c>
      <c r="BK592" s="5">
        <v>453.3</v>
      </c>
      <c r="BL592" s="1" t="s">
        <v>90</v>
      </c>
    </row>
    <row r="593" spans="1:64" x14ac:dyDescent="0.3">
      <c r="A593" t="s">
        <v>1256</v>
      </c>
      <c r="B593" s="1" t="s">
        <v>1256</v>
      </c>
      <c r="C593" s="9" t="s">
        <v>1257</v>
      </c>
      <c r="D593" s="1" t="s">
        <v>95</v>
      </c>
      <c r="E593" s="1" t="s">
        <v>128</v>
      </c>
      <c r="F593" s="10" t="s">
        <v>129</v>
      </c>
      <c r="G593" s="1">
        <v>0</v>
      </c>
      <c r="H593" s="1">
        <v>0.05</v>
      </c>
      <c r="I593" s="8">
        <v>45062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0</v>
      </c>
      <c r="P593" s="6">
        <v>0</v>
      </c>
      <c r="Q593" s="6">
        <v>0</v>
      </c>
      <c r="R593" s="6">
        <v>0</v>
      </c>
      <c r="S593" s="7">
        <v>3840.89</v>
      </c>
      <c r="T593" s="11">
        <v>4301.7900000000009</v>
      </c>
      <c r="U593" s="6">
        <v>3840.8899999999994</v>
      </c>
      <c r="V593" s="6">
        <v>0</v>
      </c>
      <c r="W593" s="6">
        <v>0</v>
      </c>
      <c r="AI593" s="2">
        <v>0</v>
      </c>
      <c r="AJ593" s="2">
        <v>0</v>
      </c>
      <c r="AK593" s="2">
        <v>0</v>
      </c>
      <c r="AL593" s="2">
        <v>0</v>
      </c>
      <c r="AM593" s="5">
        <v>0</v>
      </c>
      <c r="AN593" s="12">
        <v>412323</v>
      </c>
      <c r="AO593" s="2">
        <v>17857.2</v>
      </c>
      <c r="AP593" s="2">
        <v>18407.28</v>
      </c>
      <c r="AQ593" s="2">
        <v>797.2</v>
      </c>
      <c r="AR593" s="5">
        <v>3840.89</v>
      </c>
      <c r="AS593" s="2">
        <v>25810.81</v>
      </c>
      <c r="AT593" s="12">
        <v>23045.37</v>
      </c>
      <c r="AU593" s="2">
        <v>0</v>
      </c>
      <c r="AV593" s="5">
        <v>2150.9</v>
      </c>
      <c r="AX593" s="2">
        <v>0</v>
      </c>
      <c r="AY593" s="2">
        <v>0</v>
      </c>
      <c r="AZ593" s="2">
        <v>0</v>
      </c>
      <c r="BA593" s="2">
        <v>0</v>
      </c>
      <c r="BB593" s="5">
        <v>0</v>
      </c>
      <c r="BC593" s="12">
        <v>412323</v>
      </c>
      <c r="BD593" s="2">
        <v>17857.2</v>
      </c>
      <c r="BE593" s="2">
        <v>18407.28</v>
      </c>
      <c r="BF593" s="2">
        <v>797.2</v>
      </c>
      <c r="BG593" s="5">
        <v>0</v>
      </c>
      <c r="BH593" s="2">
        <v>21509.02</v>
      </c>
      <c r="BI593" s="12">
        <v>19204.48</v>
      </c>
      <c r="BJ593" s="2">
        <v>0</v>
      </c>
      <c r="BK593" s="5">
        <v>2150.9</v>
      </c>
      <c r="BL593" s="1" t="s">
        <v>130</v>
      </c>
    </row>
    <row r="594" spans="1:64" x14ac:dyDescent="0.3">
      <c r="A594" t="s">
        <v>1256</v>
      </c>
      <c r="B594" s="1" t="s">
        <v>1258</v>
      </c>
      <c r="C594" s="9" t="s">
        <v>1259</v>
      </c>
      <c r="D594" s="1" t="s">
        <v>95</v>
      </c>
      <c r="E594" s="1" t="s">
        <v>128</v>
      </c>
      <c r="F594" s="10" t="s">
        <v>129</v>
      </c>
      <c r="G594" s="1">
        <v>0</v>
      </c>
      <c r="H594" s="1">
        <v>0.05</v>
      </c>
      <c r="I594" s="8">
        <v>45138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0</v>
      </c>
      <c r="P594" s="6">
        <v>0</v>
      </c>
      <c r="Q594" s="6">
        <v>0</v>
      </c>
      <c r="R594" s="6">
        <v>0</v>
      </c>
      <c r="S594" s="7">
        <v>3234.53</v>
      </c>
      <c r="T594" s="11">
        <v>3622.6700000000019</v>
      </c>
      <c r="U594" s="6">
        <v>3234.5299999999988</v>
      </c>
      <c r="V594" s="6">
        <v>0</v>
      </c>
      <c r="W594" s="6">
        <v>0</v>
      </c>
      <c r="AI594" s="2">
        <v>0</v>
      </c>
      <c r="AJ594" s="2">
        <v>0</v>
      </c>
      <c r="AK594" s="2">
        <v>0</v>
      </c>
      <c r="AL594" s="2">
        <v>0</v>
      </c>
      <c r="AM594" s="5">
        <v>0</v>
      </c>
      <c r="AN594" s="12">
        <v>347611.50000000006</v>
      </c>
      <c r="AO594" s="2">
        <v>14655.899999999998</v>
      </c>
      <c r="AP594" s="2">
        <v>15518.38</v>
      </c>
      <c r="AQ594" s="2">
        <v>654.29</v>
      </c>
      <c r="AR594" s="5">
        <v>3234.53</v>
      </c>
      <c r="AS594" s="2">
        <v>21736.06</v>
      </c>
      <c r="AT594" s="12">
        <v>19407.199999999997</v>
      </c>
      <c r="AU594" s="2">
        <v>0</v>
      </c>
      <c r="AV594" s="5">
        <v>1811.34</v>
      </c>
      <c r="AX594" s="2">
        <v>0</v>
      </c>
      <c r="AY594" s="2">
        <v>0</v>
      </c>
      <c r="AZ594" s="2">
        <v>0</v>
      </c>
      <c r="BA594" s="2">
        <v>0</v>
      </c>
      <c r="BB594" s="5">
        <v>0</v>
      </c>
      <c r="BC594" s="12">
        <v>347611.50000000006</v>
      </c>
      <c r="BD594" s="2">
        <v>14655.899999999998</v>
      </c>
      <c r="BE594" s="2">
        <v>15518.38</v>
      </c>
      <c r="BF594" s="2">
        <v>654.29</v>
      </c>
      <c r="BG594" s="5">
        <v>0</v>
      </c>
      <c r="BH594" s="2">
        <v>18113.39</v>
      </c>
      <c r="BI594" s="12">
        <v>16172.669999999998</v>
      </c>
      <c r="BJ594" s="2">
        <v>0</v>
      </c>
      <c r="BK594" s="5">
        <v>1811.34</v>
      </c>
      <c r="BL594" s="1" t="s">
        <v>130</v>
      </c>
    </row>
    <row r="595" spans="1:64" x14ac:dyDescent="0.3">
      <c r="A595" t="s">
        <v>1260</v>
      </c>
      <c r="B595" s="1" t="s">
        <v>1260</v>
      </c>
      <c r="C595" s="9" t="s">
        <v>1261</v>
      </c>
      <c r="D595" s="1" t="s">
        <v>95</v>
      </c>
      <c r="E595" s="1" t="s">
        <v>128</v>
      </c>
      <c r="F595" s="10" t="s">
        <v>129</v>
      </c>
      <c r="G595" s="1">
        <v>0</v>
      </c>
      <c r="H595" s="1">
        <v>0.05</v>
      </c>
      <c r="I595" s="8">
        <v>45085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0</v>
      </c>
      <c r="P595" s="6">
        <v>0</v>
      </c>
      <c r="Q595" s="6">
        <v>0</v>
      </c>
      <c r="R595" s="6">
        <v>0</v>
      </c>
      <c r="S595" s="7">
        <v>5024.72</v>
      </c>
      <c r="T595" s="11">
        <v>5627.68</v>
      </c>
      <c r="U595" s="6">
        <v>5024.7200000000012</v>
      </c>
      <c r="V595" s="6">
        <v>0</v>
      </c>
      <c r="W595" s="6">
        <v>0</v>
      </c>
      <c r="AI595" s="2">
        <v>0</v>
      </c>
      <c r="AJ595" s="2">
        <v>0</v>
      </c>
      <c r="AK595" s="2">
        <v>0</v>
      </c>
      <c r="AL595" s="2">
        <v>0</v>
      </c>
      <c r="AM595" s="5">
        <v>0</v>
      </c>
      <c r="AN595" s="12">
        <v>539197.80000000005</v>
      </c>
      <c r="AO595" s="2">
        <v>23571.600000000002</v>
      </c>
      <c r="AP595" s="2">
        <v>24071.33</v>
      </c>
      <c r="AQ595" s="2">
        <v>1052.3</v>
      </c>
      <c r="AR595" s="5">
        <v>5024.72</v>
      </c>
      <c r="AS595" s="2">
        <v>33766.15</v>
      </c>
      <c r="AT595" s="12">
        <v>30148.350000000002</v>
      </c>
      <c r="AU595" s="2">
        <v>0</v>
      </c>
      <c r="AV595" s="5">
        <v>2813.85</v>
      </c>
      <c r="AX595" s="2">
        <v>0</v>
      </c>
      <c r="AY595" s="2">
        <v>0</v>
      </c>
      <c r="AZ595" s="2">
        <v>0</v>
      </c>
      <c r="BA595" s="2">
        <v>0</v>
      </c>
      <c r="BB595" s="5">
        <v>0</v>
      </c>
      <c r="BC595" s="12">
        <v>539197.80000000005</v>
      </c>
      <c r="BD595" s="2">
        <v>23571.600000000002</v>
      </c>
      <c r="BE595" s="2">
        <v>24071.33</v>
      </c>
      <c r="BF595" s="2">
        <v>1052.3</v>
      </c>
      <c r="BG595" s="5">
        <v>0</v>
      </c>
      <c r="BH595" s="2">
        <v>28138.47</v>
      </c>
      <c r="BI595" s="12">
        <v>25123.63</v>
      </c>
      <c r="BJ595" s="2">
        <v>0</v>
      </c>
      <c r="BK595" s="5">
        <v>2813.85</v>
      </c>
      <c r="BL595" s="1" t="s">
        <v>130</v>
      </c>
    </row>
    <row r="596" spans="1:64" x14ac:dyDescent="0.3">
      <c r="A596" t="s">
        <v>1260</v>
      </c>
      <c r="B596" s="1" t="s">
        <v>1262</v>
      </c>
      <c r="C596" s="9" t="s">
        <v>1263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45390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0</v>
      </c>
      <c r="U596" s="6">
        <v>0</v>
      </c>
      <c r="V596" s="6">
        <v>0</v>
      </c>
      <c r="W596" s="6">
        <v>0</v>
      </c>
      <c r="AI596" s="2">
        <v>0</v>
      </c>
      <c r="AJ596" s="2">
        <v>0</v>
      </c>
      <c r="AK596" s="2">
        <v>0</v>
      </c>
      <c r="AL596" s="2">
        <v>0</v>
      </c>
      <c r="AM596" s="5">
        <v>0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0</v>
      </c>
      <c r="AT596" s="12">
        <v>0</v>
      </c>
      <c r="AU596" s="2">
        <v>0</v>
      </c>
      <c r="AV596" s="5">
        <v>0</v>
      </c>
      <c r="AX596" s="2">
        <v>0</v>
      </c>
      <c r="AY596" s="2">
        <v>0</v>
      </c>
      <c r="AZ596" s="2">
        <v>0</v>
      </c>
      <c r="BA596" s="2">
        <v>0</v>
      </c>
      <c r="BB596" s="5">
        <v>0</v>
      </c>
      <c r="BC596" s="12">
        <v>0</v>
      </c>
      <c r="BD596" s="2">
        <v>0</v>
      </c>
      <c r="BE596" s="2">
        <v>0</v>
      </c>
      <c r="BF596" s="2">
        <v>0</v>
      </c>
      <c r="BG596" s="5">
        <v>0</v>
      </c>
      <c r="BH596" s="2">
        <v>0</v>
      </c>
      <c r="BI596" s="12">
        <v>0</v>
      </c>
      <c r="BJ596" s="2">
        <v>0</v>
      </c>
      <c r="BK596" s="5">
        <v>0</v>
      </c>
      <c r="BL596" s="1" t="s">
        <v>130</v>
      </c>
    </row>
    <row r="597" spans="1:64" x14ac:dyDescent="0.3">
      <c r="A597" t="s">
        <v>1264</v>
      </c>
      <c r="B597" s="1" t="s">
        <v>1264</v>
      </c>
      <c r="C597" s="9" t="s">
        <v>1265</v>
      </c>
      <c r="D597" s="1" t="s">
        <v>95</v>
      </c>
      <c r="E597" s="1" t="s">
        <v>135</v>
      </c>
      <c r="F597" s="10" t="s">
        <v>435</v>
      </c>
      <c r="G597" s="1">
        <v>0</v>
      </c>
      <c r="H597" s="1">
        <v>0.05</v>
      </c>
      <c r="I597" s="8">
        <v>45066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0</v>
      </c>
      <c r="U597" s="6">
        <v>0</v>
      </c>
      <c r="V597" s="6">
        <v>0</v>
      </c>
      <c r="W597" s="6">
        <v>0</v>
      </c>
      <c r="AI597" s="2">
        <v>683821</v>
      </c>
      <c r="AJ597" s="2">
        <v>105075</v>
      </c>
      <c r="AK597" s="2">
        <v>30527.72</v>
      </c>
      <c r="AL597" s="2">
        <v>4690.8500000000004</v>
      </c>
      <c r="AM597" s="5">
        <v>7043.71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47333.75</v>
      </c>
      <c r="AT597" s="12">
        <v>42262.28</v>
      </c>
      <c r="AU597" s="2">
        <v>0</v>
      </c>
      <c r="AV597" s="5">
        <v>3944.48</v>
      </c>
      <c r="AX597" s="2">
        <v>683821</v>
      </c>
      <c r="AY597" s="2">
        <v>105075</v>
      </c>
      <c r="AZ597" s="2">
        <v>30527.72</v>
      </c>
      <c r="BA597" s="2">
        <v>4690.8500000000004</v>
      </c>
      <c r="BB597" s="5">
        <v>7043.71</v>
      </c>
      <c r="BC597" s="12">
        <v>0</v>
      </c>
      <c r="BD597" s="2">
        <v>0</v>
      </c>
      <c r="BE597" s="2">
        <v>0</v>
      </c>
      <c r="BF597" s="2">
        <v>0</v>
      </c>
      <c r="BG597" s="5">
        <v>0</v>
      </c>
      <c r="BH597" s="2">
        <v>47333.75</v>
      </c>
      <c r="BI597" s="12">
        <v>42262.28</v>
      </c>
      <c r="BJ597" s="2">
        <v>0</v>
      </c>
      <c r="BK597" s="5">
        <v>3944.48</v>
      </c>
      <c r="BL597" s="1" t="s">
        <v>137</v>
      </c>
    </row>
    <row r="598" spans="1:64" x14ac:dyDescent="0.3">
      <c r="A598" t="s">
        <v>1266</v>
      </c>
      <c r="B598" s="1" t="s">
        <v>1266</v>
      </c>
      <c r="C598" s="9" t="s">
        <v>1267</v>
      </c>
      <c r="D598" s="1" t="s">
        <v>95</v>
      </c>
      <c r="E598" s="1" t="s">
        <v>128</v>
      </c>
      <c r="F598" s="10" t="s">
        <v>129</v>
      </c>
      <c r="G598" s="1">
        <v>0</v>
      </c>
      <c r="H598" s="1">
        <v>0.05</v>
      </c>
      <c r="I598" s="8">
        <v>45091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0</v>
      </c>
      <c r="U598" s="6">
        <v>0</v>
      </c>
      <c r="V598" s="6">
        <v>0</v>
      </c>
      <c r="W598" s="6">
        <v>0</v>
      </c>
      <c r="AI598" s="2">
        <v>529334</v>
      </c>
      <c r="AJ598" s="2">
        <v>9561</v>
      </c>
      <c r="AK598" s="2">
        <v>23630.98</v>
      </c>
      <c r="AL598" s="2">
        <v>426.83</v>
      </c>
      <c r="AM598" s="5">
        <v>4811.5600000000004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32333.69</v>
      </c>
      <c r="AT598" s="12">
        <v>28869.370000000003</v>
      </c>
      <c r="AU598" s="2">
        <v>0</v>
      </c>
      <c r="AV598" s="5">
        <v>2694.48</v>
      </c>
      <c r="AX598" s="2">
        <v>529334</v>
      </c>
      <c r="AY598" s="2">
        <v>9561</v>
      </c>
      <c r="AZ598" s="2">
        <v>23630.98</v>
      </c>
      <c r="BA598" s="2">
        <v>426.83</v>
      </c>
      <c r="BB598" s="5">
        <v>4811.5600000000004</v>
      </c>
      <c r="BC598" s="12">
        <v>0</v>
      </c>
      <c r="BD598" s="2">
        <v>0</v>
      </c>
      <c r="BE598" s="2">
        <v>0</v>
      </c>
      <c r="BF598" s="2">
        <v>0</v>
      </c>
      <c r="BG598" s="5">
        <v>0</v>
      </c>
      <c r="BH598" s="2">
        <v>32333.69</v>
      </c>
      <c r="BI598" s="12">
        <v>28869.370000000003</v>
      </c>
      <c r="BJ598" s="2">
        <v>0</v>
      </c>
      <c r="BK598" s="5">
        <v>2694.48</v>
      </c>
      <c r="BL598" s="1" t="s">
        <v>130</v>
      </c>
    </row>
    <row r="599" spans="1:64" x14ac:dyDescent="0.3">
      <c r="A599" t="s">
        <v>1278</v>
      </c>
      <c r="B599" s="1" t="s">
        <v>1278</v>
      </c>
      <c r="C599" s="9" t="s">
        <v>1279</v>
      </c>
      <c r="D599" s="1" t="s">
        <v>95</v>
      </c>
      <c r="E599" s="1" t="s">
        <v>135</v>
      </c>
      <c r="F599" s="10" t="s">
        <v>193</v>
      </c>
      <c r="G599" s="1">
        <v>0</v>
      </c>
      <c r="H599" s="1">
        <v>0.05</v>
      </c>
      <c r="I599" s="8">
        <v>45107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0</v>
      </c>
      <c r="U599" s="6">
        <v>0</v>
      </c>
      <c r="V599" s="6">
        <v>0</v>
      </c>
      <c r="W599" s="6">
        <v>0</v>
      </c>
      <c r="AI599" s="2">
        <v>437178</v>
      </c>
      <c r="AJ599" s="2">
        <v>34211</v>
      </c>
      <c r="AK599" s="2">
        <v>19516.88</v>
      </c>
      <c r="AL599" s="2">
        <v>1527.28</v>
      </c>
      <c r="AM599" s="5">
        <v>4208.83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28283.35</v>
      </c>
      <c r="AT599" s="12">
        <v>25252.989999999998</v>
      </c>
      <c r="AU599" s="2">
        <v>0</v>
      </c>
      <c r="AV599" s="5">
        <v>2356.9499999999998</v>
      </c>
      <c r="AX599" s="2">
        <v>437178</v>
      </c>
      <c r="AY599" s="2">
        <v>34211</v>
      </c>
      <c r="AZ599" s="2">
        <v>19516.88</v>
      </c>
      <c r="BA599" s="2">
        <v>1527.28</v>
      </c>
      <c r="BB599" s="5">
        <v>4208.83</v>
      </c>
      <c r="BC599" s="12">
        <v>0</v>
      </c>
      <c r="BD599" s="2">
        <v>0</v>
      </c>
      <c r="BE599" s="2">
        <v>0</v>
      </c>
      <c r="BF599" s="2">
        <v>0</v>
      </c>
      <c r="BG599" s="5">
        <v>0</v>
      </c>
      <c r="BH599" s="2">
        <v>28283.35</v>
      </c>
      <c r="BI599" s="12">
        <v>25252.989999999998</v>
      </c>
      <c r="BJ599" s="2">
        <v>0</v>
      </c>
      <c r="BK599" s="5">
        <v>2356.9499999999998</v>
      </c>
      <c r="BL599" s="1" t="s">
        <v>137</v>
      </c>
    </row>
    <row r="600" spans="1:64" x14ac:dyDescent="0.3">
      <c r="A600" t="s">
        <v>1280</v>
      </c>
      <c r="B600" s="1" t="s">
        <v>1280</v>
      </c>
      <c r="C600" s="9" t="s">
        <v>1281</v>
      </c>
      <c r="D600" s="1" t="s">
        <v>95</v>
      </c>
      <c r="E600" s="1" t="s">
        <v>88</v>
      </c>
      <c r="F600" s="10" t="s">
        <v>1170</v>
      </c>
      <c r="G600" s="1">
        <v>0</v>
      </c>
      <c r="H600" s="1">
        <v>0.05</v>
      </c>
      <c r="I600" s="8">
        <v>45135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0</v>
      </c>
      <c r="U600" s="6">
        <v>0</v>
      </c>
      <c r="V600" s="6">
        <v>0</v>
      </c>
      <c r="W600" s="6">
        <v>0</v>
      </c>
      <c r="AI600" s="2">
        <v>97936</v>
      </c>
      <c r="AJ600" s="2">
        <v>23500</v>
      </c>
      <c r="AK600" s="2">
        <v>4372.1400000000003</v>
      </c>
      <c r="AL600" s="2">
        <v>1049.1099999999999</v>
      </c>
      <c r="AM600" s="5">
        <v>1084.25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7286.16</v>
      </c>
      <c r="AT600" s="12">
        <v>6505.5</v>
      </c>
      <c r="AU600" s="2">
        <v>0</v>
      </c>
      <c r="AV600" s="5">
        <v>607.17999999999995</v>
      </c>
      <c r="AX600" s="2">
        <v>97936</v>
      </c>
      <c r="AY600" s="2">
        <v>23500</v>
      </c>
      <c r="AZ600" s="2">
        <v>4372.1400000000003</v>
      </c>
      <c r="BA600" s="2">
        <v>1049.1099999999999</v>
      </c>
      <c r="BB600" s="5">
        <v>1084.25</v>
      </c>
      <c r="BC600" s="12">
        <v>0</v>
      </c>
      <c r="BD600" s="2">
        <v>0</v>
      </c>
      <c r="BE600" s="2">
        <v>0</v>
      </c>
      <c r="BF600" s="2">
        <v>0</v>
      </c>
      <c r="BG600" s="5">
        <v>0</v>
      </c>
      <c r="BH600" s="2">
        <v>7286.16</v>
      </c>
      <c r="BI600" s="12">
        <v>6505.5</v>
      </c>
      <c r="BJ600" s="2">
        <v>0</v>
      </c>
      <c r="BK600" s="5">
        <v>607.17999999999995</v>
      </c>
      <c r="BL600" s="1" t="s">
        <v>90</v>
      </c>
    </row>
    <row r="601" spans="1:64" x14ac:dyDescent="0.3">
      <c r="A601" t="s">
        <v>1284</v>
      </c>
      <c r="B601" s="1" t="s">
        <v>1284</v>
      </c>
      <c r="C601" s="9" t="s">
        <v>1285</v>
      </c>
      <c r="D601" s="1" t="s">
        <v>95</v>
      </c>
      <c r="E601" s="1" t="s">
        <v>135</v>
      </c>
      <c r="F601" s="10" t="s">
        <v>348</v>
      </c>
      <c r="G601" s="1">
        <v>0</v>
      </c>
      <c r="H601" s="1">
        <v>0.05</v>
      </c>
      <c r="I601" s="8">
        <v>45107</v>
      </c>
      <c r="J601" s="6">
        <v>871394</v>
      </c>
      <c r="K601" s="6">
        <v>102127</v>
      </c>
      <c r="L601" s="6">
        <v>38901.519999999997</v>
      </c>
      <c r="M601" s="6">
        <v>4559.24</v>
      </c>
      <c r="N601" s="7">
        <v>8692.15</v>
      </c>
      <c r="O601" s="6">
        <v>-637058.10000000009</v>
      </c>
      <c r="P601" s="6">
        <v>-26201.399999999998</v>
      </c>
      <c r="Q601" s="6">
        <v>-28440.1</v>
      </c>
      <c r="R601" s="6">
        <v>-1169.71</v>
      </c>
      <c r="S601" s="7">
        <v>0</v>
      </c>
      <c r="T601" s="11">
        <v>25248.270000000004</v>
      </c>
      <c r="U601" s="6">
        <v>22543.1</v>
      </c>
      <c r="V601" s="6">
        <v>0</v>
      </c>
      <c r="W601" s="6">
        <v>1551.3099999999995</v>
      </c>
      <c r="AI601" s="2">
        <v>871394</v>
      </c>
      <c r="AJ601" s="2">
        <v>102127</v>
      </c>
      <c r="AK601" s="2">
        <v>38901.519999999997</v>
      </c>
      <c r="AL601" s="2">
        <v>4559.24</v>
      </c>
      <c r="AM601" s="5">
        <v>8692.15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58411.26</v>
      </c>
      <c r="AT601" s="12">
        <v>52152.909999999996</v>
      </c>
      <c r="AU601" s="2">
        <v>0</v>
      </c>
      <c r="AV601" s="5">
        <v>4867.6099999999997</v>
      </c>
      <c r="AX601" s="2">
        <v>0</v>
      </c>
      <c r="AY601" s="2">
        <v>0</v>
      </c>
      <c r="AZ601" s="2">
        <v>0</v>
      </c>
      <c r="BA601" s="2">
        <v>0</v>
      </c>
      <c r="BB601" s="5">
        <v>0</v>
      </c>
      <c r="BC601" s="12">
        <v>637058.10000000009</v>
      </c>
      <c r="BD601" s="2">
        <v>26201.399999999998</v>
      </c>
      <c r="BE601" s="2">
        <v>28440.1</v>
      </c>
      <c r="BF601" s="2">
        <v>1169.71</v>
      </c>
      <c r="BG601" s="5">
        <v>0</v>
      </c>
      <c r="BH601" s="2">
        <v>33162.99</v>
      </c>
      <c r="BI601" s="12">
        <v>29609.809999999998</v>
      </c>
      <c r="BJ601" s="2">
        <v>0</v>
      </c>
      <c r="BK601" s="5">
        <v>3316.3</v>
      </c>
      <c r="BL601" s="1" t="s">
        <v>137</v>
      </c>
    </row>
    <row r="602" spans="1:64" x14ac:dyDescent="0.3">
      <c r="A602" t="s">
        <v>1286</v>
      </c>
      <c r="B602" s="1" t="s">
        <v>1286</v>
      </c>
      <c r="C602" s="9" t="s">
        <v>1287</v>
      </c>
      <c r="D602" s="1" t="s">
        <v>95</v>
      </c>
      <c r="E602" s="1" t="s">
        <v>135</v>
      </c>
      <c r="F602" s="10" t="s">
        <v>435</v>
      </c>
      <c r="G602" s="1">
        <v>0</v>
      </c>
      <c r="H602" s="1">
        <v>0.05</v>
      </c>
      <c r="I602" s="8">
        <v>45122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0</v>
      </c>
      <c r="U602" s="6">
        <v>0</v>
      </c>
      <c r="V602" s="6">
        <v>0</v>
      </c>
      <c r="W602" s="6">
        <v>0</v>
      </c>
      <c r="AI602" s="2">
        <v>407904</v>
      </c>
      <c r="AJ602" s="2">
        <v>46319</v>
      </c>
      <c r="AK602" s="2">
        <v>18210</v>
      </c>
      <c r="AL602" s="2">
        <v>2067.81</v>
      </c>
      <c r="AM602" s="5">
        <v>4055.56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27253.37</v>
      </c>
      <c r="AT602" s="12">
        <v>24333.370000000003</v>
      </c>
      <c r="AU602" s="2">
        <v>0</v>
      </c>
      <c r="AV602" s="5">
        <v>2271.12</v>
      </c>
      <c r="AX602" s="2">
        <v>407904</v>
      </c>
      <c r="AY602" s="2">
        <v>46319</v>
      </c>
      <c r="AZ602" s="2">
        <v>18210</v>
      </c>
      <c r="BA602" s="2">
        <v>2067.81</v>
      </c>
      <c r="BB602" s="5">
        <v>4055.56</v>
      </c>
      <c r="BC602" s="12">
        <v>0</v>
      </c>
      <c r="BD602" s="2">
        <v>0</v>
      </c>
      <c r="BE602" s="2">
        <v>0</v>
      </c>
      <c r="BF602" s="2">
        <v>0</v>
      </c>
      <c r="BG602" s="5">
        <v>0</v>
      </c>
      <c r="BH602" s="2">
        <v>27253.37</v>
      </c>
      <c r="BI602" s="12">
        <v>24333.370000000003</v>
      </c>
      <c r="BJ602" s="2">
        <v>0</v>
      </c>
      <c r="BK602" s="5">
        <v>2271.12</v>
      </c>
      <c r="BL602" s="1" t="s">
        <v>137</v>
      </c>
    </row>
    <row r="603" spans="1:64" x14ac:dyDescent="0.3">
      <c r="A603" t="s">
        <v>1288</v>
      </c>
      <c r="B603" s="1" t="s">
        <v>1289</v>
      </c>
      <c r="C603" s="9" t="s">
        <v>1290</v>
      </c>
      <c r="D603" s="1" t="s">
        <v>95</v>
      </c>
      <c r="E603" s="1" t="s">
        <v>128</v>
      </c>
      <c r="F603" s="10" t="s">
        <v>401</v>
      </c>
      <c r="G603" s="1">
        <v>3.5000000000000003E-2</v>
      </c>
      <c r="H603" s="1">
        <v>0.05</v>
      </c>
      <c r="I603" s="8">
        <v>45664</v>
      </c>
      <c r="J603" s="6">
        <v>0</v>
      </c>
      <c r="K603" s="6">
        <v>0</v>
      </c>
      <c r="L603" s="6">
        <v>0</v>
      </c>
      <c r="M603" s="6">
        <v>0</v>
      </c>
      <c r="N603" s="7">
        <v>0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0</v>
      </c>
      <c r="U603" s="6">
        <v>0</v>
      </c>
      <c r="V603" s="6">
        <v>0</v>
      </c>
      <c r="W603" s="6">
        <v>0</v>
      </c>
      <c r="AI603" s="2">
        <v>515092</v>
      </c>
      <c r="AJ603" s="2">
        <v>30795</v>
      </c>
      <c r="AK603" s="2">
        <v>22995.18</v>
      </c>
      <c r="AL603" s="2">
        <v>1374.78</v>
      </c>
      <c r="AM603" s="5">
        <v>4873.99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32753.22</v>
      </c>
      <c r="AT603" s="12">
        <v>29243.949999999997</v>
      </c>
      <c r="AU603" s="2">
        <v>0</v>
      </c>
      <c r="AV603" s="5">
        <v>2729.44</v>
      </c>
      <c r="AX603" s="2">
        <v>515092</v>
      </c>
      <c r="AY603" s="2">
        <v>30795</v>
      </c>
      <c r="AZ603" s="2">
        <v>22995.18</v>
      </c>
      <c r="BA603" s="2">
        <v>1374.78</v>
      </c>
      <c r="BB603" s="5">
        <v>4873.99</v>
      </c>
      <c r="BC603" s="12">
        <v>0</v>
      </c>
      <c r="BD603" s="2">
        <v>0</v>
      </c>
      <c r="BE603" s="2">
        <v>0</v>
      </c>
      <c r="BF603" s="2">
        <v>0</v>
      </c>
      <c r="BG603" s="5">
        <v>0</v>
      </c>
      <c r="BH603" s="2">
        <v>32753.22</v>
      </c>
      <c r="BI603" s="12">
        <v>29243.949999999997</v>
      </c>
      <c r="BJ603" s="2">
        <v>0</v>
      </c>
      <c r="BK603" s="5">
        <v>2729.44</v>
      </c>
      <c r="BL603" s="1" t="s">
        <v>326</v>
      </c>
    </row>
    <row r="604" spans="1:64" x14ac:dyDescent="0.3">
      <c r="A604" t="s">
        <v>1288</v>
      </c>
      <c r="B604" s="1" t="s">
        <v>1291</v>
      </c>
      <c r="C604" s="9" t="s">
        <v>1292</v>
      </c>
      <c r="D604" s="1" t="s">
        <v>95</v>
      </c>
      <c r="E604" s="1" t="s">
        <v>128</v>
      </c>
      <c r="F604" s="10" t="s">
        <v>401</v>
      </c>
      <c r="G604" s="1">
        <v>3.5000000000000003E-2</v>
      </c>
      <c r="H604" s="1">
        <v>0.05</v>
      </c>
      <c r="I604" s="8">
        <v>45664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11">
        <v>0</v>
      </c>
      <c r="U604" s="6">
        <v>0</v>
      </c>
      <c r="V604" s="6">
        <v>0</v>
      </c>
      <c r="W604" s="6">
        <v>0</v>
      </c>
      <c r="AI604" s="2">
        <v>789627</v>
      </c>
      <c r="AJ604" s="2">
        <v>44745</v>
      </c>
      <c r="AK604" s="2">
        <v>35251.21</v>
      </c>
      <c r="AL604" s="2">
        <v>1997.54</v>
      </c>
      <c r="AM604" s="5">
        <v>7449.75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50062.32</v>
      </c>
      <c r="AT604" s="12">
        <v>44698.5</v>
      </c>
      <c r="AU604" s="2">
        <v>0</v>
      </c>
      <c r="AV604" s="5">
        <v>4171.8599999999997</v>
      </c>
      <c r="AX604" s="2">
        <v>789627</v>
      </c>
      <c r="AY604" s="2">
        <v>44745</v>
      </c>
      <c r="AZ604" s="2">
        <v>35251.21</v>
      </c>
      <c r="BA604" s="2">
        <v>1997.54</v>
      </c>
      <c r="BB604" s="5">
        <v>7449.75</v>
      </c>
      <c r="BC604" s="12">
        <v>0</v>
      </c>
      <c r="BD604" s="2">
        <v>0</v>
      </c>
      <c r="BE604" s="2">
        <v>0</v>
      </c>
      <c r="BF604" s="2">
        <v>0</v>
      </c>
      <c r="BG604" s="5">
        <v>0</v>
      </c>
      <c r="BH604" s="2">
        <v>50062.32</v>
      </c>
      <c r="BI604" s="12">
        <v>44698.5</v>
      </c>
      <c r="BJ604" s="2">
        <v>0</v>
      </c>
      <c r="BK604" s="5">
        <v>4171.8599999999997</v>
      </c>
      <c r="BL604" s="1" t="s">
        <v>326</v>
      </c>
    </row>
    <row r="605" spans="1:64" x14ac:dyDescent="0.3">
      <c r="A605" t="s">
        <v>1288</v>
      </c>
      <c r="B605" s="1" t="s">
        <v>1288</v>
      </c>
      <c r="C605" s="9" t="s">
        <v>1293</v>
      </c>
      <c r="D605" s="1" t="s">
        <v>95</v>
      </c>
      <c r="E605" s="1" t="s">
        <v>128</v>
      </c>
      <c r="F605" s="10" t="s">
        <v>401</v>
      </c>
      <c r="G605" s="1">
        <v>0</v>
      </c>
      <c r="H605" s="1">
        <v>0.05</v>
      </c>
      <c r="I605" s="8">
        <v>45160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0</v>
      </c>
      <c r="U605" s="6">
        <v>0</v>
      </c>
      <c r="V605" s="6">
        <v>0</v>
      </c>
      <c r="W605" s="6">
        <v>0</v>
      </c>
      <c r="AI605" s="2">
        <v>162876</v>
      </c>
      <c r="AJ605" s="2">
        <v>9240</v>
      </c>
      <c r="AK605" s="2">
        <v>7271.25</v>
      </c>
      <c r="AL605" s="2">
        <v>412.5</v>
      </c>
      <c r="AM605" s="5">
        <v>1536.75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10326.959999999999</v>
      </c>
      <c r="AT605" s="12">
        <v>9220.5</v>
      </c>
      <c r="AU605" s="2">
        <v>0</v>
      </c>
      <c r="AV605" s="5">
        <v>860.58</v>
      </c>
      <c r="AX605" s="2">
        <v>162876</v>
      </c>
      <c r="AY605" s="2">
        <v>9240</v>
      </c>
      <c r="AZ605" s="2">
        <v>7271.25</v>
      </c>
      <c r="BA605" s="2">
        <v>412.5</v>
      </c>
      <c r="BB605" s="5">
        <v>1536.75</v>
      </c>
      <c r="BC605" s="12">
        <v>0</v>
      </c>
      <c r="BD605" s="2">
        <v>0</v>
      </c>
      <c r="BE605" s="2">
        <v>0</v>
      </c>
      <c r="BF605" s="2">
        <v>0</v>
      </c>
      <c r="BG605" s="5">
        <v>0</v>
      </c>
      <c r="BH605" s="2">
        <v>10326.959999999999</v>
      </c>
      <c r="BI605" s="12">
        <v>9220.5</v>
      </c>
      <c r="BJ605" s="2">
        <v>0</v>
      </c>
      <c r="BK605" s="5">
        <v>860.58</v>
      </c>
      <c r="BL605" s="1" t="s">
        <v>326</v>
      </c>
    </row>
    <row r="606" spans="1:64" x14ac:dyDescent="0.3">
      <c r="A606" t="s">
        <v>1288</v>
      </c>
      <c r="B606" s="1" t="s">
        <v>1294</v>
      </c>
      <c r="C606" s="9" t="s">
        <v>1295</v>
      </c>
      <c r="D606" s="1" t="s">
        <v>95</v>
      </c>
      <c r="E606" s="1" t="s">
        <v>128</v>
      </c>
      <c r="F606" s="10" t="s">
        <v>401</v>
      </c>
      <c r="G606" s="1">
        <v>0</v>
      </c>
      <c r="H606" s="1">
        <v>0.05</v>
      </c>
      <c r="I606" s="8">
        <v>44306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0</v>
      </c>
      <c r="U606" s="6">
        <v>0</v>
      </c>
      <c r="V606" s="6">
        <v>0</v>
      </c>
      <c r="W606" s="6">
        <v>0</v>
      </c>
      <c r="AI606" s="2">
        <v>369521</v>
      </c>
      <c r="AJ606" s="2">
        <v>8696</v>
      </c>
      <c r="AK606" s="2">
        <v>16496.47</v>
      </c>
      <c r="AL606" s="2">
        <v>388.21</v>
      </c>
      <c r="AM606" s="5">
        <v>3376.94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22693.01</v>
      </c>
      <c r="AT606" s="12">
        <v>20261.62</v>
      </c>
      <c r="AU606" s="2">
        <v>0</v>
      </c>
      <c r="AV606" s="5">
        <v>1891.08</v>
      </c>
      <c r="AX606" s="2">
        <v>369521</v>
      </c>
      <c r="AY606" s="2">
        <v>8696</v>
      </c>
      <c r="AZ606" s="2">
        <v>16496.47</v>
      </c>
      <c r="BA606" s="2">
        <v>388.21</v>
      </c>
      <c r="BB606" s="5">
        <v>3376.94</v>
      </c>
      <c r="BC606" s="12">
        <v>0</v>
      </c>
      <c r="BD606" s="2">
        <v>0</v>
      </c>
      <c r="BE606" s="2">
        <v>0</v>
      </c>
      <c r="BF606" s="2">
        <v>0</v>
      </c>
      <c r="BG606" s="5">
        <v>0</v>
      </c>
      <c r="BH606" s="2">
        <v>22693.01</v>
      </c>
      <c r="BI606" s="12">
        <v>20261.62</v>
      </c>
      <c r="BJ606" s="2">
        <v>0</v>
      </c>
      <c r="BK606" s="5">
        <v>1891.08</v>
      </c>
      <c r="BL606" s="1" t="s">
        <v>326</v>
      </c>
    </row>
    <row r="607" spans="1:64" x14ac:dyDescent="0.3">
      <c r="A607" t="s">
        <v>1304</v>
      </c>
      <c r="B607" s="1" t="s">
        <v>1304</v>
      </c>
      <c r="C607" s="9" t="s">
        <v>1305</v>
      </c>
      <c r="D607" s="1" t="s">
        <v>95</v>
      </c>
      <c r="E607" s="1" t="s">
        <v>88</v>
      </c>
      <c r="F607" s="10" t="s">
        <v>1170</v>
      </c>
      <c r="G607" s="1">
        <v>0</v>
      </c>
      <c r="H607" s="1">
        <v>0.05</v>
      </c>
      <c r="I607" s="8">
        <v>45316</v>
      </c>
      <c r="J607" s="6">
        <v>0</v>
      </c>
      <c r="K607" s="6">
        <v>0</v>
      </c>
      <c r="L607" s="6">
        <v>0</v>
      </c>
      <c r="M607" s="6">
        <v>0</v>
      </c>
      <c r="N607" s="7">
        <v>0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0</v>
      </c>
      <c r="U607" s="6">
        <v>0</v>
      </c>
      <c r="V607" s="6">
        <v>0</v>
      </c>
      <c r="W607" s="6">
        <v>0</v>
      </c>
      <c r="AI607" s="2">
        <v>321992</v>
      </c>
      <c r="AJ607" s="2">
        <v>41865</v>
      </c>
      <c r="AK607" s="2">
        <v>14374.64</v>
      </c>
      <c r="AL607" s="2">
        <v>1868.97</v>
      </c>
      <c r="AM607" s="5">
        <v>3248.72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21831.41</v>
      </c>
      <c r="AT607" s="12">
        <v>19492.329999999998</v>
      </c>
      <c r="AU607" s="2">
        <v>0</v>
      </c>
      <c r="AV607" s="5">
        <v>1819.28</v>
      </c>
      <c r="AX607" s="2">
        <v>321992</v>
      </c>
      <c r="AY607" s="2">
        <v>41865</v>
      </c>
      <c r="AZ607" s="2">
        <v>14374.64</v>
      </c>
      <c r="BA607" s="2">
        <v>1868.97</v>
      </c>
      <c r="BB607" s="5">
        <v>3248.72</v>
      </c>
      <c r="BC607" s="12">
        <v>0</v>
      </c>
      <c r="BD607" s="2">
        <v>0</v>
      </c>
      <c r="BE607" s="2">
        <v>0</v>
      </c>
      <c r="BF607" s="2">
        <v>0</v>
      </c>
      <c r="BG607" s="5">
        <v>0</v>
      </c>
      <c r="BH607" s="2">
        <v>21831.41</v>
      </c>
      <c r="BI607" s="12">
        <v>19492.329999999998</v>
      </c>
      <c r="BJ607" s="2">
        <v>0</v>
      </c>
      <c r="BK607" s="5">
        <v>1819.28</v>
      </c>
      <c r="BL607" s="1" t="s">
        <v>90</v>
      </c>
    </row>
    <row r="608" spans="1:64" x14ac:dyDescent="0.3">
      <c r="A608" t="s">
        <v>1306</v>
      </c>
      <c r="B608" s="1" t="s">
        <v>1306</v>
      </c>
      <c r="C608" s="9" t="s">
        <v>1307</v>
      </c>
      <c r="D608" s="1" t="s">
        <v>95</v>
      </c>
      <c r="E608" s="1" t="s">
        <v>128</v>
      </c>
      <c r="F608" s="10" t="s">
        <v>129</v>
      </c>
      <c r="G608" s="1">
        <v>0</v>
      </c>
      <c r="H608" s="1">
        <v>0.05</v>
      </c>
      <c r="I608" s="8">
        <v>45199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0</v>
      </c>
      <c r="U608" s="6">
        <v>0</v>
      </c>
      <c r="V608" s="6">
        <v>0</v>
      </c>
      <c r="W608" s="6">
        <v>0</v>
      </c>
      <c r="AI608" s="2">
        <v>174100</v>
      </c>
      <c r="AJ608" s="2">
        <v>53874</v>
      </c>
      <c r="AK608" s="2">
        <v>7772.32</v>
      </c>
      <c r="AL608" s="2">
        <v>2405.09</v>
      </c>
      <c r="AM608" s="5">
        <v>2035.48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13678.44</v>
      </c>
      <c r="AT608" s="12">
        <v>12212.89</v>
      </c>
      <c r="AU608" s="2">
        <v>0</v>
      </c>
      <c r="AV608" s="5">
        <v>1139.8699999999999</v>
      </c>
      <c r="AX608" s="2">
        <v>174100</v>
      </c>
      <c r="AY608" s="2">
        <v>53874</v>
      </c>
      <c r="AZ608" s="2">
        <v>7772.32</v>
      </c>
      <c r="BA608" s="2">
        <v>2405.09</v>
      </c>
      <c r="BB608" s="5">
        <v>2035.48</v>
      </c>
      <c r="BC608" s="12">
        <v>0</v>
      </c>
      <c r="BD608" s="2">
        <v>0</v>
      </c>
      <c r="BE608" s="2">
        <v>0</v>
      </c>
      <c r="BF608" s="2">
        <v>0</v>
      </c>
      <c r="BG608" s="5">
        <v>0</v>
      </c>
      <c r="BH608" s="2">
        <v>13678.44</v>
      </c>
      <c r="BI608" s="12">
        <v>12212.89</v>
      </c>
      <c r="BJ608" s="2">
        <v>0</v>
      </c>
      <c r="BK608" s="5">
        <v>1139.8699999999999</v>
      </c>
      <c r="BL608" s="1" t="s">
        <v>130</v>
      </c>
    </row>
    <row r="609" spans="1:64" x14ac:dyDescent="0.3">
      <c r="A609" t="s">
        <v>1318</v>
      </c>
      <c r="B609" s="1" t="s">
        <v>1318</v>
      </c>
      <c r="C609" s="9" t="s">
        <v>1319</v>
      </c>
      <c r="D609" s="1" t="s">
        <v>95</v>
      </c>
      <c r="E609" s="1" t="s">
        <v>88</v>
      </c>
      <c r="F609" s="10" t="s">
        <v>218</v>
      </c>
      <c r="G609" s="1">
        <v>0</v>
      </c>
      <c r="H609" s="1">
        <v>0.05</v>
      </c>
      <c r="I609" s="8">
        <v>45615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0</v>
      </c>
      <c r="U609" s="6">
        <v>0</v>
      </c>
      <c r="V609" s="6">
        <v>0</v>
      </c>
      <c r="W609" s="6">
        <v>0</v>
      </c>
      <c r="AI609" s="2">
        <v>481894</v>
      </c>
      <c r="AJ609" s="2">
        <v>32996</v>
      </c>
      <c r="AK609" s="2">
        <v>21513.119999999999</v>
      </c>
      <c r="AL609" s="2">
        <v>1473.04</v>
      </c>
      <c r="AM609" s="5">
        <v>4597.2299999999996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30893.4</v>
      </c>
      <c r="AT609" s="12">
        <v>27583.39</v>
      </c>
      <c r="AU609" s="2">
        <v>0</v>
      </c>
      <c r="AV609" s="5">
        <v>2574.4499999999998</v>
      </c>
      <c r="AX609" s="2">
        <v>481894</v>
      </c>
      <c r="AY609" s="2">
        <v>32996</v>
      </c>
      <c r="AZ609" s="2">
        <v>21513.119999999999</v>
      </c>
      <c r="BA609" s="2">
        <v>1473.04</v>
      </c>
      <c r="BB609" s="5">
        <v>4597.2299999999996</v>
      </c>
      <c r="BC609" s="12">
        <v>0</v>
      </c>
      <c r="BD609" s="2">
        <v>0</v>
      </c>
      <c r="BE609" s="2">
        <v>0</v>
      </c>
      <c r="BF609" s="2">
        <v>0</v>
      </c>
      <c r="BG609" s="5">
        <v>0</v>
      </c>
      <c r="BH609" s="2">
        <v>30893.4</v>
      </c>
      <c r="BI609" s="12">
        <v>27583.39</v>
      </c>
      <c r="BJ609" s="2">
        <v>0</v>
      </c>
      <c r="BK609" s="5">
        <v>2574.4499999999998</v>
      </c>
      <c r="BL609" s="1" t="s">
        <v>90</v>
      </c>
    </row>
    <row r="610" spans="1:64" x14ac:dyDescent="0.3">
      <c r="A610" t="s">
        <v>1320</v>
      </c>
      <c r="B610" s="1" t="s">
        <v>1320</v>
      </c>
      <c r="C610" s="9" t="s">
        <v>1321</v>
      </c>
      <c r="D610" s="1" t="s">
        <v>95</v>
      </c>
      <c r="E610" s="1" t="s">
        <v>88</v>
      </c>
      <c r="F610" s="10" t="s">
        <v>96</v>
      </c>
      <c r="G610" s="1">
        <v>0</v>
      </c>
      <c r="H610" s="1">
        <v>0.05</v>
      </c>
      <c r="I610" s="8">
        <v>45185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0</v>
      </c>
      <c r="U610" s="6">
        <v>0</v>
      </c>
      <c r="V610" s="6">
        <v>0</v>
      </c>
      <c r="W610" s="6">
        <v>0</v>
      </c>
      <c r="AI610" s="2">
        <v>294984</v>
      </c>
      <c r="AJ610" s="2">
        <v>112813</v>
      </c>
      <c r="AK610" s="2">
        <v>13168.93</v>
      </c>
      <c r="AL610" s="2">
        <v>5036.29</v>
      </c>
      <c r="AM610" s="5">
        <v>3641.04</v>
      </c>
      <c r="AN610" s="12">
        <v>0</v>
      </c>
      <c r="AO610" s="2">
        <v>0</v>
      </c>
      <c r="AP610" s="2">
        <v>0</v>
      </c>
      <c r="AQ610" s="2">
        <v>0</v>
      </c>
      <c r="AR610" s="5">
        <v>0</v>
      </c>
      <c r="AS610" s="2">
        <v>24467.81</v>
      </c>
      <c r="AT610" s="12">
        <v>21846.260000000002</v>
      </c>
      <c r="AU610" s="2">
        <v>0</v>
      </c>
      <c r="AV610" s="5">
        <v>2038.98</v>
      </c>
      <c r="AX610" s="2">
        <v>294984</v>
      </c>
      <c r="AY610" s="2">
        <v>112813</v>
      </c>
      <c r="AZ610" s="2">
        <v>13168.93</v>
      </c>
      <c r="BA610" s="2">
        <v>5036.29</v>
      </c>
      <c r="BB610" s="5">
        <v>3641.04</v>
      </c>
      <c r="BC610" s="12">
        <v>0</v>
      </c>
      <c r="BD610" s="2">
        <v>0</v>
      </c>
      <c r="BE610" s="2">
        <v>0</v>
      </c>
      <c r="BF610" s="2">
        <v>0</v>
      </c>
      <c r="BG610" s="5">
        <v>0</v>
      </c>
      <c r="BH610" s="2">
        <v>24467.81</v>
      </c>
      <c r="BI610" s="12">
        <v>21846.260000000002</v>
      </c>
      <c r="BJ610" s="2">
        <v>0</v>
      </c>
      <c r="BK610" s="5">
        <v>2038.98</v>
      </c>
      <c r="BL610" s="1" t="s">
        <v>90</v>
      </c>
    </row>
    <row r="611" spans="1:64" x14ac:dyDescent="0.3">
      <c r="A611" t="s">
        <v>1322</v>
      </c>
      <c r="B611" s="1" t="s">
        <v>1322</v>
      </c>
      <c r="C611" s="9" t="s">
        <v>1323</v>
      </c>
      <c r="D611" s="1" t="s">
        <v>95</v>
      </c>
      <c r="E611" s="1" t="s">
        <v>135</v>
      </c>
      <c r="F611" s="10" t="s">
        <v>435</v>
      </c>
      <c r="G611" s="1">
        <v>0</v>
      </c>
      <c r="H611" s="1">
        <v>0.05</v>
      </c>
      <c r="I611" s="8">
        <v>45184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0</v>
      </c>
      <c r="U611" s="6">
        <v>0</v>
      </c>
      <c r="V611" s="6">
        <v>0</v>
      </c>
      <c r="W611" s="6">
        <v>0</v>
      </c>
      <c r="AI611" s="2">
        <v>327107</v>
      </c>
      <c r="AJ611" s="2">
        <v>61625</v>
      </c>
      <c r="AK611" s="2">
        <v>14602.99</v>
      </c>
      <c r="AL611" s="2">
        <v>2751.12</v>
      </c>
      <c r="AM611" s="5">
        <v>3470.82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23323.919999999998</v>
      </c>
      <c r="AT611" s="12">
        <v>20824.93</v>
      </c>
      <c r="AU611" s="2">
        <v>0</v>
      </c>
      <c r="AV611" s="5">
        <v>1943.66</v>
      </c>
      <c r="AX611" s="2">
        <v>327107</v>
      </c>
      <c r="AY611" s="2">
        <v>61625</v>
      </c>
      <c r="AZ611" s="2">
        <v>14602.99</v>
      </c>
      <c r="BA611" s="2">
        <v>2751.12</v>
      </c>
      <c r="BB611" s="5">
        <v>3470.82</v>
      </c>
      <c r="BC611" s="12">
        <v>0</v>
      </c>
      <c r="BD611" s="2">
        <v>0</v>
      </c>
      <c r="BE611" s="2">
        <v>0</v>
      </c>
      <c r="BF611" s="2">
        <v>0</v>
      </c>
      <c r="BG611" s="5">
        <v>0</v>
      </c>
      <c r="BH611" s="2">
        <v>23323.919999999998</v>
      </c>
      <c r="BI611" s="12">
        <v>20824.93</v>
      </c>
      <c r="BJ611" s="2">
        <v>0</v>
      </c>
      <c r="BK611" s="5">
        <v>1943.66</v>
      </c>
      <c r="BL611" s="1" t="s">
        <v>137</v>
      </c>
    </row>
    <row r="612" spans="1:64" x14ac:dyDescent="0.3">
      <c r="A612" t="s">
        <v>1322</v>
      </c>
      <c r="B612" s="1" t="s">
        <v>1324</v>
      </c>
      <c r="C612" s="9" t="s">
        <v>1325</v>
      </c>
      <c r="D612" s="1" t="s">
        <v>95</v>
      </c>
      <c r="E612" s="1" t="s">
        <v>135</v>
      </c>
      <c r="F612" s="10" t="s">
        <v>435</v>
      </c>
      <c r="G612" s="1">
        <v>0</v>
      </c>
      <c r="H612" s="1">
        <v>0.05</v>
      </c>
      <c r="I612" s="8">
        <v>45367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0</v>
      </c>
      <c r="U612" s="6">
        <v>0</v>
      </c>
      <c r="V612" s="6">
        <v>0</v>
      </c>
      <c r="W612" s="6">
        <v>0</v>
      </c>
      <c r="AI612" s="2">
        <v>172334</v>
      </c>
      <c r="AJ612" s="2">
        <v>8585</v>
      </c>
      <c r="AK612" s="2">
        <v>7693.48</v>
      </c>
      <c r="AL612" s="2">
        <v>383.26</v>
      </c>
      <c r="AM612" s="5">
        <v>1615.35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10855.14</v>
      </c>
      <c r="AT612" s="12">
        <v>9692.09</v>
      </c>
      <c r="AU612" s="2">
        <v>0</v>
      </c>
      <c r="AV612" s="5">
        <v>904.6</v>
      </c>
      <c r="AX612" s="2">
        <v>172334</v>
      </c>
      <c r="AY612" s="2">
        <v>8585</v>
      </c>
      <c r="AZ612" s="2">
        <v>7693.48</v>
      </c>
      <c r="BA612" s="2">
        <v>383.26</v>
      </c>
      <c r="BB612" s="5">
        <v>1615.35</v>
      </c>
      <c r="BC612" s="12">
        <v>0</v>
      </c>
      <c r="BD612" s="2">
        <v>0</v>
      </c>
      <c r="BE612" s="2">
        <v>0</v>
      </c>
      <c r="BF612" s="2">
        <v>0</v>
      </c>
      <c r="BG612" s="5">
        <v>0</v>
      </c>
      <c r="BH612" s="2">
        <v>10855.14</v>
      </c>
      <c r="BI612" s="12">
        <v>9692.09</v>
      </c>
      <c r="BJ612" s="2">
        <v>0</v>
      </c>
      <c r="BK612" s="5">
        <v>904.6</v>
      </c>
      <c r="BL612" s="1" t="s">
        <v>436</v>
      </c>
    </row>
    <row r="613" spans="1:64" x14ac:dyDescent="0.3">
      <c r="A613" t="s">
        <v>1344</v>
      </c>
      <c r="B613" s="1" t="s">
        <v>1344</v>
      </c>
      <c r="C613" s="9" t="s">
        <v>1345</v>
      </c>
      <c r="D613" s="1" t="s">
        <v>95</v>
      </c>
      <c r="E613" s="1" t="s">
        <v>88</v>
      </c>
      <c r="F613" s="10" t="s">
        <v>1170</v>
      </c>
      <c r="G613" s="1">
        <v>0</v>
      </c>
      <c r="H613" s="1">
        <v>0.05</v>
      </c>
      <c r="I613" s="8">
        <v>45280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0</v>
      </c>
      <c r="U613" s="6">
        <v>0</v>
      </c>
      <c r="V613" s="6">
        <v>0</v>
      </c>
      <c r="W613" s="6">
        <v>0</v>
      </c>
      <c r="AI613" s="2">
        <v>45644</v>
      </c>
      <c r="AJ613" s="2">
        <v>15832</v>
      </c>
      <c r="AK613" s="2">
        <v>2037.68</v>
      </c>
      <c r="AL613" s="2">
        <v>706.79</v>
      </c>
      <c r="AM613" s="5">
        <v>548.89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3688.56</v>
      </c>
      <c r="AT613" s="12">
        <v>3293.36</v>
      </c>
      <c r="AU613" s="2">
        <v>0</v>
      </c>
      <c r="AV613" s="5">
        <v>307.38</v>
      </c>
      <c r="AX613" s="2">
        <v>45644</v>
      </c>
      <c r="AY613" s="2">
        <v>15832</v>
      </c>
      <c r="AZ613" s="2">
        <v>2037.68</v>
      </c>
      <c r="BA613" s="2">
        <v>706.79</v>
      </c>
      <c r="BB613" s="5">
        <v>548.89</v>
      </c>
      <c r="BC613" s="12">
        <v>0</v>
      </c>
      <c r="BD613" s="2">
        <v>0</v>
      </c>
      <c r="BE613" s="2">
        <v>0</v>
      </c>
      <c r="BF613" s="2">
        <v>0</v>
      </c>
      <c r="BG613" s="5">
        <v>0</v>
      </c>
      <c r="BH613" s="2">
        <v>3688.56</v>
      </c>
      <c r="BI613" s="12">
        <v>3293.36</v>
      </c>
      <c r="BJ613" s="2">
        <v>0</v>
      </c>
      <c r="BK613" s="5">
        <v>307.38</v>
      </c>
      <c r="BL613" s="1" t="s">
        <v>90</v>
      </c>
    </row>
    <row r="614" spans="1:64" x14ac:dyDescent="0.3">
      <c r="A614" t="s">
        <v>1346</v>
      </c>
      <c r="B614" s="1" t="s">
        <v>1346</v>
      </c>
      <c r="C614" s="9" t="s">
        <v>1347</v>
      </c>
      <c r="D614" s="1" t="s">
        <v>95</v>
      </c>
      <c r="E614" s="1" t="s">
        <v>88</v>
      </c>
      <c r="F614" s="10" t="s">
        <v>1348</v>
      </c>
      <c r="G614" s="1">
        <v>0</v>
      </c>
      <c r="H614" s="1">
        <v>0.05</v>
      </c>
      <c r="I614" s="8">
        <v>45270</v>
      </c>
      <c r="J614" s="6">
        <v>0</v>
      </c>
      <c r="K614" s="6">
        <v>0</v>
      </c>
      <c r="L614" s="6">
        <v>0</v>
      </c>
      <c r="M614" s="6">
        <v>0</v>
      </c>
      <c r="N614" s="7">
        <v>0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0</v>
      </c>
      <c r="U614" s="6">
        <v>0</v>
      </c>
      <c r="V614" s="6">
        <v>0</v>
      </c>
      <c r="W614" s="6">
        <v>0</v>
      </c>
      <c r="AI614" s="2">
        <v>158704</v>
      </c>
      <c r="AJ614" s="2">
        <v>35464</v>
      </c>
      <c r="AK614" s="2">
        <v>7085</v>
      </c>
      <c r="AL614" s="2">
        <v>1583.21</v>
      </c>
      <c r="AM614" s="5">
        <v>1733.64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11650.07</v>
      </c>
      <c r="AT614" s="12">
        <v>10401.849999999999</v>
      </c>
      <c r="AU614" s="2">
        <v>0</v>
      </c>
      <c r="AV614" s="5">
        <v>970.84</v>
      </c>
      <c r="AX614" s="2">
        <v>158704</v>
      </c>
      <c r="AY614" s="2">
        <v>35464</v>
      </c>
      <c r="AZ614" s="2">
        <v>7085</v>
      </c>
      <c r="BA614" s="2">
        <v>1583.21</v>
      </c>
      <c r="BB614" s="5">
        <v>1733.64</v>
      </c>
      <c r="BC614" s="12">
        <v>0</v>
      </c>
      <c r="BD614" s="2">
        <v>0</v>
      </c>
      <c r="BE614" s="2">
        <v>0</v>
      </c>
      <c r="BF614" s="2">
        <v>0</v>
      </c>
      <c r="BG614" s="5">
        <v>0</v>
      </c>
      <c r="BH614" s="2">
        <v>11650.07</v>
      </c>
      <c r="BI614" s="12">
        <v>10401.849999999999</v>
      </c>
      <c r="BJ614" s="2">
        <v>0</v>
      </c>
      <c r="BK614" s="5">
        <v>970.84</v>
      </c>
      <c r="BL614" s="1" t="s">
        <v>90</v>
      </c>
    </row>
    <row r="615" spans="1:64" x14ac:dyDescent="0.3">
      <c r="A615" t="s">
        <v>1349</v>
      </c>
      <c r="B615" s="1" t="s">
        <v>1349</v>
      </c>
      <c r="C615" s="9" t="s">
        <v>1350</v>
      </c>
      <c r="D615" s="1" t="s">
        <v>95</v>
      </c>
      <c r="E615" s="1" t="s">
        <v>135</v>
      </c>
      <c r="F615" s="10" t="s">
        <v>435</v>
      </c>
      <c r="G615" s="1">
        <v>0</v>
      </c>
      <c r="H615" s="1">
        <v>0.05</v>
      </c>
      <c r="I615" s="8">
        <v>45270</v>
      </c>
      <c r="J615" s="6">
        <v>355194</v>
      </c>
      <c r="K615" s="6">
        <v>98502</v>
      </c>
      <c r="L615" s="6">
        <v>15856.88</v>
      </c>
      <c r="M615" s="6">
        <v>4397.41</v>
      </c>
      <c r="N615" s="7">
        <v>4050.86</v>
      </c>
      <c r="O615" s="6">
        <v>-400403.10000000003</v>
      </c>
      <c r="P615" s="6">
        <v>-16609.5</v>
      </c>
      <c r="Q615" s="6">
        <v>-17875.14</v>
      </c>
      <c r="R615" s="6">
        <v>-741.5</v>
      </c>
      <c r="S615" s="7">
        <v>0</v>
      </c>
      <c r="T615" s="11">
        <v>6371.130000000001</v>
      </c>
      <c r="U615" s="6">
        <v>5688.510000000002</v>
      </c>
      <c r="V615" s="6">
        <v>0</v>
      </c>
      <c r="W615" s="6">
        <v>183.42000000000007</v>
      </c>
      <c r="AI615" s="2">
        <v>355194</v>
      </c>
      <c r="AJ615" s="2">
        <v>98502</v>
      </c>
      <c r="AK615" s="2">
        <v>15856.88</v>
      </c>
      <c r="AL615" s="2">
        <v>4397.41</v>
      </c>
      <c r="AM615" s="5">
        <v>4050.86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27221.77</v>
      </c>
      <c r="AT615" s="12">
        <v>24305.15</v>
      </c>
      <c r="AU615" s="2">
        <v>0</v>
      </c>
      <c r="AV615" s="5">
        <v>2268.48</v>
      </c>
      <c r="AX615" s="2">
        <v>0</v>
      </c>
      <c r="AY615" s="2">
        <v>0</v>
      </c>
      <c r="AZ615" s="2">
        <v>0</v>
      </c>
      <c r="BA615" s="2">
        <v>0</v>
      </c>
      <c r="BB615" s="5">
        <v>0</v>
      </c>
      <c r="BC615" s="12">
        <v>400403.10000000003</v>
      </c>
      <c r="BD615" s="2">
        <v>16609.5</v>
      </c>
      <c r="BE615" s="2">
        <v>17875.14</v>
      </c>
      <c r="BF615" s="2">
        <v>741.5</v>
      </c>
      <c r="BG615" s="5">
        <v>0</v>
      </c>
      <c r="BH615" s="2">
        <v>20850.64</v>
      </c>
      <c r="BI615" s="12">
        <v>18616.64</v>
      </c>
      <c r="BJ615" s="2">
        <v>0</v>
      </c>
      <c r="BK615" s="5">
        <v>2085.06</v>
      </c>
      <c r="BL615" s="1" t="s">
        <v>137</v>
      </c>
    </row>
    <row r="616" spans="1:64" x14ac:dyDescent="0.3">
      <c r="A616" t="s">
        <v>1355</v>
      </c>
      <c r="B616" s="1" t="s">
        <v>1355</v>
      </c>
      <c r="C616" s="9" t="s">
        <v>1356</v>
      </c>
      <c r="D616" s="1" t="s">
        <v>95</v>
      </c>
      <c r="E616" s="1" t="s">
        <v>88</v>
      </c>
      <c r="F616" s="10" t="s">
        <v>96</v>
      </c>
      <c r="G616" s="1">
        <v>0</v>
      </c>
      <c r="H616" s="1">
        <v>0.05</v>
      </c>
      <c r="I616" s="8">
        <v>45390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0</v>
      </c>
      <c r="U616" s="6">
        <v>0</v>
      </c>
      <c r="V616" s="6">
        <v>0</v>
      </c>
      <c r="W616" s="6">
        <v>0</v>
      </c>
      <c r="AI616" s="2">
        <v>473014.25</v>
      </c>
      <c r="AJ616" s="2">
        <v>67876</v>
      </c>
      <c r="AK616" s="2">
        <v>21116.71</v>
      </c>
      <c r="AL616" s="2">
        <v>3030.18</v>
      </c>
      <c r="AM616" s="5">
        <v>4829.37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32453.41</v>
      </c>
      <c r="AT616" s="12">
        <v>28976.26</v>
      </c>
      <c r="AU616" s="2">
        <v>0</v>
      </c>
      <c r="AV616" s="5">
        <v>2704.45</v>
      </c>
      <c r="AX616" s="2">
        <v>473014.25</v>
      </c>
      <c r="AY616" s="2">
        <v>67876</v>
      </c>
      <c r="AZ616" s="2">
        <v>21116.71</v>
      </c>
      <c r="BA616" s="2">
        <v>3030.18</v>
      </c>
      <c r="BB616" s="5">
        <v>4829.37</v>
      </c>
      <c r="BC616" s="12">
        <v>0</v>
      </c>
      <c r="BD616" s="2">
        <v>0</v>
      </c>
      <c r="BE616" s="2">
        <v>0</v>
      </c>
      <c r="BF616" s="2">
        <v>0</v>
      </c>
      <c r="BG616" s="5">
        <v>0</v>
      </c>
      <c r="BH616" s="2">
        <v>32453.41</v>
      </c>
      <c r="BI616" s="12">
        <v>28976.26</v>
      </c>
      <c r="BJ616" s="2">
        <v>0</v>
      </c>
      <c r="BK616" s="5">
        <v>2704.45</v>
      </c>
      <c r="BL616" s="1" t="s">
        <v>90</v>
      </c>
    </row>
    <row r="617" spans="1:64" x14ac:dyDescent="0.3">
      <c r="A617" t="s">
        <v>1355</v>
      </c>
      <c r="B617" s="1" t="s">
        <v>1357</v>
      </c>
      <c r="C617" s="9" t="s">
        <v>1358</v>
      </c>
      <c r="D617" s="1" t="s">
        <v>95</v>
      </c>
      <c r="E617" s="1" t="s">
        <v>88</v>
      </c>
      <c r="F617" s="10" t="s">
        <v>96</v>
      </c>
      <c r="G617" s="1">
        <v>0</v>
      </c>
      <c r="H617" s="1">
        <v>0.05</v>
      </c>
      <c r="I617" s="8">
        <v>45729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0</v>
      </c>
      <c r="U617" s="6">
        <v>0</v>
      </c>
      <c r="V617" s="6">
        <v>0</v>
      </c>
      <c r="W617" s="6">
        <v>0</v>
      </c>
      <c r="AI617" s="2">
        <v>360149.4</v>
      </c>
      <c r="AJ617" s="2">
        <v>37511</v>
      </c>
      <c r="AK617" s="2">
        <v>16078.1</v>
      </c>
      <c r="AL617" s="2">
        <v>1674.6</v>
      </c>
      <c r="AM617" s="5">
        <v>3550.54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23859.63</v>
      </c>
      <c r="AT617" s="12">
        <v>21303.24</v>
      </c>
      <c r="AU617" s="2">
        <v>0</v>
      </c>
      <c r="AV617" s="5">
        <v>1988.3</v>
      </c>
      <c r="AX617" s="2">
        <v>360149.4</v>
      </c>
      <c r="AY617" s="2">
        <v>37511</v>
      </c>
      <c r="AZ617" s="2">
        <v>16078.1</v>
      </c>
      <c r="BA617" s="2">
        <v>1674.6</v>
      </c>
      <c r="BB617" s="5">
        <v>3550.54</v>
      </c>
      <c r="BC617" s="12">
        <v>0</v>
      </c>
      <c r="BD617" s="2">
        <v>0</v>
      </c>
      <c r="BE617" s="2">
        <v>0</v>
      </c>
      <c r="BF617" s="2">
        <v>0</v>
      </c>
      <c r="BG617" s="5">
        <v>0</v>
      </c>
      <c r="BH617" s="2">
        <v>23859.63</v>
      </c>
      <c r="BI617" s="12">
        <v>21303.24</v>
      </c>
      <c r="BJ617" s="2">
        <v>0</v>
      </c>
      <c r="BK617" s="5">
        <v>1988.3</v>
      </c>
      <c r="BL617" s="1" t="s">
        <v>90</v>
      </c>
    </row>
    <row r="618" spans="1:64" x14ac:dyDescent="0.3">
      <c r="A618" t="s">
        <v>1359</v>
      </c>
      <c r="B618" s="1" t="s">
        <v>1359</v>
      </c>
      <c r="C618" s="9" t="s">
        <v>1360</v>
      </c>
      <c r="D618" s="1" t="s">
        <v>95</v>
      </c>
      <c r="E618" s="1" t="s">
        <v>135</v>
      </c>
      <c r="F618" s="10" t="s">
        <v>435</v>
      </c>
      <c r="G618" s="1">
        <v>0</v>
      </c>
      <c r="H618" s="1">
        <v>0.05</v>
      </c>
      <c r="I618" s="8">
        <v>45273</v>
      </c>
      <c r="J618" s="6">
        <v>465585</v>
      </c>
      <c r="K618" s="6">
        <v>90265</v>
      </c>
      <c r="L618" s="6">
        <v>20785.04</v>
      </c>
      <c r="M618" s="6">
        <v>4029.69</v>
      </c>
      <c r="N618" s="7">
        <v>4962.95</v>
      </c>
      <c r="O618" s="6">
        <v>-562095.89999999991</v>
      </c>
      <c r="P618" s="6">
        <v>-23316.600000000002</v>
      </c>
      <c r="Q618" s="6">
        <v>-25093.57</v>
      </c>
      <c r="R618" s="6">
        <v>-1040.92</v>
      </c>
      <c r="S618" s="7">
        <v>0</v>
      </c>
      <c r="T618" s="11">
        <v>4080.369999999999</v>
      </c>
      <c r="U618" s="6">
        <v>3643.1900000000023</v>
      </c>
      <c r="V618" s="6">
        <v>0</v>
      </c>
      <c r="W618" s="6">
        <v>-147.80999999999995</v>
      </c>
      <c r="AI618" s="2">
        <v>465585</v>
      </c>
      <c r="AJ618" s="2">
        <v>90265</v>
      </c>
      <c r="AK618" s="2">
        <v>20785.04</v>
      </c>
      <c r="AL618" s="2">
        <v>4029.69</v>
      </c>
      <c r="AM618" s="5">
        <v>4962.95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33351</v>
      </c>
      <c r="AT618" s="12">
        <v>29777.68</v>
      </c>
      <c r="AU618" s="2">
        <v>0</v>
      </c>
      <c r="AV618" s="5">
        <v>2779.25</v>
      </c>
      <c r="AX618" s="2">
        <v>0</v>
      </c>
      <c r="AY618" s="2">
        <v>0</v>
      </c>
      <c r="AZ618" s="2">
        <v>0</v>
      </c>
      <c r="BA618" s="2">
        <v>0</v>
      </c>
      <c r="BB618" s="5">
        <v>0</v>
      </c>
      <c r="BC618" s="12">
        <v>562095.89999999991</v>
      </c>
      <c r="BD618" s="2">
        <v>23316.600000000002</v>
      </c>
      <c r="BE618" s="2">
        <v>25093.57</v>
      </c>
      <c r="BF618" s="2">
        <v>1040.92</v>
      </c>
      <c r="BG618" s="5">
        <v>0</v>
      </c>
      <c r="BH618" s="2">
        <v>29270.63</v>
      </c>
      <c r="BI618" s="12">
        <v>26134.489999999998</v>
      </c>
      <c r="BJ618" s="2">
        <v>0</v>
      </c>
      <c r="BK618" s="5">
        <v>2927.06</v>
      </c>
      <c r="BL618" s="1" t="s">
        <v>137</v>
      </c>
    </row>
    <row r="619" spans="1:64" x14ac:dyDescent="0.3">
      <c r="A619" t="s">
        <v>1361</v>
      </c>
      <c r="B619" s="1" t="s">
        <v>1362</v>
      </c>
      <c r="C619" s="9" t="s">
        <v>1363</v>
      </c>
      <c r="D619" s="1" t="s">
        <v>95</v>
      </c>
      <c r="E619" s="1" t="s">
        <v>128</v>
      </c>
      <c r="F619" s="10" t="s">
        <v>355</v>
      </c>
      <c r="G619" s="1">
        <v>0.04</v>
      </c>
      <c r="H619" s="1">
        <v>0.05</v>
      </c>
      <c r="I619" s="8">
        <v>44679</v>
      </c>
      <c r="J619" s="6">
        <v>1187785</v>
      </c>
      <c r="K619" s="6">
        <v>158525</v>
      </c>
      <c r="L619" s="6">
        <v>53026.12</v>
      </c>
      <c r="M619" s="6">
        <v>7077.01</v>
      </c>
      <c r="N619" s="7">
        <v>12020.62</v>
      </c>
      <c r="O619" s="6">
        <v>-1006041.8999999999</v>
      </c>
      <c r="P619" s="6">
        <v>-98826.3</v>
      </c>
      <c r="Q619" s="6">
        <v>-44912.59</v>
      </c>
      <c r="R619" s="6">
        <v>-4411.8900000000003</v>
      </c>
      <c r="S619" s="7">
        <v>-9864.89</v>
      </c>
      <c r="T619" s="11">
        <v>14486.510000000009</v>
      </c>
      <c r="U619" s="6">
        <v>12934.380000000005</v>
      </c>
      <c r="V619" s="6">
        <v>0</v>
      </c>
      <c r="W619" s="6">
        <v>1207.21</v>
      </c>
      <c r="AI619" s="2">
        <v>1187785</v>
      </c>
      <c r="AJ619" s="2">
        <v>158525</v>
      </c>
      <c r="AK619" s="2">
        <v>53026.12</v>
      </c>
      <c r="AL619" s="2">
        <v>7077.01</v>
      </c>
      <c r="AM619" s="5">
        <v>12020.62</v>
      </c>
      <c r="AN619" s="12">
        <v>0</v>
      </c>
      <c r="AO619" s="2">
        <v>0</v>
      </c>
      <c r="AP619" s="2">
        <v>0</v>
      </c>
      <c r="AQ619" s="2">
        <v>0</v>
      </c>
      <c r="AR619" s="5">
        <v>0</v>
      </c>
      <c r="AS619" s="2">
        <v>80778.600000000006</v>
      </c>
      <c r="AT619" s="12">
        <v>72123.75</v>
      </c>
      <c r="AU619" s="2">
        <v>0</v>
      </c>
      <c r="AV619" s="5">
        <v>6731.55</v>
      </c>
      <c r="AX619" s="2">
        <v>0</v>
      </c>
      <c r="AY619" s="2">
        <v>0</v>
      </c>
      <c r="AZ619" s="2">
        <v>0</v>
      </c>
      <c r="BA619" s="2">
        <v>0</v>
      </c>
      <c r="BB619" s="5">
        <v>0</v>
      </c>
      <c r="BC619" s="12">
        <v>1006041.8999999999</v>
      </c>
      <c r="BD619" s="2">
        <v>98826.3</v>
      </c>
      <c r="BE619" s="2">
        <v>44912.59</v>
      </c>
      <c r="BF619" s="2">
        <v>4411.8900000000003</v>
      </c>
      <c r="BG619" s="5">
        <v>9864.89</v>
      </c>
      <c r="BH619" s="2">
        <v>66292.09</v>
      </c>
      <c r="BI619" s="12">
        <v>59189.369999999995</v>
      </c>
      <c r="BJ619" s="2">
        <v>0</v>
      </c>
      <c r="BK619" s="5">
        <v>5524.34</v>
      </c>
      <c r="BL619" s="1" t="s">
        <v>130</v>
      </c>
    </row>
    <row r="620" spans="1:64" x14ac:dyDescent="0.3">
      <c r="A620" t="s">
        <v>1361</v>
      </c>
      <c r="B620" s="1" t="s">
        <v>1364</v>
      </c>
      <c r="C620" s="9" t="s">
        <v>1365</v>
      </c>
      <c r="D620" s="1" t="s">
        <v>95</v>
      </c>
      <c r="E620" s="1" t="s">
        <v>128</v>
      </c>
      <c r="F620" s="10" t="s">
        <v>355</v>
      </c>
      <c r="G620" s="1">
        <v>0.04</v>
      </c>
      <c r="H620" s="1">
        <v>0.05</v>
      </c>
      <c r="I620" s="8">
        <v>44679</v>
      </c>
      <c r="J620" s="6">
        <v>92752</v>
      </c>
      <c r="K620" s="6">
        <v>0</v>
      </c>
      <c r="L620" s="6">
        <v>4140.71</v>
      </c>
      <c r="M620" s="6">
        <v>0</v>
      </c>
      <c r="N620" s="7">
        <v>828.14</v>
      </c>
      <c r="O620" s="6">
        <v>-127293.5</v>
      </c>
      <c r="P620" s="6">
        <v>0</v>
      </c>
      <c r="Q620" s="6">
        <v>-5682.74</v>
      </c>
      <c r="R620" s="6">
        <v>0</v>
      </c>
      <c r="S620" s="7">
        <v>-1136.55</v>
      </c>
      <c r="T620" s="11">
        <v>-2072.4900000000007</v>
      </c>
      <c r="U620" s="6">
        <v>-1850.4399999999996</v>
      </c>
      <c r="V620" s="6">
        <v>0</v>
      </c>
      <c r="W620" s="6">
        <v>-172.70999999999992</v>
      </c>
      <c r="AI620" s="2">
        <v>92752</v>
      </c>
      <c r="AJ620" s="2">
        <v>0</v>
      </c>
      <c r="AK620" s="2">
        <v>4140.71</v>
      </c>
      <c r="AL620" s="2">
        <v>0</v>
      </c>
      <c r="AM620" s="5">
        <v>828.14</v>
      </c>
      <c r="AN620" s="12">
        <v>38741.5</v>
      </c>
      <c r="AO620" s="2">
        <v>0</v>
      </c>
      <c r="AP620" s="2">
        <v>1729.54</v>
      </c>
      <c r="AQ620" s="2">
        <v>0</v>
      </c>
      <c r="AR620" s="5">
        <v>345.91</v>
      </c>
      <c r="AS620" s="2">
        <v>7889.62</v>
      </c>
      <c r="AT620" s="12">
        <v>7044.3</v>
      </c>
      <c r="AU620" s="2">
        <v>0</v>
      </c>
      <c r="AV620" s="5">
        <v>657.47</v>
      </c>
      <c r="AX620" s="2">
        <v>0</v>
      </c>
      <c r="AY620" s="2">
        <v>0</v>
      </c>
      <c r="AZ620" s="2">
        <v>0</v>
      </c>
      <c r="BA620" s="2">
        <v>0</v>
      </c>
      <c r="BB620" s="5">
        <v>0</v>
      </c>
      <c r="BC620" s="12">
        <v>166035</v>
      </c>
      <c r="BD620" s="2">
        <v>0</v>
      </c>
      <c r="BE620" s="2">
        <v>7412.28</v>
      </c>
      <c r="BF620" s="2">
        <v>0</v>
      </c>
      <c r="BG620" s="5">
        <v>1482.46</v>
      </c>
      <c r="BH620" s="2">
        <v>9962.11</v>
      </c>
      <c r="BI620" s="12">
        <v>8894.74</v>
      </c>
      <c r="BJ620" s="2">
        <v>0</v>
      </c>
      <c r="BK620" s="5">
        <v>830.18</v>
      </c>
      <c r="BL620" s="1" t="s">
        <v>130</v>
      </c>
    </row>
    <row r="621" spans="1:64" x14ac:dyDescent="0.3">
      <c r="A621" t="s">
        <v>1361</v>
      </c>
      <c r="B621" s="1" t="s">
        <v>1366</v>
      </c>
      <c r="C621" s="9" t="s">
        <v>1367</v>
      </c>
      <c r="D621" s="1" t="s">
        <v>95</v>
      </c>
      <c r="E621" s="1" t="s">
        <v>128</v>
      </c>
      <c r="F621" s="10" t="s">
        <v>355</v>
      </c>
      <c r="G621" s="1">
        <v>0.04</v>
      </c>
      <c r="H621" s="1">
        <v>0.05</v>
      </c>
      <c r="I621" s="8">
        <v>44679</v>
      </c>
      <c r="J621" s="6">
        <v>180907</v>
      </c>
      <c r="K621" s="6">
        <v>0</v>
      </c>
      <c r="L621" s="6">
        <v>8076.21</v>
      </c>
      <c r="M621" s="6">
        <v>0</v>
      </c>
      <c r="N621" s="7">
        <v>1615.24</v>
      </c>
      <c r="O621" s="6">
        <v>-171389.1</v>
      </c>
      <c r="P621" s="6">
        <v>-13198.199999999999</v>
      </c>
      <c r="Q621" s="6">
        <v>-7651.3</v>
      </c>
      <c r="R621" s="6">
        <v>-589.21</v>
      </c>
      <c r="S621" s="7">
        <v>-1648.1</v>
      </c>
      <c r="T621" s="11">
        <v>-220.81999999999971</v>
      </c>
      <c r="U621" s="6">
        <v>-197.15999999999985</v>
      </c>
      <c r="V621" s="6">
        <v>0</v>
      </c>
      <c r="W621" s="6">
        <v>-18.400000000000091</v>
      </c>
      <c r="AI621" s="2">
        <v>180907</v>
      </c>
      <c r="AJ621" s="2">
        <v>0</v>
      </c>
      <c r="AK621" s="2">
        <v>8076.21</v>
      </c>
      <c r="AL621" s="2">
        <v>0</v>
      </c>
      <c r="AM621" s="5">
        <v>1615.24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10854.42</v>
      </c>
      <c r="AT621" s="12">
        <v>9691.4500000000007</v>
      </c>
      <c r="AU621" s="2">
        <v>0</v>
      </c>
      <c r="AV621" s="5">
        <v>904.54</v>
      </c>
      <c r="AX621" s="2">
        <v>0</v>
      </c>
      <c r="AY621" s="2">
        <v>0</v>
      </c>
      <c r="AZ621" s="2">
        <v>0</v>
      </c>
      <c r="BA621" s="2">
        <v>0</v>
      </c>
      <c r="BB621" s="5">
        <v>0</v>
      </c>
      <c r="BC621" s="12">
        <v>171389.1</v>
      </c>
      <c r="BD621" s="2">
        <v>13198.199999999999</v>
      </c>
      <c r="BE621" s="2">
        <v>7651.3</v>
      </c>
      <c r="BF621" s="2">
        <v>589.21</v>
      </c>
      <c r="BG621" s="5">
        <v>1648.1</v>
      </c>
      <c r="BH621" s="2">
        <v>11075.24</v>
      </c>
      <c r="BI621" s="12">
        <v>9888.61</v>
      </c>
      <c r="BJ621" s="2">
        <v>0</v>
      </c>
      <c r="BK621" s="5">
        <v>922.94</v>
      </c>
      <c r="BL621" s="1" t="s">
        <v>130</v>
      </c>
    </row>
    <row r="622" spans="1:64" x14ac:dyDescent="0.3">
      <c r="A622" t="s">
        <v>1361</v>
      </c>
      <c r="B622" s="1" t="s">
        <v>1368</v>
      </c>
      <c r="C622" s="9" t="s">
        <v>1369</v>
      </c>
      <c r="D622" s="1" t="s">
        <v>95</v>
      </c>
      <c r="E622" s="1" t="s">
        <v>128</v>
      </c>
      <c r="F622" s="10" t="s">
        <v>355</v>
      </c>
      <c r="G622" s="1">
        <v>0.04</v>
      </c>
      <c r="H622" s="1">
        <v>0.05</v>
      </c>
      <c r="I622" s="8">
        <v>44679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0</v>
      </c>
      <c r="AJ622" s="2">
        <v>0</v>
      </c>
      <c r="AK622" s="2">
        <v>0</v>
      </c>
      <c r="AL622" s="2">
        <v>0</v>
      </c>
      <c r="AM622" s="5">
        <v>0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0</v>
      </c>
      <c r="AT622" s="12">
        <v>0</v>
      </c>
      <c r="AU622" s="2">
        <v>0</v>
      </c>
      <c r="AV622" s="5">
        <v>0</v>
      </c>
      <c r="AX622" s="2">
        <v>0</v>
      </c>
      <c r="AY622" s="2">
        <v>0</v>
      </c>
      <c r="AZ622" s="2">
        <v>0</v>
      </c>
      <c r="BA622" s="2">
        <v>0</v>
      </c>
      <c r="BB622" s="5">
        <v>0</v>
      </c>
      <c r="BC622" s="12">
        <v>0</v>
      </c>
      <c r="BD622" s="2">
        <v>0</v>
      </c>
      <c r="BE622" s="2">
        <v>0</v>
      </c>
      <c r="BF622" s="2">
        <v>0</v>
      </c>
      <c r="BG622" s="5">
        <v>0</v>
      </c>
      <c r="BH622" s="2">
        <v>0</v>
      </c>
      <c r="BI622" s="12">
        <v>0</v>
      </c>
      <c r="BJ622" s="2">
        <v>0</v>
      </c>
      <c r="BK622" s="5">
        <v>0</v>
      </c>
      <c r="BL622" s="1" t="s">
        <v>130</v>
      </c>
    </row>
    <row r="623" spans="1:64" x14ac:dyDescent="0.3">
      <c r="A623" t="s">
        <v>1361</v>
      </c>
      <c r="B623" s="1" t="s">
        <v>1370</v>
      </c>
      <c r="C623" s="9" t="s">
        <v>1371</v>
      </c>
      <c r="D623" s="1" t="s">
        <v>95</v>
      </c>
      <c r="E623" s="1" t="s">
        <v>128</v>
      </c>
      <c r="F623" s="10" t="s">
        <v>355</v>
      </c>
      <c r="G623" s="1">
        <v>3.5000000000000003E-2</v>
      </c>
      <c r="H623" s="1">
        <v>0.05</v>
      </c>
      <c r="I623" s="8">
        <v>45725</v>
      </c>
      <c r="J623" s="6">
        <v>403183</v>
      </c>
      <c r="K623" s="6">
        <v>46305</v>
      </c>
      <c r="L623" s="6">
        <v>17999.240000000002</v>
      </c>
      <c r="M623" s="6">
        <v>2067.19</v>
      </c>
      <c r="N623" s="7">
        <v>4013.29</v>
      </c>
      <c r="O623" s="6">
        <v>-248878.80000000002</v>
      </c>
      <c r="P623" s="6">
        <v>-22585.800000000003</v>
      </c>
      <c r="Q623" s="6">
        <v>-11110.66</v>
      </c>
      <c r="R623" s="6">
        <v>-1008.29</v>
      </c>
      <c r="S623" s="7">
        <v>-2423.79</v>
      </c>
      <c r="T623" s="11">
        <v>10681.42</v>
      </c>
      <c r="U623" s="6">
        <v>9536.98</v>
      </c>
      <c r="V623" s="6">
        <v>0</v>
      </c>
      <c r="W623" s="6">
        <v>890.12000000000012</v>
      </c>
      <c r="AI623" s="2">
        <v>403183</v>
      </c>
      <c r="AJ623" s="2">
        <v>46305</v>
      </c>
      <c r="AK623" s="2">
        <v>17999.240000000002</v>
      </c>
      <c r="AL623" s="2">
        <v>2067.19</v>
      </c>
      <c r="AM623" s="5">
        <v>4013.29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26969.29</v>
      </c>
      <c r="AT623" s="12">
        <v>24079.72</v>
      </c>
      <c r="AU623" s="2">
        <v>0</v>
      </c>
      <c r="AV623" s="5">
        <v>2247.44</v>
      </c>
      <c r="AX623" s="2">
        <v>0</v>
      </c>
      <c r="AY623" s="2">
        <v>0</v>
      </c>
      <c r="AZ623" s="2">
        <v>0</v>
      </c>
      <c r="BA623" s="2">
        <v>0</v>
      </c>
      <c r="BB623" s="5">
        <v>0</v>
      </c>
      <c r="BC623" s="12">
        <v>248878.80000000002</v>
      </c>
      <c r="BD623" s="2">
        <v>22585.800000000003</v>
      </c>
      <c r="BE623" s="2">
        <v>11110.66</v>
      </c>
      <c r="BF623" s="2">
        <v>1008.29</v>
      </c>
      <c r="BG623" s="5">
        <v>2423.79</v>
      </c>
      <c r="BH623" s="2">
        <v>16287.87</v>
      </c>
      <c r="BI623" s="12">
        <v>14542.740000000002</v>
      </c>
      <c r="BJ623" s="2">
        <v>0</v>
      </c>
      <c r="BK623" s="5">
        <v>1357.32</v>
      </c>
      <c r="BL623" s="1" t="s">
        <v>130</v>
      </c>
    </row>
    <row r="624" spans="1:64" x14ac:dyDescent="0.3">
      <c r="A624" t="s">
        <v>1361</v>
      </c>
      <c r="B624" s="1" t="s">
        <v>1372</v>
      </c>
      <c r="C624" s="9" t="s">
        <v>1373</v>
      </c>
      <c r="D624" s="1" t="s">
        <v>95</v>
      </c>
      <c r="E624" s="1" t="s">
        <v>128</v>
      </c>
      <c r="F624" s="10" t="s">
        <v>355</v>
      </c>
      <c r="G624" s="1">
        <v>3.5000000000000003E-2</v>
      </c>
      <c r="H624" s="1">
        <v>0.05</v>
      </c>
      <c r="I624" s="8">
        <v>45725</v>
      </c>
      <c r="J624" s="6">
        <v>311569</v>
      </c>
      <c r="K624" s="6">
        <v>42855</v>
      </c>
      <c r="L624" s="6">
        <v>13909.33</v>
      </c>
      <c r="M624" s="6">
        <v>1913.17</v>
      </c>
      <c r="N624" s="7">
        <v>3164.5</v>
      </c>
      <c r="O624" s="6">
        <v>-385203.30000000005</v>
      </c>
      <c r="P624" s="6">
        <v>0</v>
      </c>
      <c r="Q624" s="6">
        <v>-17196.580000000002</v>
      </c>
      <c r="R624" s="6">
        <v>0</v>
      </c>
      <c r="S624" s="7">
        <v>-3439.31</v>
      </c>
      <c r="T624" s="11">
        <v>-1846.760000000002</v>
      </c>
      <c r="U624" s="6">
        <v>-1648.8900000000031</v>
      </c>
      <c r="V624" s="6">
        <v>0</v>
      </c>
      <c r="W624" s="6">
        <v>-153.90000000000009</v>
      </c>
      <c r="AI624" s="2">
        <v>311569</v>
      </c>
      <c r="AJ624" s="2">
        <v>42855</v>
      </c>
      <c r="AK624" s="2">
        <v>13909.33</v>
      </c>
      <c r="AL624" s="2">
        <v>1913.17</v>
      </c>
      <c r="AM624" s="5">
        <v>3164.5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21265.439999999999</v>
      </c>
      <c r="AT624" s="12">
        <v>18987</v>
      </c>
      <c r="AU624" s="2">
        <v>0</v>
      </c>
      <c r="AV624" s="5">
        <v>1772.12</v>
      </c>
      <c r="AX624" s="2">
        <v>0</v>
      </c>
      <c r="AY624" s="2">
        <v>0</v>
      </c>
      <c r="AZ624" s="2">
        <v>0</v>
      </c>
      <c r="BA624" s="2">
        <v>0</v>
      </c>
      <c r="BB624" s="5">
        <v>0</v>
      </c>
      <c r="BC624" s="12">
        <v>385203.30000000005</v>
      </c>
      <c r="BD624" s="2">
        <v>0</v>
      </c>
      <c r="BE624" s="2">
        <v>17196.580000000002</v>
      </c>
      <c r="BF624" s="2">
        <v>0</v>
      </c>
      <c r="BG624" s="5">
        <v>3439.31</v>
      </c>
      <c r="BH624" s="2">
        <v>23112.2</v>
      </c>
      <c r="BI624" s="12">
        <v>20635.890000000003</v>
      </c>
      <c r="BJ624" s="2">
        <v>0</v>
      </c>
      <c r="BK624" s="5">
        <v>1926.02</v>
      </c>
      <c r="BL624" s="1" t="s">
        <v>130</v>
      </c>
    </row>
    <row r="625" spans="1:64" x14ac:dyDescent="0.3">
      <c r="A625" t="s">
        <v>1361</v>
      </c>
      <c r="B625" s="1" t="s">
        <v>1361</v>
      </c>
      <c r="C625" s="9" t="s">
        <v>1374</v>
      </c>
      <c r="D625" s="1" t="s">
        <v>95</v>
      </c>
      <c r="E625" s="1" t="s">
        <v>128</v>
      </c>
      <c r="F625" s="10" t="s">
        <v>355</v>
      </c>
      <c r="G625" s="1">
        <v>0</v>
      </c>
      <c r="H625" s="1">
        <v>0.05</v>
      </c>
      <c r="I625" s="8">
        <v>45272</v>
      </c>
      <c r="J625" s="6">
        <v>615001</v>
      </c>
      <c r="K625" s="6">
        <v>67030</v>
      </c>
      <c r="L625" s="6">
        <v>27455.4</v>
      </c>
      <c r="M625" s="6">
        <v>2992.41</v>
      </c>
      <c r="N625" s="7">
        <v>6089.56</v>
      </c>
      <c r="O625" s="6">
        <v>-230945.1</v>
      </c>
      <c r="P625" s="6">
        <v>-9579.9</v>
      </c>
      <c r="Q625" s="6">
        <v>-10310.049999999999</v>
      </c>
      <c r="R625" s="6">
        <v>-427.68</v>
      </c>
      <c r="S625" s="7">
        <v>0</v>
      </c>
      <c r="T625" s="11">
        <v>28895.589999999997</v>
      </c>
      <c r="U625" s="6">
        <v>25799.640000000003</v>
      </c>
      <c r="V625" s="6">
        <v>0</v>
      </c>
      <c r="W625" s="6">
        <v>2207.54</v>
      </c>
      <c r="AI625" s="2">
        <v>615001</v>
      </c>
      <c r="AJ625" s="2">
        <v>67030</v>
      </c>
      <c r="AK625" s="2">
        <v>27455.4</v>
      </c>
      <c r="AL625" s="2">
        <v>2992.41</v>
      </c>
      <c r="AM625" s="5">
        <v>6089.56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40921.85</v>
      </c>
      <c r="AT625" s="12">
        <v>36537.370000000003</v>
      </c>
      <c r="AU625" s="2">
        <v>0</v>
      </c>
      <c r="AV625" s="5">
        <v>3410.16</v>
      </c>
      <c r="AX625" s="2">
        <v>0</v>
      </c>
      <c r="AY625" s="2">
        <v>0</v>
      </c>
      <c r="AZ625" s="2">
        <v>0</v>
      </c>
      <c r="BA625" s="2">
        <v>0</v>
      </c>
      <c r="BB625" s="5">
        <v>0</v>
      </c>
      <c r="BC625" s="12">
        <v>230945.1</v>
      </c>
      <c r="BD625" s="2">
        <v>9579.9</v>
      </c>
      <c r="BE625" s="2">
        <v>10310.049999999999</v>
      </c>
      <c r="BF625" s="2">
        <v>427.68</v>
      </c>
      <c r="BG625" s="5">
        <v>0</v>
      </c>
      <c r="BH625" s="2">
        <v>12026.26</v>
      </c>
      <c r="BI625" s="12">
        <v>10737.73</v>
      </c>
      <c r="BJ625" s="2">
        <v>0</v>
      </c>
      <c r="BK625" s="5">
        <v>1202.6199999999999</v>
      </c>
      <c r="BL625" s="1" t="s">
        <v>130</v>
      </c>
    </row>
    <row r="626" spans="1:64" x14ac:dyDescent="0.3">
      <c r="A626" t="s">
        <v>1385</v>
      </c>
      <c r="B626" s="1" t="s">
        <v>1385</v>
      </c>
      <c r="C626" s="9" t="s">
        <v>1386</v>
      </c>
      <c r="D626" s="1" t="s">
        <v>95</v>
      </c>
      <c r="E626" s="1" t="s">
        <v>88</v>
      </c>
      <c r="F626" s="10" t="s">
        <v>534</v>
      </c>
      <c r="G626" s="1">
        <v>0</v>
      </c>
      <c r="H626" s="1">
        <v>0.05</v>
      </c>
      <c r="I626" s="8">
        <v>45292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0</v>
      </c>
      <c r="U626" s="6">
        <v>0</v>
      </c>
      <c r="V626" s="6">
        <v>0</v>
      </c>
      <c r="W626" s="6">
        <v>0</v>
      </c>
      <c r="AI626" s="2">
        <v>444105</v>
      </c>
      <c r="AJ626" s="2">
        <v>214137</v>
      </c>
      <c r="AK626" s="2">
        <v>19826.12</v>
      </c>
      <c r="AL626" s="2">
        <v>9559.69</v>
      </c>
      <c r="AM626" s="5">
        <v>5877.16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39494.53</v>
      </c>
      <c r="AT626" s="12">
        <v>35262.97</v>
      </c>
      <c r="AU626" s="2">
        <v>0</v>
      </c>
      <c r="AV626" s="5">
        <v>3291.21</v>
      </c>
      <c r="AX626" s="2">
        <v>444105</v>
      </c>
      <c r="AY626" s="2">
        <v>214137</v>
      </c>
      <c r="AZ626" s="2">
        <v>19826.12</v>
      </c>
      <c r="BA626" s="2">
        <v>9559.69</v>
      </c>
      <c r="BB626" s="5">
        <v>5877.16</v>
      </c>
      <c r="BC626" s="12">
        <v>0</v>
      </c>
      <c r="BD626" s="2">
        <v>0</v>
      </c>
      <c r="BE626" s="2">
        <v>0</v>
      </c>
      <c r="BF626" s="2">
        <v>0</v>
      </c>
      <c r="BG626" s="5">
        <v>0</v>
      </c>
      <c r="BH626" s="2">
        <v>39494.53</v>
      </c>
      <c r="BI626" s="12">
        <v>35262.97</v>
      </c>
      <c r="BJ626" s="2">
        <v>0</v>
      </c>
      <c r="BK626" s="5">
        <v>3291.21</v>
      </c>
      <c r="BL626" s="1" t="s">
        <v>90</v>
      </c>
    </row>
    <row r="627" spans="1:64" x14ac:dyDescent="0.3">
      <c r="A627" t="s">
        <v>1385</v>
      </c>
      <c r="B627" s="1" t="s">
        <v>1387</v>
      </c>
      <c r="C627" s="9" t="s">
        <v>1388</v>
      </c>
      <c r="D627" s="1" t="s">
        <v>95</v>
      </c>
      <c r="E627" s="1" t="s">
        <v>88</v>
      </c>
      <c r="F627" s="10" t="s">
        <v>534</v>
      </c>
      <c r="G627" s="1">
        <v>0</v>
      </c>
      <c r="H627" s="1">
        <v>0.05</v>
      </c>
      <c r="I627" s="8">
        <v>45292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267606</v>
      </c>
      <c r="AJ627" s="2">
        <v>110798</v>
      </c>
      <c r="AK627" s="2">
        <v>11946.7</v>
      </c>
      <c r="AL627" s="2">
        <v>4946.34</v>
      </c>
      <c r="AM627" s="5">
        <v>3378.61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22704.25</v>
      </c>
      <c r="AT627" s="12">
        <v>20271.650000000001</v>
      </c>
      <c r="AU627" s="2">
        <v>0</v>
      </c>
      <c r="AV627" s="5">
        <v>1892.02</v>
      </c>
      <c r="AX627" s="2">
        <v>267606</v>
      </c>
      <c r="AY627" s="2">
        <v>110798</v>
      </c>
      <c r="AZ627" s="2">
        <v>11946.7</v>
      </c>
      <c r="BA627" s="2">
        <v>4946.34</v>
      </c>
      <c r="BB627" s="5">
        <v>3378.61</v>
      </c>
      <c r="BC627" s="12">
        <v>0</v>
      </c>
      <c r="BD627" s="2">
        <v>0</v>
      </c>
      <c r="BE627" s="2">
        <v>0</v>
      </c>
      <c r="BF627" s="2">
        <v>0</v>
      </c>
      <c r="BG627" s="5">
        <v>0</v>
      </c>
      <c r="BH627" s="2">
        <v>22704.25</v>
      </c>
      <c r="BI627" s="12">
        <v>20271.650000000001</v>
      </c>
      <c r="BJ627" s="2">
        <v>0</v>
      </c>
      <c r="BK627" s="5">
        <v>1892.02</v>
      </c>
      <c r="BL627" s="1" t="s">
        <v>90</v>
      </c>
    </row>
    <row r="628" spans="1:64" x14ac:dyDescent="0.3">
      <c r="A628" t="s">
        <v>1389</v>
      </c>
      <c r="B628" s="1" t="s">
        <v>1389</v>
      </c>
      <c r="C628" s="9" t="s">
        <v>1390</v>
      </c>
      <c r="D628" s="1" t="s">
        <v>95</v>
      </c>
      <c r="E628" s="1" t="s">
        <v>128</v>
      </c>
      <c r="F628" s="10" t="s">
        <v>325</v>
      </c>
      <c r="G628" s="1">
        <v>0</v>
      </c>
      <c r="H628" s="1">
        <v>0.05</v>
      </c>
      <c r="I628" s="8">
        <v>45382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0</v>
      </c>
      <c r="U628" s="6">
        <v>0</v>
      </c>
      <c r="V628" s="6">
        <v>0</v>
      </c>
      <c r="W628" s="6">
        <v>0</v>
      </c>
      <c r="AI628" s="2">
        <v>853759.25</v>
      </c>
      <c r="AJ628" s="2">
        <v>62945</v>
      </c>
      <c r="AK628" s="2">
        <v>38114.25</v>
      </c>
      <c r="AL628" s="2">
        <v>2810.04</v>
      </c>
      <c r="AM628" s="5">
        <v>8184.86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55002.25</v>
      </c>
      <c r="AT628" s="12">
        <v>49109.15</v>
      </c>
      <c r="AU628" s="2">
        <v>0</v>
      </c>
      <c r="AV628" s="5">
        <v>4583.5200000000004</v>
      </c>
      <c r="AX628" s="2">
        <v>853759.25</v>
      </c>
      <c r="AY628" s="2">
        <v>62945</v>
      </c>
      <c r="AZ628" s="2">
        <v>38114.25</v>
      </c>
      <c r="BA628" s="2">
        <v>2810.04</v>
      </c>
      <c r="BB628" s="5">
        <v>8184.86</v>
      </c>
      <c r="BC628" s="12">
        <v>0</v>
      </c>
      <c r="BD628" s="2">
        <v>0</v>
      </c>
      <c r="BE628" s="2">
        <v>0</v>
      </c>
      <c r="BF628" s="2">
        <v>0</v>
      </c>
      <c r="BG628" s="5">
        <v>0</v>
      </c>
      <c r="BH628" s="2">
        <v>55002.25</v>
      </c>
      <c r="BI628" s="12">
        <v>49109.15</v>
      </c>
      <c r="BJ628" s="2">
        <v>0</v>
      </c>
      <c r="BK628" s="5">
        <v>4583.5200000000004</v>
      </c>
      <c r="BL628" s="1" t="s">
        <v>326</v>
      </c>
    </row>
    <row r="629" spans="1:64" x14ac:dyDescent="0.3">
      <c r="A629" t="s">
        <v>1391</v>
      </c>
      <c r="B629" s="1" t="s">
        <v>1391</v>
      </c>
      <c r="C629" s="9" t="s">
        <v>1392</v>
      </c>
      <c r="D629" s="1" t="s">
        <v>95</v>
      </c>
      <c r="E629" s="1" t="s">
        <v>88</v>
      </c>
      <c r="F629" s="10" t="s">
        <v>218</v>
      </c>
      <c r="G629" s="1">
        <v>0</v>
      </c>
      <c r="H629" s="1">
        <v>0.05</v>
      </c>
      <c r="I629" s="8">
        <v>45464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0</v>
      </c>
      <c r="U629" s="6">
        <v>0</v>
      </c>
      <c r="V629" s="6">
        <v>0</v>
      </c>
      <c r="W629" s="6">
        <v>0</v>
      </c>
      <c r="AI629" s="2">
        <v>603544</v>
      </c>
      <c r="AJ629" s="2">
        <v>81231</v>
      </c>
      <c r="AK629" s="2">
        <v>26943.93</v>
      </c>
      <c r="AL629" s="2">
        <v>3626.38</v>
      </c>
      <c r="AM629" s="5">
        <v>6114.06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41086.49</v>
      </c>
      <c r="AT629" s="12">
        <v>36684.370000000003</v>
      </c>
      <c r="AU629" s="2">
        <v>0</v>
      </c>
      <c r="AV629" s="5">
        <v>3423.88</v>
      </c>
      <c r="AX629" s="2">
        <v>603544</v>
      </c>
      <c r="AY629" s="2">
        <v>81231</v>
      </c>
      <c r="AZ629" s="2">
        <v>26943.93</v>
      </c>
      <c r="BA629" s="2">
        <v>3626.38</v>
      </c>
      <c r="BB629" s="5">
        <v>6114.06</v>
      </c>
      <c r="BC629" s="12">
        <v>0</v>
      </c>
      <c r="BD629" s="2">
        <v>0</v>
      </c>
      <c r="BE629" s="2">
        <v>0</v>
      </c>
      <c r="BF629" s="2">
        <v>0</v>
      </c>
      <c r="BG629" s="5">
        <v>0</v>
      </c>
      <c r="BH629" s="2">
        <v>41086.49</v>
      </c>
      <c r="BI629" s="12">
        <v>36684.370000000003</v>
      </c>
      <c r="BJ629" s="2">
        <v>0</v>
      </c>
      <c r="BK629" s="5">
        <v>3423.88</v>
      </c>
      <c r="BL629" s="1" t="s">
        <v>90</v>
      </c>
    </row>
    <row r="630" spans="1:64" x14ac:dyDescent="0.3">
      <c r="A630" t="s">
        <v>1393</v>
      </c>
      <c r="B630" s="1" t="s">
        <v>1393</v>
      </c>
      <c r="C630" s="9" t="s">
        <v>1394</v>
      </c>
      <c r="D630" s="1" t="s">
        <v>95</v>
      </c>
      <c r="E630" s="1" t="s">
        <v>135</v>
      </c>
      <c r="F630" s="10" t="s">
        <v>136</v>
      </c>
      <c r="G630" s="1">
        <v>0</v>
      </c>
      <c r="H630" s="1">
        <v>0.05</v>
      </c>
      <c r="I630" s="8">
        <v>45397</v>
      </c>
      <c r="J630" s="6">
        <v>367462</v>
      </c>
      <c r="K630" s="6">
        <v>32030</v>
      </c>
      <c r="L630" s="6">
        <v>16404.55</v>
      </c>
      <c r="M630" s="6">
        <v>1429.91</v>
      </c>
      <c r="N630" s="7">
        <v>3566.89</v>
      </c>
      <c r="O630" s="6">
        <v>-577353.29999999993</v>
      </c>
      <c r="P630" s="6">
        <v>-30114.6</v>
      </c>
      <c r="Q630" s="6">
        <v>-25774.7</v>
      </c>
      <c r="R630" s="6">
        <v>-1344.4</v>
      </c>
      <c r="S630" s="7">
        <v>0</v>
      </c>
      <c r="T630" s="11">
        <v>-6403.880000000001</v>
      </c>
      <c r="U630" s="6">
        <v>-5717.7500000000036</v>
      </c>
      <c r="V630" s="6">
        <v>0</v>
      </c>
      <c r="W630" s="6">
        <v>-1039.8800000000001</v>
      </c>
      <c r="AI630" s="2">
        <v>367462</v>
      </c>
      <c r="AJ630" s="2">
        <v>32030</v>
      </c>
      <c r="AK630" s="2">
        <v>16404.55</v>
      </c>
      <c r="AL630" s="2">
        <v>1429.91</v>
      </c>
      <c r="AM630" s="5">
        <v>3566.89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23969.51</v>
      </c>
      <c r="AT630" s="12">
        <v>21401.35</v>
      </c>
      <c r="AU630" s="2">
        <v>0</v>
      </c>
      <c r="AV630" s="5">
        <v>1997.46</v>
      </c>
      <c r="AX630" s="2">
        <v>0</v>
      </c>
      <c r="AY630" s="2">
        <v>0</v>
      </c>
      <c r="AZ630" s="2">
        <v>0</v>
      </c>
      <c r="BA630" s="2">
        <v>0</v>
      </c>
      <c r="BB630" s="5">
        <v>0</v>
      </c>
      <c r="BC630" s="12">
        <v>577353.29999999993</v>
      </c>
      <c r="BD630" s="2">
        <v>30114.6</v>
      </c>
      <c r="BE630" s="2">
        <v>25774.7</v>
      </c>
      <c r="BF630" s="2">
        <v>1344.4</v>
      </c>
      <c r="BG630" s="5">
        <v>0</v>
      </c>
      <c r="BH630" s="2">
        <v>30373.39</v>
      </c>
      <c r="BI630" s="12">
        <v>27119.100000000002</v>
      </c>
      <c r="BJ630" s="2">
        <v>0</v>
      </c>
      <c r="BK630" s="5">
        <v>3037.34</v>
      </c>
      <c r="BL630" s="1" t="s">
        <v>137</v>
      </c>
    </row>
    <row r="631" spans="1:64" x14ac:dyDescent="0.3">
      <c r="A631" t="s">
        <v>1395</v>
      </c>
      <c r="B631" s="1" t="s">
        <v>1395</v>
      </c>
      <c r="C631" s="9" t="s">
        <v>1396</v>
      </c>
      <c r="D631" s="1" t="s">
        <v>95</v>
      </c>
      <c r="E631" s="1" t="s">
        <v>128</v>
      </c>
      <c r="F631" s="10" t="s">
        <v>309</v>
      </c>
      <c r="G631" s="1">
        <v>0</v>
      </c>
      <c r="H631" s="1">
        <v>0.05</v>
      </c>
      <c r="I631" s="8">
        <v>45367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0</v>
      </c>
      <c r="U631" s="6">
        <v>0</v>
      </c>
      <c r="V631" s="6">
        <v>0</v>
      </c>
      <c r="W631" s="6">
        <v>0</v>
      </c>
      <c r="AI631" s="2">
        <v>459319</v>
      </c>
      <c r="AJ631" s="2">
        <v>15377</v>
      </c>
      <c r="AK631" s="2">
        <v>20505.310000000001</v>
      </c>
      <c r="AL631" s="2">
        <v>686.47</v>
      </c>
      <c r="AM631" s="5">
        <v>4238.3599999999997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28481.759999999998</v>
      </c>
      <c r="AT631" s="12">
        <v>25430.140000000003</v>
      </c>
      <c r="AU631" s="2">
        <v>0</v>
      </c>
      <c r="AV631" s="5">
        <v>2373.48</v>
      </c>
      <c r="AX631" s="2">
        <v>459319</v>
      </c>
      <c r="AY631" s="2">
        <v>15377</v>
      </c>
      <c r="AZ631" s="2">
        <v>20505.310000000001</v>
      </c>
      <c r="BA631" s="2">
        <v>686.47</v>
      </c>
      <c r="BB631" s="5">
        <v>4238.3599999999997</v>
      </c>
      <c r="BC631" s="12">
        <v>0</v>
      </c>
      <c r="BD631" s="2">
        <v>0</v>
      </c>
      <c r="BE631" s="2">
        <v>0</v>
      </c>
      <c r="BF631" s="2">
        <v>0</v>
      </c>
      <c r="BG631" s="5">
        <v>0</v>
      </c>
      <c r="BH631" s="2">
        <v>28481.759999999998</v>
      </c>
      <c r="BI631" s="12">
        <v>25430.140000000003</v>
      </c>
      <c r="BJ631" s="2">
        <v>0</v>
      </c>
      <c r="BK631" s="5">
        <v>2373.48</v>
      </c>
      <c r="BL631" s="1" t="s">
        <v>130</v>
      </c>
    </row>
    <row r="632" spans="1:64" x14ac:dyDescent="0.3">
      <c r="A632" t="s">
        <v>1395</v>
      </c>
      <c r="B632" s="1" t="s">
        <v>1397</v>
      </c>
      <c r="C632" s="9" t="s">
        <v>1398</v>
      </c>
      <c r="D632" s="1" t="s">
        <v>95</v>
      </c>
      <c r="E632" s="1" t="s">
        <v>128</v>
      </c>
      <c r="F632" s="10" t="s">
        <v>309</v>
      </c>
      <c r="G632" s="1">
        <v>0</v>
      </c>
      <c r="H632" s="1">
        <v>0.05</v>
      </c>
      <c r="I632" s="8">
        <v>45367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0</v>
      </c>
      <c r="U632" s="6">
        <v>0</v>
      </c>
      <c r="V632" s="6">
        <v>0</v>
      </c>
      <c r="W632" s="6">
        <v>0</v>
      </c>
      <c r="AI632" s="2">
        <v>333694</v>
      </c>
      <c r="AJ632" s="2">
        <v>16104</v>
      </c>
      <c r="AK632" s="2">
        <v>14897.05</v>
      </c>
      <c r="AL632" s="2">
        <v>718.93</v>
      </c>
      <c r="AM632" s="5">
        <v>3123.2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20987.88</v>
      </c>
      <c r="AT632" s="12">
        <v>18739.18</v>
      </c>
      <c r="AU632" s="2">
        <v>0</v>
      </c>
      <c r="AV632" s="5">
        <v>1748.99</v>
      </c>
      <c r="AX632" s="2">
        <v>333694</v>
      </c>
      <c r="AY632" s="2">
        <v>16104</v>
      </c>
      <c r="AZ632" s="2">
        <v>14897.05</v>
      </c>
      <c r="BA632" s="2">
        <v>718.93</v>
      </c>
      <c r="BB632" s="5">
        <v>3123.2</v>
      </c>
      <c r="BC632" s="12">
        <v>0</v>
      </c>
      <c r="BD632" s="2">
        <v>0</v>
      </c>
      <c r="BE632" s="2">
        <v>0</v>
      </c>
      <c r="BF632" s="2">
        <v>0</v>
      </c>
      <c r="BG632" s="5">
        <v>0</v>
      </c>
      <c r="BH632" s="2">
        <v>20987.88</v>
      </c>
      <c r="BI632" s="12">
        <v>18739.18</v>
      </c>
      <c r="BJ632" s="2">
        <v>0</v>
      </c>
      <c r="BK632" s="5">
        <v>1748.99</v>
      </c>
      <c r="BL632" s="1" t="s">
        <v>130</v>
      </c>
    </row>
    <row r="633" spans="1:64" x14ac:dyDescent="0.3">
      <c r="A633" t="s">
        <v>1395</v>
      </c>
      <c r="B633" s="1" t="s">
        <v>1399</v>
      </c>
      <c r="C633" s="9" t="s">
        <v>1400</v>
      </c>
      <c r="D633" s="1" t="s">
        <v>95</v>
      </c>
      <c r="E633" s="1" t="s">
        <v>128</v>
      </c>
      <c r="F633" s="10" t="s">
        <v>309</v>
      </c>
      <c r="G633" s="1">
        <v>0</v>
      </c>
      <c r="H633" s="1">
        <v>0.05</v>
      </c>
      <c r="I633" s="8">
        <v>45367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0</v>
      </c>
      <c r="U633" s="6">
        <v>0</v>
      </c>
      <c r="V633" s="6">
        <v>0</v>
      </c>
      <c r="W633" s="6">
        <v>0</v>
      </c>
      <c r="AI633" s="2">
        <v>274130</v>
      </c>
      <c r="AJ633" s="2">
        <v>9288</v>
      </c>
      <c r="AK633" s="2">
        <v>12237.95</v>
      </c>
      <c r="AL633" s="2">
        <v>414.64</v>
      </c>
      <c r="AM633" s="5">
        <v>2530.52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17005.080000000002</v>
      </c>
      <c r="AT633" s="12">
        <v>15183.11</v>
      </c>
      <c r="AU633" s="2">
        <v>0</v>
      </c>
      <c r="AV633" s="5">
        <v>1417.09</v>
      </c>
      <c r="AX633" s="2">
        <v>274130</v>
      </c>
      <c r="AY633" s="2">
        <v>9288</v>
      </c>
      <c r="AZ633" s="2">
        <v>12237.95</v>
      </c>
      <c r="BA633" s="2">
        <v>414.64</v>
      </c>
      <c r="BB633" s="5">
        <v>2530.52</v>
      </c>
      <c r="BC633" s="12">
        <v>0</v>
      </c>
      <c r="BD633" s="2">
        <v>0</v>
      </c>
      <c r="BE633" s="2">
        <v>0</v>
      </c>
      <c r="BF633" s="2">
        <v>0</v>
      </c>
      <c r="BG633" s="5">
        <v>0</v>
      </c>
      <c r="BH633" s="2">
        <v>17005.080000000002</v>
      </c>
      <c r="BI633" s="12">
        <v>15183.11</v>
      </c>
      <c r="BJ633" s="2">
        <v>0</v>
      </c>
      <c r="BK633" s="5">
        <v>1417.09</v>
      </c>
      <c r="BL633" s="1" t="s">
        <v>130</v>
      </c>
    </row>
    <row r="634" spans="1:64" x14ac:dyDescent="0.3">
      <c r="A634" t="s">
        <v>1395</v>
      </c>
      <c r="B634" s="1" t="s">
        <v>1401</v>
      </c>
      <c r="C634" s="9" t="s">
        <v>1402</v>
      </c>
      <c r="D634" s="1" t="s">
        <v>95</v>
      </c>
      <c r="E634" s="1" t="s">
        <v>128</v>
      </c>
      <c r="F634" s="10" t="s">
        <v>309</v>
      </c>
      <c r="G634" s="1">
        <v>0</v>
      </c>
      <c r="H634" s="1">
        <v>0.05</v>
      </c>
      <c r="I634" s="8">
        <v>45481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0</v>
      </c>
      <c r="U634" s="6">
        <v>0</v>
      </c>
      <c r="V634" s="6">
        <v>0</v>
      </c>
      <c r="W634" s="6">
        <v>0</v>
      </c>
      <c r="AI634" s="2">
        <v>185687</v>
      </c>
      <c r="AJ634" s="2">
        <v>1150</v>
      </c>
      <c r="AK634" s="2">
        <v>8289.6</v>
      </c>
      <c r="AL634" s="2">
        <v>51.34</v>
      </c>
      <c r="AM634" s="5">
        <v>1668.19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11210.23</v>
      </c>
      <c r="AT634" s="12">
        <v>10009.130000000001</v>
      </c>
      <c r="AU634" s="2">
        <v>0</v>
      </c>
      <c r="AV634" s="5">
        <v>934.18</v>
      </c>
      <c r="AX634" s="2">
        <v>185687</v>
      </c>
      <c r="AY634" s="2">
        <v>1150</v>
      </c>
      <c r="AZ634" s="2">
        <v>8289.6</v>
      </c>
      <c r="BA634" s="2">
        <v>51.34</v>
      </c>
      <c r="BB634" s="5">
        <v>1668.19</v>
      </c>
      <c r="BC634" s="12">
        <v>0</v>
      </c>
      <c r="BD634" s="2">
        <v>0</v>
      </c>
      <c r="BE634" s="2">
        <v>0</v>
      </c>
      <c r="BF634" s="2">
        <v>0</v>
      </c>
      <c r="BG634" s="5">
        <v>0</v>
      </c>
      <c r="BH634" s="2">
        <v>11210.23</v>
      </c>
      <c r="BI634" s="12">
        <v>10009.130000000001</v>
      </c>
      <c r="BJ634" s="2">
        <v>0</v>
      </c>
      <c r="BK634" s="5">
        <v>934.18</v>
      </c>
      <c r="BL634" s="1" t="s">
        <v>130</v>
      </c>
    </row>
    <row r="635" spans="1:64" x14ac:dyDescent="0.3">
      <c r="A635" t="s">
        <v>1405</v>
      </c>
      <c r="B635" s="1" t="s">
        <v>1405</v>
      </c>
      <c r="C635" s="9" t="s">
        <v>1406</v>
      </c>
      <c r="D635" s="1" t="s">
        <v>95</v>
      </c>
      <c r="E635" s="1" t="s">
        <v>135</v>
      </c>
      <c r="F635" s="10" t="s">
        <v>435</v>
      </c>
      <c r="G635" s="1">
        <v>0</v>
      </c>
      <c r="H635" s="1">
        <v>0.05</v>
      </c>
      <c r="I635" s="8">
        <v>45439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0</v>
      </c>
      <c r="U635" s="6">
        <v>0</v>
      </c>
      <c r="V635" s="6">
        <v>0</v>
      </c>
      <c r="W635" s="6">
        <v>0</v>
      </c>
      <c r="AI635" s="2">
        <v>1111259</v>
      </c>
      <c r="AJ635" s="2">
        <v>135909</v>
      </c>
      <c r="AK635" s="2">
        <v>49609.78</v>
      </c>
      <c r="AL635" s="2">
        <v>6067.37</v>
      </c>
      <c r="AM635" s="5">
        <v>11135.43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74830.09</v>
      </c>
      <c r="AT635" s="12">
        <v>66812.58</v>
      </c>
      <c r="AU635" s="2">
        <v>0</v>
      </c>
      <c r="AV635" s="5">
        <v>6235.84</v>
      </c>
      <c r="AX635" s="2">
        <v>1111259</v>
      </c>
      <c r="AY635" s="2">
        <v>135909</v>
      </c>
      <c r="AZ635" s="2">
        <v>49609.78</v>
      </c>
      <c r="BA635" s="2">
        <v>6067.37</v>
      </c>
      <c r="BB635" s="5">
        <v>11135.43</v>
      </c>
      <c r="BC635" s="12">
        <v>0</v>
      </c>
      <c r="BD635" s="2">
        <v>0</v>
      </c>
      <c r="BE635" s="2">
        <v>0</v>
      </c>
      <c r="BF635" s="2">
        <v>0</v>
      </c>
      <c r="BG635" s="5">
        <v>0</v>
      </c>
      <c r="BH635" s="2">
        <v>74830.09</v>
      </c>
      <c r="BI635" s="12">
        <v>66812.58</v>
      </c>
      <c r="BJ635" s="2">
        <v>0</v>
      </c>
      <c r="BK635" s="5">
        <v>6235.84</v>
      </c>
      <c r="BL635" s="1" t="s">
        <v>302</v>
      </c>
    </row>
    <row r="636" spans="1:64" x14ac:dyDescent="0.3">
      <c r="A636" t="s">
        <v>1405</v>
      </c>
      <c r="B636" s="1" t="s">
        <v>1407</v>
      </c>
      <c r="C636" s="9" t="s">
        <v>1408</v>
      </c>
      <c r="D636" s="1" t="s">
        <v>95</v>
      </c>
      <c r="E636" s="1" t="s">
        <v>135</v>
      </c>
      <c r="F636" s="10" t="s">
        <v>435</v>
      </c>
      <c r="G636" s="1">
        <v>0</v>
      </c>
      <c r="H636" s="1">
        <v>0.05</v>
      </c>
      <c r="I636" s="8">
        <v>45502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153922</v>
      </c>
      <c r="AJ636" s="2">
        <v>28290</v>
      </c>
      <c r="AK636" s="2">
        <v>6871.52</v>
      </c>
      <c r="AL636" s="2">
        <v>1262.95</v>
      </c>
      <c r="AM636" s="5">
        <v>1626.89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10932.72</v>
      </c>
      <c r="AT636" s="12">
        <v>9761.36</v>
      </c>
      <c r="AU636" s="2">
        <v>0</v>
      </c>
      <c r="AV636" s="5">
        <v>911.06</v>
      </c>
      <c r="AX636" s="2">
        <v>153922</v>
      </c>
      <c r="AY636" s="2">
        <v>28290</v>
      </c>
      <c r="AZ636" s="2">
        <v>6871.52</v>
      </c>
      <c r="BA636" s="2">
        <v>1262.95</v>
      </c>
      <c r="BB636" s="5">
        <v>1626.89</v>
      </c>
      <c r="BC636" s="12">
        <v>0</v>
      </c>
      <c r="BD636" s="2">
        <v>0</v>
      </c>
      <c r="BE636" s="2">
        <v>0</v>
      </c>
      <c r="BF636" s="2">
        <v>0</v>
      </c>
      <c r="BG636" s="5">
        <v>0</v>
      </c>
      <c r="BH636" s="2">
        <v>10932.72</v>
      </c>
      <c r="BI636" s="12">
        <v>9761.36</v>
      </c>
      <c r="BJ636" s="2">
        <v>0</v>
      </c>
      <c r="BK636" s="5">
        <v>911.06</v>
      </c>
      <c r="BL636" s="1" t="s">
        <v>302</v>
      </c>
    </row>
    <row r="637" spans="1:64" x14ac:dyDescent="0.3">
      <c r="A637" t="s">
        <v>1409</v>
      </c>
      <c r="B637" s="1" t="s">
        <v>1409</v>
      </c>
      <c r="C637" s="9" t="s">
        <v>1410</v>
      </c>
      <c r="D637" s="1" t="s">
        <v>95</v>
      </c>
      <c r="E637" s="1" t="s">
        <v>128</v>
      </c>
      <c r="F637" s="10" t="s">
        <v>129</v>
      </c>
      <c r="G637" s="1">
        <v>0</v>
      </c>
      <c r="H637" s="1">
        <v>0.05</v>
      </c>
      <c r="I637" s="8">
        <v>0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0</v>
      </c>
      <c r="AJ637" s="2">
        <v>0</v>
      </c>
      <c r="AK637" s="2">
        <v>0</v>
      </c>
      <c r="AL637" s="2">
        <v>0</v>
      </c>
      <c r="AM637" s="5">
        <v>0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0</v>
      </c>
      <c r="AT637" s="12">
        <v>0</v>
      </c>
      <c r="AU637" s="2">
        <v>0</v>
      </c>
      <c r="AV637" s="5">
        <v>0</v>
      </c>
      <c r="AX637" s="2">
        <v>0</v>
      </c>
      <c r="AY637" s="2">
        <v>0</v>
      </c>
      <c r="AZ637" s="2">
        <v>0</v>
      </c>
      <c r="BA637" s="2">
        <v>0</v>
      </c>
      <c r="BB637" s="5">
        <v>0</v>
      </c>
      <c r="BC637" s="12">
        <v>0</v>
      </c>
      <c r="BD637" s="2">
        <v>0</v>
      </c>
      <c r="BE637" s="2">
        <v>0</v>
      </c>
      <c r="BF637" s="2">
        <v>0</v>
      </c>
      <c r="BG637" s="5">
        <v>0</v>
      </c>
      <c r="BH637" s="2">
        <v>0</v>
      </c>
      <c r="BI637" s="12">
        <v>0</v>
      </c>
      <c r="BJ637" s="2">
        <v>0</v>
      </c>
      <c r="BK637" s="5">
        <v>0</v>
      </c>
      <c r="BL637" s="1" t="s">
        <v>130</v>
      </c>
    </row>
    <row r="638" spans="1:64" x14ac:dyDescent="0.3">
      <c r="A638" t="s">
        <v>1411</v>
      </c>
      <c r="B638" s="1" t="s">
        <v>1411</v>
      </c>
      <c r="C638" s="9" t="s">
        <v>1412</v>
      </c>
      <c r="D638" s="1" t="s">
        <v>95</v>
      </c>
      <c r="E638" s="1" t="s">
        <v>135</v>
      </c>
      <c r="F638" s="10" t="s">
        <v>348</v>
      </c>
      <c r="G638" s="1">
        <v>0</v>
      </c>
      <c r="H638" s="1">
        <v>0.05</v>
      </c>
      <c r="I638" s="8">
        <v>45430</v>
      </c>
      <c r="J638" s="6">
        <v>327228</v>
      </c>
      <c r="K638" s="6">
        <v>54284</v>
      </c>
      <c r="L638" s="6">
        <v>14608.39</v>
      </c>
      <c r="M638" s="6">
        <v>2423.39</v>
      </c>
      <c r="N638" s="7">
        <v>3406.36</v>
      </c>
      <c r="O638" s="6">
        <v>-557723.70000000007</v>
      </c>
      <c r="P638" s="6">
        <v>-26141.399999999998</v>
      </c>
      <c r="Q638" s="6">
        <v>-24898.38</v>
      </c>
      <c r="R638" s="6">
        <v>-1167.03</v>
      </c>
      <c r="S638" s="7">
        <v>0</v>
      </c>
      <c r="T638" s="11">
        <v>-6302.5399999999972</v>
      </c>
      <c r="U638" s="6">
        <v>-5627.27</v>
      </c>
      <c r="V638" s="6">
        <v>0</v>
      </c>
      <c r="W638" s="6">
        <v>-1011.77</v>
      </c>
      <c r="AI638" s="2">
        <v>327228</v>
      </c>
      <c r="AJ638" s="2">
        <v>54284</v>
      </c>
      <c r="AK638" s="2">
        <v>14608.39</v>
      </c>
      <c r="AL638" s="2">
        <v>2423.39</v>
      </c>
      <c r="AM638" s="5">
        <v>3406.36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22890.720000000001</v>
      </c>
      <c r="AT638" s="12">
        <v>20438.14</v>
      </c>
      <c r="AU638" s="2">
        <v>0</v>
      </c>
      <c r="AV638" s="5">
        <v>1907.56</v>
      </c>
      <c r="AX638" s="2">
        <v>0</v>
      </c>
      <c r="AY638" s="2">
        <v>0</v>
      </c>
      <c r="AZ638" s="2">
        <v>0</v>
      </c>
      <c r="BA638" s="2">
        <v>0</v>
      </c>
      <c r="BB638" s="5">
        <v>0</v>
      </c>
      <c r="BC638" s="12">
        <v>557723.70000000007</v>
      </c>
      <c r="BD638" s="2">
        <v>26141.399999999998</v>
      </c>
      <c r="BE638" s="2">
        <v>24898.38</v>
      </c>
      <c r="BF638" s="2">
        <v>1167.03</v>
      </c>
      <c r="BG638" s="5">
        <v>0</v>
      </c>
      <c r="BH638" s="2">
        <v>29193.26</v>
      </c>
      <c r="BI638" s="12">
        <v>26065.41</v>
      </c>
      <c r="BJ638" s="2">
        <v>0</v>
      </c>
      <c r="BK638" s="5">
        <v>2919.33</v>
      </c>
      <c r="BL638" s="1" t="s">
        <v>137</v>
      </c>
    </row>
    <row r="639" spans="1:64" x14ac:dyDescent="0.3">
      <c r="A639" t="s">
        <v>1411</v>
      </c>
      <c r="B639" s="1" t="s">
        <v>1413</v>
      </c>
      <c r="C639" s="9" t="s">
        <v>1414</v>
      </c>
      <c r="D639" s="1" t="s">
        <v>95</v>
      </c>
      <c r="E639" s="1" t="s">
        <v>135</v>
      </c>
      <c r="F639" s="10" t="s">
        <v>348</v>
      </c>
      <c r="G639" s="1">
        <v>0</v>
      </c>
      <c r="H639" s="1">
        <v>0.05</v>
      </c>
      <c r="I639" s="8">
        <v>45643</v>
      </c>
      <c r="J639" s="6">
        <v>502844</v>
      </c>
      <c r="K639" s="6">
        <v>29542</v>
      </c>
      <c r="L639" s="6">
        <v>22448.39</v>
      </c>
      <c r="M639" s="6">
        <v>1318.84</v>
      </c>
      <c r="N639" s="7">
        <v>4753.45</v>
      </c>
      <c r="O639" s="6">
        <v>-530074.19999999995</v>
      </c>
      <c r="P639" s="6">
        <v>-14361.900000000001</v>
      </c>
      <c r="Q639" s="6">
        <v>-23664.03</v>
      </c>
      <c r="R639" s="6">
        <v>-641.16</v>
      </c>
      <c r="S639" s="7">
        <v>0</v>
      </c>
      <c r="T639" s="11">
        <v>4721.3499999999985</v>
      </c>
      <c r="U639" s="6">
        <v>4215.4900000000016</v>
      </c>
      <c r="V639" s="6">
        <v>0</v>
      </c>
      <c r="W639" s="6">
        <v>-60.25</v>
      </c>
      <c r="AI639" s="2">
        <v>502844</v>
      </c>
      <c r="AJ639" s="2">
        <v>29542</v>
      </c>
      <c r="AK639" s="2">
        <v>22448.39</v>
      </c>
      <c r="AL639" s="2">
        <v>1318.84</v>
      </c>
      <c r="AM639" s="5">
        <v>4753.45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31943.16</v>
      </c>
      <c r="AT639" s="12">
        <v>28520.68</v>
      </c>
      <c r="AU639" s="2">
        <v>0</v>
      </c>
      <c r="AV639" s="5">
        <v>2661.93</v>
      </c>
      <c r="AX639" s="2">
        <v>0</v>
      </c>
      <c r="AY639" s="2">
        <v>0</v>
      </c>
      <c r="AZ639" s="2">
        <v>0</v>
      </c>
      <c r="BA639" s="2">
        <v>0</v>
      </c>
      <c r="BB639" s="5">
        <v>0</v>
      </c>
      <c r="BC639" s="12">
        <v>530074.19999999995</v>
      </c>
      <c r="BD639" s="2">
        <v>14361.900000000001</v>
      </c>
      <c r="BE639" s="2">
        <v>23664.03</v>
      </c>
      <c r="BF639" s="2">
        <v>641.16</v>
      </c>
      <c r="BG639" s="5">
        <v>0</v>
      </c>
      <c r="BH639" s="2">
        <v>27221.81</v>
      </c>
      <c r="BI639" s="12">
        <v>24305.19</v>
      </c>
      <c r="BJ639" s="2">
        <v>0</v>
      </c>
      <c r="BK639" s="5">
        <v>2722.18</v>
      </c>
      <c r="BL639" s="1" t="s">
        <v>137</v>
      </c>
    </row>
    <row r="640" spans="1:64" x14ac:dyDescent="0.3">
      <c r="A640" t="s">
        <v>1415</v>
      </c>
      <c r="B640" s="1" t="s">
        <v>1415</v>
      </c>
      <c r="C640" s="9" t="s">
        <v>1416</v>
      </c>
      <c r="D640" s="1" t="s">
        <v>95</v>
      </c>
      <c r="E640" s="1" t="s">
        <v>128</v>
      </c>
      <c r="F640" s="10" t="s">
        <v>129</v>
      </c>
      <c r="G640" s="1">
        <v>0</v>
      </c>
      <c r="H640" s="1">
        <v>0.05</v>
      </c>
      <c r="I640" s="8">
        <v>45559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6665.04</v>
      </c>
      <c r="T640" s="11">
        <v>7464.8499999999985</v>
      </c>
      <c r="U640" s="6">
        <v>6665.0400000000009</v>
      </c>
      <c r="V640" s="6">
        <v>0</v>
      </c>
      <c r="W640" s="6">
        <v>0</v>
      </c>
      <c r="AI640" s="2">
        <v>0</v>
      </c>
      <c r="AJ640" s="2">
        <v>0</v>
      </c>
      <c r="AK640" s="2">
        <v>0</v>
      </c>
      <c r="AL640" s="2">
        <v>0</v>
      </c>
      <c r="AM640" s="5">
        <v>0</v>
      </c>
      <c r="AN640" s="12">
        <v>712953.9</v>
      </c>
      <c r="AO640" s="2">
        <v>33530.1</v>
      </c>
      <c r="AP640" s="2">
        <v>31828.3</v>
      </c>
      <c r="AQ640" s="2">
        <v>1496.87</v>
      </c>
      <c r="AR640" s="5">
        <v>6665.04</v>
      </c>
      <c r="AS640" s="2">
        <v>44789.04</v>
      </c>
      <c r="AT640" s="12">
        <v>39990.21</v>
      </c>
      <c r="AU640" s="2">
        <v>0</v>
      </c>
      <c r="AV640" s="5">
        <v>3732.42</v>
      </c>
      <c r="AX640" s="2">
        <v>0</v>
      </c>
      <c r="AY640" s="2">
        <v>0</v>
      </c>
      <c r="AZ640" s="2">
        <v>0</v>
      </c>
      <c r="BA640" s="2">
        <v>0</v>
      </c>
      <c r="BB640" s="5">
        <v>0</v>
      </c>
      <c r="BC640" s="12">
        <v>712953.9</v>
      </c>
      <c r="BD640" s="2">
        <v>33530.1</v>
      </c>
      <c r="BE640" s="2">
        <v>31828.3</v>
      </c>
      <c r="BF640" s="2">
        <v>1496.87</v>
      </c>
      <c r="BG640" s="5">
        <v>0</v>
      </c>
      <c r="BH640" s="2">
        <v>37324.19</v>
      </c>
      <c r="BI640" s="12">
        <v>33325.17</v>
      </c>
      <c r="BJ640" s="2">
        <v>0</v>
      </c>
      <c r="BK640" s="5">
        <v>3732.42</v>
      </c>
      <c r="BL640" s="1" t="s">
        <v>130</v>
      </c>
    </row>
    <row r="641" spans="1:64" x14ac:dyDescent="0.3">
      <c r="A641" t="s">
        <v>1417</v>
      </c>
      <c r="B641" s="1" t="s">
        <v>1417</v>
      </c>
      <c r="C641" s="9" t="s">
        <v>1418</v>
      </c>
      <c r="D641" s="1" t="s">
        <v>95</v>
      </c>
      <c r="E641" s="1" t="s">
        <v>135</v>
      </c>
      <c r="F641" s="10" t="s">
        <v>136</v>
      </c>
      <c r="G641" s="1">
        <v>0</v>
      </c>
      <c r="H641" s="1">
        <v>0.05</v>
      </c>
      <c r="I641" s="8">
        <v>45539</v>
      </c>
      <c r="J641" s="6">
        <v>1119418</v>
      </c>
      <c r="K641" s="6">
        <v>172284</v>
      </c>
      <c r="L641" s="6">
        <v>49974.02</v>
      </c>
      <c r="M641" s="6">
        <v>7691.25</v>
      </c>
      <c r="N641" s="7">
        <v>11533.05</v>
      </c>
      <c r="O641" s="6">
        <v>-374454.3</v>
      </c>
      <c r="P641" s="6">
        <v>-17610.899999999998</v>
      </c>
      <c r="Q641" s="6">
        <v>-16716.71</v>
      </c>
      <c r="R641" s="6">
        <v>-786.2</v>
      </c>
      <c r="S641" s="7">
        <v>0</v>
      </c>
      <c r="T641" s="11">
        <v>57898.86</v>
      </c>
      <c r="U641" s="6">
        <v>51695.409999999989</v>
      </c>
      <c r="V641" s="6">
        <v>0</v>
      </c>
      <c r="W641" s="6">
        <v>4498.18</v>
      </c>
      <c r="AI641" s="2">
        <v>1119418</v>
      </c>
      <c r="AJ641" s="2">
        <v>172284</v>
      </c>
      <c r="AK641" s="2">
        <v>49974.02</v>
      </c>
      <c r="AL641" s="2">
        <v>7691.25</v>
      </c>
      <c r="AM641" s="5">
        <v>11533.05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77502.12</v>
      </c>
      <c r="AT641" s="12">
        <v>69198.319999999992</v>
      </c>
      <c r="AU641" s="2">
        <v>0</v>
      </c>
      <c r="AV641" s="5">
        <v>6458.51</v>
      </c>
      <c r="AX641" s="2">
        <v>0</v>
      </c>
      <c r="AY641" s="2">
        <v>0</v>
      </c>
      <c r="AZ641" s="2">
        <v>0</v>
      </c>
      <c r="BA641" s="2">
        <v>0</v>
      </c>
      <c r="BB641" s="5">
        <v>0</v>
      </c>
      <c r="BC641" s="12">
        <v>374454.3</v>
      </c>
      <c r="BD641" s="2">
        <v>17610.899999999998</v>
      </c>
      <c r="BE641" s="2">
        <v>16716.71</v>
      </c>
      <c r="BF641" s="2">
        <v>786.2</v>
      </c>
      <c r="BG641" s="5">
        <v>0</v>
      </c>
      <c r="BH641" s="2">
        <v>19603.259999999998</v>
      </c>
      <c r="BI641" s="12">
        <v>17502.91</v>
      </c>
      <c r="BJ641" s="2">
        <v>0</v>
      </c>
      <c r="BK641" s="5">
        <v>1960.33</v>
      </c>
      <c r="BL641" s="1" t="s">
        <v>137</v>
      </c>
    </row>
    <row r="642" spans="1:64" x14ac:dyDescent="0.3">
      <c r="A642" t="s">
        <v>1419</v>
      </c>
      <c r="B642" s="1" t="s">
        <v>1419</v>
      </c>
      <c r="C642" s="9" t="s">
        <v>1420</v>
      </c>
      <c r="D642" s="1" t="s">
        <v>95</v>
      </c>
      <c r="E642" s="1" t="s">
        <v>88</v>
      </c>
      <c r="F642" s="10" t="s">
        <v>89</v>
      </c>
      <c r="G642" s="1">
        <v>0</v>
      </c>
      <c r="H642" s="1">
        <v>0</v>
      </c>
      <c r="I642" s="8">
        <v>45621</v>
      </c>
      <c r="J642" s="6">
        <v>0</v>
      </c>
      <c r="K642" s="6">
        <v>0</v>
      </c>
      <c r="L642" s="6">
        <v>0</v>
      </c>
      <c r="M642" s="6">
        <v>0</v>
      </c>
      <c r="N642" s="7">
        <v>6646.2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7443.74</v>
      </c>
      <c r="U642" s="6">
        <v>6646.2</v>
      </c>
      <c r="V642" s="6">
        <v>0</v>
      </c>
      <c r="W642" s="6">
        <v>0</v>
      </c>
      <c r="AI642" s="2">
        <v>585076</v>
      </c>
      <c r="AJ642" s="2">
        <v>159298</v>
      </c>
      <c r="AK642" s="2">
        <v>0</v>
      </c>
      <c r="AL642" s="2">
        <v>0</v>
      </c>
      <c r="AM642" s="5">
        <v>6646.2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7443.74</v>
      </c>
      <c r="AT642" s="12">
        <v>6646.2</v>
      </c>
      <c r="AU642" s="2">
        <v>0</v>
      </c>
      <c r="AV642" s="5">
        <v>3721.87</v>
      </c>
      <c r="AX642" s="2">
        <v>585076</v>
      </c>
      <c r="AY642" s="2">
        <v>159298</v>
      </c>
      <c r="AZ642" s="2">
        <v>0</v>
      </c>
      <c r="BA642" s="2">
        <v>0</v>
      </c>
      <c r="BB642" s="5">
        <v>0</v>
      </c>
      <c r="BC642" s="12">
        <v>0</v>
      </c>
      <c r="BD642" s="2">
        <v>0</v>
      </c>
      <c r="BE642" s="2">
        <v>0</v>
      </c>
      <c r="BF642" s="2">
        <v>0</v>
      </c>
      <c r="BG642" s="5">
        <v>0</v>
      </c>
      <c r="BH642" s="2">
        <v>0</v>
      </c>
      <c r="BI642" s="12">
        <v>0</v>
      </c>
      <c r="BJ642" s="2">
        <v>0</v>
      </c>
      <c r="BK642" s="5">
        <v>3721.87</v>
      </c>
      <c r="BL642" s="1" t="s">
        <v>90</v>
      </c>
    </row>
    <row r="643" spans="1:64" x14ac:dyDescent="0.3">
      <c r="A643" t="s">
        <v>1421</v>
      </c>
      <c r="B643" s="1" t="s">
        <v>1421</v>
      </c>
      <c r="C643" s="9" t="s">
        <v>1422</v>
      </c>
      <c r="D643" s="1" t="s">
        <v>95</v>
      </c>
      <c r="E643" s="1" t="s">
        <v>128</v>
      </c>
      <c r="F643" s="10" t="s">
        <v>129</v>
      </c>
      <c r="G643" s="1">
        <v>0</v>
      </c>
      <c r="H643" s="1">
        <v>0.05</v>
      </c>
      <c r="I643" s="8">
        <v>45488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0</v>
      </c>
      <c r="U643" s="6">
        <v>0</v>
      </c>
      <c r="V643" s="6">
        <v>0</v>
      </c>
      <c r="W643" s="6">
        <v>0</v>
      </c>
      <c r="AI643" s="2">
        <v>157308</v>
      </c>
      <c r="AJ643" s="2">
        <v>6830</v>
      </c>
      <c r="AK643" s="2">
        <v>7022.68</v>
      </c>
      <c r="AL643" s="2">
        <v>304.91000000000003</v>
      </c>
      <c r="AM643" s="5">
        <v>1465.52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9848.2800000000007</v>
      </c>
      <c r="AT643" s="12">
        <v>8793.11</v>
      </c>
      <c r="AU643" s="2">
        <v>0</v>
      </c>
      <c r="AV643" s="5">
        <v>820.69</v>
      </c>
      <c r="AX643" s="2">
        <v>157308</v>
      </c>
      <c r="AY643" s="2">
        <v>6830</v>
      </c>
      <c r="AZ643" s="2">
        <v>7022.68</v>
      </c>
      <c r="BA643" s="2">
        <v>304.91000000000003</v>
      </c>
      <c r="BB643" s="5">
        <v>1465.52</v>
      </c>
      <c r="BC643" s="12">
        <v>0</v>
      </c>
      <c r="BD643" s="2">
        <v>0</v>
      </c>
      <c r="BE643" s="2">
        <v>0</v>
      </c>
      <c r="BF643" s="2">
        <v>0</v>
      </c>
      <c r="BG643" s="5">
        <v>0</v>
      </c>
      <c r="BH643" s="2">
        <v>9848.2800000000007</v>
      </c>
      <c r="BI643" s="12">
        <v>8793.11</v>
      </c>
      <c r="BJ643" s="2">
        <v>0</v>
      </c>
      <c r="BK643" s="5">
        <v>820.69</v>
      </c>
      <c r="BL643" s="1" t="s">
        <v>130</v>
      </c>
    </row>
    <row r="644" spans="1:64" x14ac:dyDescent="0.3">
      <c r="A644" t="s">
        <v>1421</v>
      </c>
      <c r="B644" s="1" t="s">
        <v>1423</v>
      </c>
      <c r="C644" s="9" t="s">
        <v>1424</v>
      </c>
      <c r="D644" s="1" t="s">
        <v>95</v>
      </c>
      <c r="E644" s="1" t="s">
        <v>128</v>
      </c>
      <c r="F644" s="10" t="s">
        <v>129</v>
      </c>
      <c r="G644" s="1">
        <v>0</v>
      </c>
      <c r="H644" s="1">
        <v>0.05</v>
      </c>
      <c r="I644" s="8">
        <v>45600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AX644" s="2">
        <v>0</v>
      </c>
      <c r="AY644" s="2">
        <v>0</v>
      </c>
      <c r="AZ644" s="2">
        <v>0</v>
      </c>
      <c r="BA644" s="2">
        <v>0</v>
      </c>
      <c r="BB644" s="5">
        <v>0</v>
      </c>
      <c r="BC644" s="12">
        <v>0</v>
      </c>
      <c r="BD644" s="2">
        <v>0</v>
      </c>
      <c r="BE644" s="2">
        <v>0</v>
      </c>
      <c r="BF644" s="2">
        <v>0</v>
      </c>
      <c r="BG644" s="5">
        <v>0</v>
      </c>
      <c r="BH644" s="2">
        <v>0</v>
      </c>
      <c r="BI644" s="12">
        <v>0</v>
      </c>
      <c r="BJ644" s="2">
        <v>0</v>
      </c>
      <c r="BK644" s="5">
        <v>0</v>
      </c>
      <c r="BL644" s="1" t="s">
        <v>130</v>
      </c>
    </row>
    <row r="645" spans="1:64" x14ac:dyDescent="0.3">
      <c r="A645" t="s">
        <v>1425</v>
      </c>
      <c r="B645" s="1" t="s">
        <v>1425</v>
      </c>
      <c r="C645" s="9" t="s">
        <v>1426</v>
      </c>
      <c r="D645" s="1" t="s">
        <v>95</v>
      </c>
      <c r="E645" s="1" t="s">
        <v>88</v>
      </c>
      <c r="F645" s="10" t="s">
        <v>441</v>
      </c>
      <c r="G645" s="1">
        <v>0</v>
      </c>
      <c r="H645" s="1">
        <v>0.05</v>
      </c>
      <c r="I645" s="8">
        <v>45751</v>
      </c>
      <c r="J645" s="6">
        <v>0</v>
      </c>
      <c r="K645" s="6">
        <v>0</v>
      </c>
      <c r="L645" s="6">
        <v>0</v>
      </c>
      <c r="M645" s="6">
        <v>0</v>
      </c>
      <c r="N645" s="7">
        <v>0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0</v>
      </c>
      <c r="U645" s="6">
        <v>0</v>
      </c>
      <c r="V645" s="6">
        <v>0</v>
      </c>
      <c r="W645" s="6">
        <v>0</v>
      </c>
      <c r="AI645" s="2">
        <v>257402</v>
      </c>
      <c r="AJ645" s="2">
        <v>43963</v>
      </c>
      <c r="AK645" s="2">
        <v>10342.040000000001</v>
      </c>
      <c r="AL645" s="2">
        <v>1766.37</v>
      </c>
      <c r="AM645" s="5">
        <v>2690.76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16575.07</v>
      </c>
      <c r="AT645" s="12">
        <v>14799.17</v>
      </c>
      <c r="AU645" s="2">
        <v>0</v>
      </c>
      <c r="AV645" s="5">
        <v>1506.82</v>
      </c>
      <c r="AX645" s="2">
        <v>257402</v>
      </c>
      <c r="AY645" s="2">
        <v>43963</v>
      </c>
      <c r="AZ645" s="2">
        <v>10342.040000000001</v>
      </c>
      <c r="BA645" s="2">
        <v>1766.37</v>
      </c>
      <c r="BB645" s="5">
        <v>2690.76</v>
      </c>
      <c r="BC645" s="12">
        <v>0</v>
      </c>
      <c r="BD645" s="2">
        <v>0</v>
      </c>
      <c r="BE645" s="2">
        <v>0</v>
      </c>
      <c r="BF645" s="2">
        <v>0</v>
      </c>
      <c r="BG645" s="5">
        <v>0</v>
      </c>
      <c r="BH645" s="2">
        <v>16575.07</v>
      </c>
      <c r="BI645" s="12">
        <v>14799.17</v>
      </c>
      <c r="BJ645" s="2">
        <v>0</v>
      </c>
      <c r="BK645" s="5">
        <v>1506.82</v>
      </c>
      <c r="BL645" s="1" t="s">
        <v>90</v>
      </c>
    </row>
    <row r="646" spans="1:64" x14ac:dyDescent="0.3">
      <c r="A646" t="s">
        <v>1427</v>
      </c>
      <c r="B646" s="1" t="s">
        <v>1427</v>
      </c>
      <c r="C646" s="9" t="s">
        <v>1428</v>
      </c>
      <c r="D646" s="1" t="s">
        <v>95</v>
      </c>
      <c r="E646" s="1" t="s">
        <v>135</v>
      </c>
      <c r="F646" s="10" t="s">
        <v>193</v>
      </c>
      <c r="G646" s="1">
        <v>0</v>
      </c>
      <c r="H646" s="1">
        <v>0.05</v>
      </c>
      <c r="I646" s="8">
        <v>45616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0</v>
      </c>
      <c r="U646" s="6">
        <v>0</v>
      </c>
      <c r="V646" s="6">
        <v>0</v>
      </c>
      <c r="W646" s="6">
        <v>0</v>
      </c>
      <c r="AI646" s="2">
        <v>651641</v>
      </c>
      <c r="AJ646" s="2">
        <v>32170</v>
      </c>
      <c r="AK646" s="2">
        <v>29091.119999999999</v>
      </c>
      <c r="AL646" s="2">
        <v>1436.16</v>
      </c>
      <c r="AM646" s="5">
        <v>6105.46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41028.67</v>
      </c>
      <c r="AT646" s="12">
        <v>36632.74</v>
      </c>
      <c r="AU646" s="2">
        <v>0</v>
      </c>
      <c r="AV646" s="5">
        <v>3419.06</v>
      </c>
      <c r="AX646" s="2">
        <v>651641</v>
      </c>
      <c r="AY646" s="2">
        <v>32170</v>
      </c>
      <c r="AZ646" s="2">
        <v>29091.119999999999</v>
      </c>
      <c r="BA646" s="2">
        <v>1436.16</v>
      </c>
      <c r="BB646" s="5">
        <v>6105.46</v>
      </c>
      <c r="BC646" s="12">
        <v>0</v>
      </c>
      <c r="BD646" s="2">
        <v>0</v>
      </c>
      <c r="BE646" s="2">
        <v>0</v>
      </c>
      <c r="BF646" s="2">
        <v>0</v>
      </c>
      <c r="BG646" s="5">
        <v>0</v>
      </c>
      <c r="BH646" s="2">
        <v>41028.67</v>
      </c>
      <c r="BI646" s="12">
        <v>36632.74</v>
      </c>
      <c r="BJ646" s="2">
        <v>0</v>
      </c>
      <c r="BK646" s="5">
        <v>3419.06</v>
      </c>
      <c r="BL646" s="1" t="s">
        <v>137</v>
      </c>
    </row>
    <row r="647" spans="1:64" x14ac:dyDescent="0.3">
      <c r="A647" t="s">
        <v>1429</v>
      </c>
      <c r="B647" s="1" t="s">
        <v>1429</v>
      </c>
      <c r="C647" s="9" t="s">
        <v>1430</v>
      </c>
      <c r="D647" s="1" t="s">
        <v>95</v>
      </c>
      <c r="E647" s="1" t="s">
        <v>88</v>
      </c>
      <c r="F647" s="10" t="s">
        <v>218</v>
      </c>
      <c r="G647" s="1">
        <v>0</v>
      </c>
      <c r="H647" s="1">
        <v>0.05</v>
      </c>
      <c r="I647" s="8">
        <v>45553</v>
      </c>
      <c r="J647" s="6">
        <v>134140</v>
      </c>
      <c r="K647" s="6">
        <v>64429</v>
      </c>
      <c r="L647" s="6">
        <v>5988.3899999999994</v>
      </c>
      <c r="M647" s="6">
        <v>2876.29</v>
      </c>
      <c r="N647" s="7">
        <v>1772.9399999999996</v>
      </c>
      <c r="O647" s="6">
        <v>-232813.62</v>
      </c>
      <c r="P647" s="6">
        <v>-23172.93</v>
      </c>
      <c r="Q647" s="6">
        <v>-10393.459999999999</v>
      </c>
      <c r="R647" s="6">
        <v>-1034.51</v>
      </c>
      <c r="S647" s="7">
        <v>0</v>
      </c>
      <c r="T647" s="11">
        <v>-885.19000000000233</v>
      </c>
      <c r="U647" s="6">
        <v>-790.34999999999854</v>
      </c>
      <c r="V647" s="6">
        <v>0</v>
      </c>
      <c r="W647" s="6">
        <v>-287.08999999999969</v>
      </c>
      <c r="AI647" s="2">
        <v>449930</v>
      </c>
      <c r="AJ647" s="2">
        <v>213192</v>
      </c>
      <c r="AK647" s="2">
        <v>20086.16</v>
      </c>
      <c r="AL647" s="2">
        <v>9517.5</v>
      </c>
      <c r="AM647" s="5">
        <v>5920.73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39787.32</v>
      </c>
      <c r="AT647" s="12">
        <v>35524.39</v>
      </c>
      <c r="AU647" s="2">
        <v>0</v>
      </c>
      <c r="AV647" s="5">
        <v>3315.61</v>
      </c>
      <c r="AX647" s="2">
        <v>315790</v>
      </c>
      <c r="AY647" s="2">
        <v>148763</v>
      </c>
      <c r="AZ647" s="2">
        <v>14097.77</v>
      </c>
      <c r="BA647" s="2">
        <v>6641.21</v>
      </c>
      <c r="BB647" s="5">
        <v>4147.79</v>
      </c>
      <c r="BC647" s="12">
        <v>232813.62</v>
      </c>
      <c r="BD647" s="2">
        <v>23172.93</v>
      </c>
      <c r="BE647" s="2">
        <v>10393.459999999999</v>
      </c>
      <c r="BF647" s="2">
        <v>1034.51</v>
      </c>
      <c r="BG647" s="5">
        <v>0</v>
      </c>
      <c r="BH647" s="2">
        <v>40672.51</v>
      </c>
      <c r="BI647" s="12">
        <v>36314.74</v>
      </c>
      <c r="BJ647" s="2">
        <v>0</v>
      </c>
      <c r="BK647" s="5">
        <v>3602.7</v>
      </c>
      <c r="BL647" s="1" t="s">
        <v>90</v>
      </c>
    </row>
    <row r="648" spans="1:64" x14ac:dyDescent="0.3">
      <c r="A648" t="s">
        <v>1431</v>
      </c>
      <c r="B648" s="1" t="s">
        <v>1431</v>
      </c>
      <c r="C648" s="9" t="s">
        <v>1432</v>
      </c>
      <c r="D648" s="1" t="s">
        <v>95</v>
      </c>
      <c r="E648" s="1" t="s">
        <v>135</v>
      </c>
      <c r="F648" s="10" t="s">
        <v>485</v>
      </c>
      <c r="G648" s="1">
        <v>0</v>
      </c>
      <c r="H648" s="1">
        <v>0.05</v>
      </c>
      <c r="I648" s="8">
        <v>45639</v>
      </c>
      <c r="J648" s="6">
        <v>535205.56000000006</v>
      </c>
      <c r="K648" s="6">
        <v>74394</v>
      </c>
      <c r="L648" s="6">
        <v>23893.11</v>
      </c>
      <c r="M648" s="6">
        <v>3321.16</v>
      </c>
      <c r="N648" s="7">
        <v>5442.86</v>
      </c>
      <c r="O648" s="6">
        <v>-521541.29999999993</v>
      </c>
      <c r="P648" s="6">
        <v>-23415.600000000002</v>
      </c>
      <c r="Q648" s="6">
        <v>-23283.09</v>
      </c>
      <c r="R648" s="6">
        <v>-1045.3399999999999</v>
      </c>
      <c r="S648" s="7">
        <v>0</v>
      </c>
      <c r="T648" s="11">
        <v>9328.1499999999978</v>
      </c>
      <c r="U648" s="6">
        <v>8328.7000000000007</v>
      </c>
      <c r="V648" s="6">
        <v>0</v>
      </c>
      <c r="W648" s="6">
        <v>323.2199999999998</v>
      </c>
      <c r="AI648" s="2">
        <v>535205.56000000006</v>
      </c>
      <c r="AJ648" s="2">
        <v>74394</v>
      </c>
      <c r="AK648" s="2">
        <v>23893.11</v>
      </c>
      <c r="AL648" s="2">
        <v>3321.16</v>
      </c>
      <c r="AM648" s="5">
        <v>5442.86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36575.99</v>
      </c>
      <c r="AT648" s="12">
        <v>32657.13</v>
      </c>
      <c r="AU648" s="2">
        <v>0</v>
      </c>
      <c r="AV648" s="5">
        <v>3048</v>
      </c>
      <c r="AX648" s="2">
        <v>0</v>
      </c>
      <c r="AY648" s="2">
        <v>0</v>
      </c>
      <c r="AZ648" s="2">
        <v>0</v>
      </c>
      <c r="BA648" s="2">
        <v>0</v>
      </c>
      <c r="BB648" s="5">
        <v>0</v>
      </c>
      <c r="BC648" s="12">
        <v>521541.29999999993</v>
      </c>
      <c r="BD648" s="2">
        <v>23415.600000000002</v>
      </c>
      <c r="BE648" s="2">
        <v>23283.09</v>
      </c>
      <c r="BF648" s="2">
        <v>1045.3399999999999</v>
      </c>
      <c r="BG648" s="5">
        <v>0</v>
      </c>
      <c r="BH648" s="2">
        <v>27247.84</v>
      </c>
      <c r="BI648" s="12">
        <v>24328.43</v>
      </c>
      <c r="BJ648" s="2">
        <v>0</v>
      </c>
      <c r="BK648" s="5">
        <v>2724.78</v>
      </c>
      <c r="BL648" s="1" t="s">
        <v>302</v>
      </c>
    </row>
    <row r="649" spans="1:64" x14ac:dyDescent="0.3">
      <c r="A649" t="s">
        <v>1433</v>
      </c>
      <c r="B649" s="1" t="s">
        <v>1433</v>
      </c>
      <c r="C649" s="9" t="s">
        <v>1434</v>
      </c>
      <c r="D649" s="1" t="s">
        <v>95</v>
      </c>
      <c r="E649" s="1" t="s">
        <v>128</v>
      </c>
      <c r="F649" s="10" t="s">
        <v>309</v>
      </c>
      <c r="G649" s="1">
        <v>0</v>
      </c>
      <c r="H649" s="1">
        <v>0.05</v>
      </c>
      <c r="I649" s="8">
        <v>45665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0</v>
      </c>
      <c r="P649" s="6">
        <v>0</v>
      </c>
      <c r="Q649" s="6">
        <v>0</v>
      </c>
      <c r="R649" s="6">
        <v>0</v>
      </c>
      <c r="S649" s="7">
        <v>4823.2299999999996</v>
      </c>
      <c r="T649" s="11">
        <v>5402.02</v>
      </c>
      <c r="U649" s="6">
        <v>4823.2299999999996</v>
      </c>
      <c r="V649" s="6">
        <v>0</v>
      </c>
      <c r="W649" s="6">
        <v>0</v>
      </c>
      <c r="AI649" s="2">
        <v>0</v>
      </c>
      <c r="AJ649" s="2">
        <v>0</v>
      </c>
      <c r="AK649" s="2">
        <v>0</v>
      </c>
      <c r="AL649" s="2">
        <v>0</v>
      </c>
      <c r="AM649" s="5">
        <v>0</v>
      </c>
      <c r="AN649" s="12">
        <v>513378.30000000005</v>
      </c>
      <c r="AO649" s="2">
        <v>26823.300000000003</v>
      </c>
      <c r="AP649" s="2">
        <v>22918.68</v>
      </c>
      <c r="AQ649" s="2">
        <v>1197.47</v>
      </c>
      <c r="AR649" s="5">
        <v>4823.2299999999996</v>
      </c>
      <c r="AS649" s="2">
        <v>32412.11</v>
      </c>
      <c r="AT649" s="12">
        <v>28939.38</v>
      </c>
      <c r="AU649" s="2">
        <v>0</v>
      </c>
      <c r="AV649" s="5">
        <v>2701.01</v>
      </c>
      <c r="AX649" s="2">
        <v>0</v>
      </c>
      <c r="AY649" s="2">
        <v>0</v>
      </c>
      <c r="AZ649" s="2">
        <v>0</v>
      </c>
      <c r="BA649" s="2">
        <v>0</v>
      </c>
      <c r="BB649" s="5">
        <v>0</v>
      </c>
      <c r="BC649" s="12">
        <v>513378.30000000005</v>
      </c>
      <c r="BD649" s="2">
        <v>26823.300000000003</v>
      </c>
      <c r="BE649" s="2">
        <v>22918.68</v>
      </c>
      <c r="BF649" s="2">
        <v>1197.47</v>
      </c>
      <c r="BG649" s="5">
        <v>0</v>
      </c>
      <c r="BH649" s="2">
        <v>27010.09</v>
      </c>
      <c r="BI649" s="12">
        <v>24116.15</v>
      </c>
      <c r="BJ649" s="2">
        <v>0</v>
      </c>
      <c r="BK649" s="5">
        <v>2701.01</v>
      </c>
      <c r="BL649" s="1" t="s">
        <v>130</v>
      </c>
    </row>
    <row r="650" spans="1:64" x14ac:dyDescent="0.3">
      <c r="A650" t="s">
        <v>1435</v>
      </c>
      <c r="B650" s="1" t="s">
        <v>1435</v>
      </c>
      <c r="C650" s="9" t="s">
        <v>1436</v>
      </c>
      <c r="D650" s="1" t="s">
        <v>95</v>
      </c>
      <c r="E650" s="1" t="s">
        <v>88</v>
      </c>
      <c r="F650" s="10" t="s">
        <v>472</v>
      </c>
      <c r="G650" s="1">
        <v>0</v>
      </c>
      <c r="H650" s="1">
        <v>0</v>
      </c>
      <c r="I650" s="8">
        <v>45586</v>
      </c>
      <c r="J650" s="6">
        <v>0</v>
      </c>
      <c r="K650" s="6">
        <v>0</v>
      </c>
      <c r="L650" s="6">
        <v>0</v>
      </c>
      <c r="M650" s="6">
        <v>0</v>
      </c>
      <c r="N650" s="7">
        <v>12320.8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13799.3</v>
      </c>
      <c r="U650" s="6">
        <v>12320.8</v>
      </c>
      <c r="V650" s="6">
        <v>0</v>
      </c>
      <c r="W650" s="6">
        <v>0</v>
      </c>
      <c r="AI650" s="2">
        <v>1088010.5</v>
      </c>
      <c r="AJ650" s="2">
        <v>291919</v>
      </c>
      <c r="AK650" s="2">
        <v>0</v>
      </c>
      <c r="AL650" s="2">
        <v>0</v>
      </c>
      <c r="AM650" s="5">
        <v>12320.8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13799.3</v>
      </c>
      <c r="AT650" s="12">
        <v>12320.8</v>
      </c>
      <c r="AU650" s="2">
        <v>0</v>
      </c>
      <c r="AV650" s="5">
        <v>6899.65</v>
      </c>
      <c r="AX650" s="2">
        <v>1088010.5</v>
      </c>
      <c r="AY650" s="2">
        <v>291919</v>
      </c>
      <c r="AZ650" s="2">
        <v>0</v>
      </c>
      <c r="BA650" s="2">
        <v>0</v>
      </c>
      <c r="BB650" s="5">
        <v>0</v>
      </c>
      <c r="BC650" s="12">
        <v>0</v>
      </c>
      <c r="BD650" s="2">
        <v>0</v>
      </c>
      <c r="BE650" s="2">
        <v>0</v>
      </c>
      <c r="BF650" s="2">
        <v>0</v>
      </c>
      <c r="BG650" s="5">
        <v>0</v>
      </c>
      <c r="BH650" s="2">
        <v>0</v>
      </c>
      <c r="BI650" s="12">
        <v>0</v>
      </c>
      <c r="BJ650" s="2">
        <v>0</v>
      </c>
      <c r="BK650" s="5">
        <v>6899.65</v>
      </c>
      <c r="BL650" s="1" t="s">
        <v>90</v>
      </c>
    </row>
    <row r="651" spans="1:64" x14ac:dyDescent="0.3">
      <c r="A651" t="s">
        <v>1437</v>
      </c>
      <c r="B651" s="1" t="s">
        <v>1437</v>
      </c>
      <c r="C651" s="9" t="s">
        <v>1438</v>
      </c>
      <c r="D651" s="1" t="s">
        <v>95</v>
      </c>
      <c r="E651" s="1" t="s">
        <v>135</v>
      </c>
      <c r="F651" s="10" t="s">
        <v>435</v>
      </c>
      <c r="G651" s="1">
        <v>0</v>
      </c>
      <c r="H651" s="1">
        <v>0.05</v>
      </c>
      <c r="I651" s="8">
        <v>45589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0</v>
      </c>
      <c r="U651" s="6">
        <v>0</v>
      </c>
      <c r="V651" s="6">
        <v>0</v>
      </c>
      <c r="W651" s="6">
        <v>0</v>
      </c>
      <c r="AI651" s="2">
        <v>701766</v>
      </c>
      <c r="AJ651" s="2">
        <v>75770</v>
      </c>
      <c r="AK651" s="2">
        <v>31328.84</v>
      </c>
      <c r="AL651" s="2">
        <v>3382.59</v>
      </c>
      <c r="AM651" s="5">
        <v>6942.29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46652.17</v>
      </c>
      <c r="AT651" s="12">
        <v>41653.72</v>
      </c>
      <c r="AU651" s="2">
        <v>0</v>
      </c>
      <c r="AV651" s="5">
        <v>3887.68</v>
      </c>
      <c r="AX651" s="2">
        <v>701766</v>
      </c>
      <c r="AY651" s="2">
        <v>75770</v>
      </c>
      <c r="AZ651" s="2">
        <v>31328.84</v>
      </c>
      <c r="BA651" s="2">
        <v>3382.59</v>
      </c>
      <c r="BB651" s="5">
        <v>6942.29</v>
      </c>
      <c r="BC651" s="12">
        <v>0</v>
      </c>
      <c r="BD651" s="2">
        <v>0</v>
      </c>
      <c r="BE651" s="2">
        <v>0</v>
      </c>
      <c r="BF651" s="2">
        <v>0</v>
      </c>
      <c r="BG651" s="5">
        <v>0</v>
      </c>
      <c r="BH651" s="2">
        <v>46652.17</v>
      </c>
      <c r="BI651" s="12">
        <v>41653.72</v>
      </c>
      <c r="BJ651" s="2">
        <v>0</v>
      </c>
      <c r="BK651" s="5">
        <v>3887.68</v>
      </c>
      <c r="BL651" s="1" t="s">
        <v>302</v>
      </c>
    </row>
    <row r="652" spans="1:64" x14ac:dyDescent="0.3">
      <c r="A652" t="s">
        <v>1439</v>
      </c>
      <c r="B652" s="1" t="s">
        <v>1439</v>
      </c>
      <c r="C652" s="9" t="s">
        <v>1440</v>
      </c>
      <c r="D652" s="1" t="s">
        <v>95</v>
      </c>
      <c r="E652" s="1" t="s">
        <v>88</v>
      </c>
      <c r="F652" s="10" t="s">
        <v>1348</v>
      </c>
      <c r="G652" s="1">
        <v>0</v>
      </c>
      <c r="H652" s="1">
        <v>0.05</v>
      </c>
      <c r="I652" s="8">
        <v>45596</v>
      </c>
      <c r="J652" s="6">
        <v>0</v>
      </c>
      <c r="K652" s="6">
        <v>0</v>
      </c>
      <c r="L652" s="6">
        <v>0</v>
      </c>
      <c r="M652" s="6">
        <v>0</v>
      </c>
      <c r="N652" s="7">
        <v>0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0</v>
      </c>
      <c r="U652" s="6">
        <v>0</v>
      </c>
      <c r="V652" s="6">
        <v>0</v>
      </c>
      <c r="W652" s="6">
        <v>0</v>
      </c>
      <c r="AI652" s="2">
        <v>183844</v>
      </c>
      <c r="AJ652" s="2">
        <v>23460</v>
      </c>
      <c r="AK652" s="2">
        <v>8207.32</v>
      </c>
      <c r="AL652" s="2">
        <v>1047.32</v>
      </c>
      <c r="AM652" s="5">
        <v>1850.93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12438.24</v>
      </c>
      <c r="AT652" s="12">
        <v>11105.57</v>
      </c>
      <c r="AU652" s="2">
        <v>0</v>
      </c>
      <c r="AV652" s="5">
        <v>1036.52</v>
      </c>
      <c r="AX652" s="2">
        <v>183844</v>
      </c>
      <c r="AY652" s="2">
        <v>23460</v>
      </c>
      <c r="AZ652" s="2">
        <v>8207.32</v>
      </c>
      <c r="BA652" s="2">
        <v>1047.32</v>
      </c>
      <c r="BB652" s="5">
        <v>1850.93</v>
      </c>
      <c r="BC652" s="12">
        <v>0</v>
      </c>
      <c r="BD652" s="2">
        <v>0</v>
      </c>
      <c r="BE652" s="2">
        <v>0</v>
      </c>
      <c r="BF652" s="2">
        <v>0</v>
      </c>
      <c r="BG652" s="5">
        <v>0</v>
      </c>
      <c r="BH652" s="2">
        <v>12438.24</v>
      </c>
      <c r="BI652" s="12">
        <v>11105.57</v>
      </c>
      <c r="BJ652" s="2">
        <v>0</v>
      </c>
      <c r="BK652" s="5">
        <v>1036.52</v>
      </c>
      <c r="BL652" s="1" t="s">
        <v>90</v>
      </c>
    </row>
    <row r="653" spans="1:64" x14ac:dyDescent="0.3">
      <c r="A653" t="s">
        <v>1441</v>
      </c>
      <c r="B653" s="1" t="s">
        <v>1441</v>
      </c>
      <c r="C653" s="9" t="s">
        <v>1442</v>
      </c>
      <c r="D653" s="1" t="s">
        <v>95</v>
      </c>
      <c r="E653" s="1" t="s">
        <v>88</v>
      </c>
      <c r="F653" s="10" t="s">
        <v>1443</v>
      </c>
      <c r="G653" s="1">
        <v>0</v>
      </c>
      <c r="H653" s="1">
        <v>0.05</v>
      </c>
      <c r="I653" s="8">
        <v>45596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0</v>
      </c>
      <c r="U653" s="6">
        <v>0</v>
      </c>
      <c r="V653" s="6">
        <v>0</v>
      </c>
      <c r="W653" s="6">
        <v>0</v>
      </c>
      <c r="AI653" s="2">
        <v>85286.39</v>
      </c>
      <c r="AJ653" s="2">
        <v>13520</v>
      </c>
      <c r="AK653" s="2">
        <v>3807.43</v>
      </c>
      <c r="AL653" s="2">
        <v>603.57000000000005</v>
      </c>
      <c r="AM653" s="5">
        <v>882.2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5928.38</v>
      </c>
      <c r="AT653" s="12">
        <v>5293.2</v>
      </c>
      <c r="AU653" s="2">
        <v>0</v>
      </c>
      <c r="AV653" s="5">
        <v>494.03</v>
      </c>
      <c r="AX653" s="2">
        <v>85286.39</v>
      </c>
      <c r="AY653" s="2">
        <v>13520</v>
      </c>
      <c r="AZ653" s="2">
        <v>3807.43</v>
      </c>
      <c r="BA653" s="2">
        <v>603.57000000000005</v>
      </c>
      <c r="BB653" s="5">
        <v>882.2</v>
      </c>
      <c r="BC653" s="12">
        <v>0</v>
      </c>
      <c r="BD653" s="2">
        <v>0</v>
      </c>
      <c r="BE653" s="2">
        <v>0</v>
      </c>
      <c r="BF653" s="2">
        <v>0</v>
      </c>
      <c r="BG653" s="5">
        <v>0</v>
      </c>
      <c r="BH653" s="2">
        <v>5928.38</v>
      </c>
      <c r="BI653" s="12">
        <v>5293.2</v>
      </c>
      <c r="BJ653" s="2">
        <v>0</v>
      </c>
      <c r="BK653" s="5">
        <v>494.03</v>
      </c>
      <c r="BL653" s="1" t="s">
        <v>90</v>
      </c>
    </row>
    <row r="654" spans="1:64" x14ac:dyDescent="0.3">
      <c r="A654" t="s">
        <v>1441</v>
      </c>
      <c r="B654" s="1" t="s">
        <v>1444</v>
      </c>
      <c r="C654" s="9" t="s">
        <v>1445</v>
      </c>
      <c r="D654" s="1" t="s">
        <v>95</v>
      </c>
      <c r="E654" s="1" t="s">
        <v>88</v>
      </c>
      <c r="F654" s="10" t="s">
        <v>1348</v>
      </c>
      <c r="G654" s="1">
        <v>0</v>
      </c>
      <c r="H654" s="1">
        <v>0.05</v>
      </c>
      <c r="I654" s="8">
        <v>45634</v>
      </c>
      <c r="J654" s="6">
        <v>-23060</v>
      </c>
      <c r="K654" s="6">
        <v>-2330</v>
      </c>
      <c r="L654" s="6">
        <v>-1029.46</v>
      </c>
      <c r="M654" s="6">
        <v>-104.01999999999998</v>
      </c>
      <c r="N654" s="7">
        <v>-226.7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-1523.4</v>
      </c>
      <c r="U654" s="6">
        <v>-1360.1799999999998</v>
      </c>
      <c r="V654" s="6">
        <v>0</v>
      </c>
      <c r="W654" s="6">
        <v>-126.95000000000002</v>
      </c>
      <c r="AI654" s="2">
        <v>41088.5</v>
      </c>
      <c r="AJ654" s="2">
        <v>7945</v>
      </c>
      <c r="AK654" s="2">
        <v>1834.31</v>
      </c>
      <c r="AL654" s="2">
        <v>354.69</v>
      </c>
      <c r="AM654" s="5">
        <v>437.8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2942.02</v>
      </c>
      <c r="AT654" s="12">
        <v>2626.8</v>
      </c>
      <c r="AU654" s="2">
        <v>0</v>
      </c>
      <c r="AV654" s="5">
        <v>245.17</v>
      </c>
      <c r="AX654" s="2">
        <v>64148.5</v>
      </c>
      <c r="AY654" s="2">
        <v>10275</v>
      </c>
      <c r="AZ654" s="2">
        <v>2863.77</v>
      </c>
      <c r="BA654" s="2">
        <v>458.71</v>
      </c>
      <c r="BB654" s="5">
        <v>664.5</v>
      </c>
      <c r="BC654" s="12">
        <v>0</v>
      </c>
      <c r="BD654" s="2">
        <v>0</v>
      </c>
      <c r="BE654" s="2">
        <v>0</v>
      </c>
      <c r="BF654" s="2">
        <v>0</v>
      </c>
      <c r="BG654" s="5">
        <v>0</v>
      </c>
      <c r="BH654" s="2">
        <v>4465.42</v>
      </c>
      <c r="BI654" s="12">
        <v>3986.98</v>
      </c>
      <c r="BJ654" s="2">
        <v>0</v>
      </c>
      <c r="BK654" s="5">
        <v>372.12</v>
      </c>
      <c r="BL654" s="1" t="s">
        <v>90</v>
      </c>
    </row>
    <row r="655" spans="1:64" x14ac:dyDescent="0.3">
      <c r="A655" t="s">
        <v>1446</v>
      </c>
      <c r="B655" s="1" t="s">
        <v>1446</v>
      </c>
      <c r="C655" s="9" t="s">
        <v>1447</v>
      </c>
      <c r="D655" s="1" t="s">
        <v>95</v>
      </c>
      <c r="E655" s="1" t="s">
        <v>128</v>
      </c>
      <c r="F655" s="10" t="s">
        <v>401</v>
      </c>
      <c r="G655" s="1">
        <v>0</v>
      </c>
      <c r="H655" s="1">
        <v>0.05</v>
      </c>
      <c r="I655" s="8">
        <v>45026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0</v>
      </c>
      <c r="AI655" s="2">
        <v>643586</v>
      </c>
      <c r="AJ655" s="2">
        <v>10776</v>
      </c>
      <c r="AK655" s="2">
        <v>28731.52</v>
      </c>
      <c r="AL655" s="2">
        <v>481.07</v>
      </c>
      <c r="AM655" s="5">
        <v>5842.52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39261.72</v>
      </c>
      <c r="AT655" s="12">
        <v>35055.11</v>
      </c>
      <c r="AU655" s="2">
        <v>0</v>
      </c>
      <c r="AV655" s="5">
        <v>3271.81</v>
      </c>
      <c r="AX655" s="2">
        <v>643586</v>
      </c>
      <c r="AY655" s="2">
        <v>10776</v>
      </c>
      <c r="AZ655" s="2">
        <v>28731.52</v>
      </c>
      <c r="BA655" s="2">
        <v>481.07</v>
      </c>
      <c r="BB655" s="5">
        <v>5842.52</v>
      </c>
      <c r="BC655" s="12">
        <v>0</v>
      </c>
      <c r="BD655" s="2">
        <v>0</v>
      </c>
      <c r="BE655" s="2">
        <v>0</v>
      </c>
      <c r="BF655" s="2">
        <v>0</v>
      </c>
      <c r="BG655" s="5">
        <v>0</v>
      </c>
      <c r="BH655" s="2">
        <v>39261.72</v>
      </c>
      <c r="BI655" s="12">
        <v>35055.11</v>
      </c>
      <c r="BJ655" s="2">
        <v>0</v>
      </c>
      <c r="BK655" s="5">
        <v>3271.81</v>
      </c>
      <c r="BL655" s="1" t="s">
        <v>130</v>
      </c>
    </row>
    <row r="656" spans="1:64" x14ac:dyDescent="0.3">
      <c r="A656" t="s">
        <v>1448</v>
      </c>
      <c r="B656" s="1" t="s">
        <v>1448</v>
      </c>
      <c r="C656" s="9" t="s">
        <v>1449</v>
      </c>
      <c r="D656" s="1" t="s">
        <v>95</v>
      </c>
      <c r="E656" s="1" t="s">
        <v>88</v>
      </c>
      <c r="F656" s="10" t="s">
        <v>432</v>
      </c>
      <c r="G656" s="1">
        <v>0</v>
      </c>
      <c r="H656" s="1">
        <v>0.05</v>
      </c>
      <c r="I656" s="8">
        <v>45730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0</v>
      </c>
      <c r="U656" s="6">
        <v>0</v>
      </c>
      <c r="V656" s="6">
        <v>0</v>
      </c>
      <c r="W656" s="6">
        <v>0</v>
      </c>
      <c r="AI656" s="2">
        <v>723409</v>
      </c>
      <c r="AJ656" s="2">
        <v>100570</v>
      </c>
      <c r="AK656" s="2">
        <v>32295.040000000001</v>
      </c>
      <c r="AL656" s="2">
        <v>4489.7299999999996</v>
      </c>
      <c r="AM656" s="5">
        <v>7356.96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49438.74</v>
      </c>
      <c r="AT656" s="12">
        <v>44141.73</v>
      </c>
      <c r="AU656" s="2">
        <v>0</v>
      </c>
      <c r="AV656" s="5">
        <v>4119.8999999999996</v>
      </c>
      <c r="AX656" s="2">
        <v>723409</v>
      </c>
      <c r="AY656" s="2">
        <v>100570</v>
      </c>
      <c r="AZ656" s="2">
        <v>32295.040000000001</v>
      </c>
      <c r="BA656" s="2">
        <v>4489.7299999999996</v>
      </c>
      <c r="BB656" s="5">
        <v>7356.96</v>
      </c>
      <c r="BC656" s="12">
        <v>0</v>
      </c>
      <c r="BD656" s="2">
        <v>0</v>
      </c>
      <c r="BE656" s="2">
        <v>0</v>
      </c>
      <c r="BF656" s="2">
        <v>0</v>
      </c>
      <c r="BG656" s="5">
        <v>0</v>
      </c>
      <c r="BH656" s="2">
        <v>49438.74</v>
      </c>
      <c r="BI656" s="12">
        <v>44141.73</v>
      </c>
      <c r="BJ656" s="2">
        <v>0</v>
      </c>
      <c r="BK656" s="5">
        <v>4119.8999999999996</v>
      </c>
      <c r="BL656" s="1" t="s">
        <v>90</v>
      </c>
    </row>
    <row r="657" spans="1:64" x14ac:dyDescent="0.3">
      <c r="A657" t="s">
        <v>1448</v>
      </c>
      <c r="B657" s="1" t="s">
        <v>1450</v>
      </c>
      <c r="C657" s="9" t="s">
        <v>626</v>
      </c>
      <c r="D657" s="1" t="s">
        <v>95</v>
      </c>
      <c r="E657" s="1" t="s">
        <v>88</v>
      </c>
      <c r="F657" s="10" t="s">
        <v>432</v>
      </c>
      <c r="G657" s="1">
        <v>0</v>
      </c>
      <c r="H657" s="1">
        <v>0.05</v>
      </c>
      <c r="I657" s="8">
        <v>0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0</v>
      </c>
      <c r="AJ657" s="2">
        <v>0</v>
      </c>
      <c r="AK657" s="2">
        <v>0</v>
      </c>
      <c r="AL657" s="2">
        <v>0</v>
      </c>
      <c r="AM657" s="5">
        <v>0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0</v>
      </c>
      <c r="AT657" s="12">
        <v>0</v>
      </c>
      <c r="AU657" s="2">
        <v>0</v>
      </c>
      <c r="AV657" s="5">
        <v>0</v>
      </c>
      <c r="AX657" s="2">
        <v>0</v>
      </c>
      <c r="AY657" s="2">
        <v>0</v>
      </c>
      <c r="AZ657" s="2">
        <v>0</v>
      </c>
      <c r="BA657" s="2">
        <v>0</v>
      </c>
      <c r="BB657" s="5">
        <v>0</v>
      </c>
      <c r="BC657" s="12">
        <v>0</v>
      </c>
      <c r="BD657" s="2">
        <v>0</v>
      </c>
      <c r="BE657" s="2">
        <v>0</v>
      </c>
      <c r="BF657" s="2">
        <v>0</v>
      </c>
      <c r="BG657" s="5">
        <v>0</v>
      </c>
      <c r="BH657" s="2">
        <v>0</v>
      </c>
      <c r="BI657" s="12">
        <v>0</v>
      </c>
      <c r="BJ657" s="2">
        <v>0</v>
      </c>
      <c r="BK657" s="5">
        <v>0</v>
      </c>
      <c r="BL657" s="1" t="s">
        <v>90</v>
      </c>
    </row>
    <row r="658" spans="1:64" x14ac:dyDescent="0.3">
      <c r="A658" t="s">
        <v>1451</v>
      </c>
      <c r="B658" s="1" t="s">
        <v>1451</v>
      </c>
      <c r="C658" s="9" t="s">
        <v>1452</v>
      </c>
      <c r="D658" s="1" t="s">
        <v>95</v>
      </c>
      <c r="E658" s="1" t="s">
        <v>88</v>
      </c>
      <c r="F658" s="10" t="s">
        <v>545</v>
      </c>
      <c r="G658" s="1">
        <v>0</v>
      </c>
      <c r="H658" s="1">
        <v>0.05</v>
      </c>
      <c r="I658" s="8">
        <v>0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0</v>
      </c>
      <c r="AJ658" s="2">
        <v>0</v>
      </c>
      <c r="AK658" s="2">
        <v>0</v>
      </c>
      <c r="AL658" s="2">
        <v>0</v>
      </c>
      <c r="AM658" s="5">
        <v>0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0</v>
      </c>
      <c r="AT658" s="12">
        <v>0</v>
      </c>
      <c r="AU658" s="2">
        <v>0</v>
      </c>
      <c r="AV658" s="5">
        <v>0</v>
      </c>
      <c r="AX658" s="2">
        <v>0</v>
      </c>
      <c r="AY658" s="2">
        <v>0</v>
      </c>
      <c r="AZ658" s="2">
        <v>0</v>
      </c>
      <c r="BA658" s="2">
        <v>0</v>
      </c>
      <c r="BB658" s="5">
        <v>0</v>
      </c>
      <c r="BC658" s="12">
        <v>0</v>
      </c>
      <c r="BD658" s="2">
        <v>0</v>
      </c>
      <c r="BE658" s="2">
        <v>0</v>
      </c>
      <c r="BF658" s="2">
        <v>0</v>
      </c>
      <c r="BG658" s="5">
        <v>0</v>
      </c>
      <c r="BH658" s="2">
        <v>0</v>
      </c>
      <c r="BI658" s="12">
        <v>0</v>
      </c>
      <c r="BJ658" s="2">
        <v>0</v>
      </c>
      <c r="BK658" s="5">
        <v>0</v>
      </c>
      <c r="BL658" s="1" t="s">
        <v>546</v>
      </c>
    </row>
    <row r="659" spans="1:64" x14ac:dyDescent="0.3">
      <c r="A659" t="s">
        <v>1453</v>
      </c>
      <c r="B659" s="1" t="s">
        <v>1453</v>
      </c>
      <c r="C659" s="9" t="s">
        <v>1454</v>
      </c>
      <c r="D659" s="1" t="s">
        <v>95</v>
      </c>
      <c r="E659" s="1" t="s">
        <v>135</v>
      </c>
      <c r="F659" s="10" t="s">
        <v>435</v>
      </c>
      <c r="G659" s="1">
        <v>0</v>
      </c>
      <c r="H659" s="1">
        <v>0.05</v>
      </c>
      <c r="I659" s="8">
        <v>44925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0</v>
      </c>
      <c r="U659" s="6">
        <v>0</v>
      </c>
      <c r="V659" s="6">
        <v>0</v>
      </c>
      <c r="W659" s="6">
        <v>0</v>
      </c>
      <c r="AI659" s="2">
        <v>230040</v>
      </c>
      <c r="AJ659" s="2">
        <v>59971</v>
      </c>
      <c r="AK659" s="2">
        <v>10269.64</v>
      </c>
      <c r="AL659" s="2">
        <v>2677.28</v>
      </c>
      <c r="AM659" s="5">
        <v>2589.38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17400.66</v>
      </c>
      <c r="AT659" s="12">
        <v>15536.3</v>
      </c>
      <c r="AU659" s="2">
        <v>0</v>
      </c>
      <c r="AV659" s="5">
        <v>1450.06</v>
      </c>
      <c r="AX659" s="2">
        <v>230040</v>
      </c>
      <c r="AY659" s="2">
        <v>59971</v>
      </c>
      <c r="AZ659" s="2">
        <v>10269.64</v>
      </c>
      <c r="BA659" s="2">
        <v>2677.28</v>
      </c>
      <c r="BB659" s="5">
        <v>2589.38</v>
      </c>
      <c r="BC659" s="12">
        <v>0</v>
      </c>
      <c r="BD659" s="2">
        <v>0</v>
      </c>
      <c r="BE659" s="2">
        <v>0</v>
      </c>
      <c r="BF659" s="2">
        <v>0</v>
      </c>
      <c r="BG659" s="5">
        <v>0</v>
      </c>
      <c r="BH659" s="2">
        <v>17400.66</v>
      </c>
      <c r="BI659" s="12">
        <v>15536.3</v>
      </c>
      <c r="BJ659" s="2">
        <v>0</v>
      </c>
      <c r="BK659" s="5">
        <v>1450.06</v>
      </c>
      <c r="BL659" s="1" t="s">
        <v>137</v>
      </c>
    </row>
    <row r="660" spans="1:64" x14ac:dyDescent="0.3">
      <c r="A660" t="s">
        <v>1455</v>
      </c>
      <c r="B660" s="1" t="s">
        <v>1455</v>
      </c>
      <c r="C660" s="9" t="s">
        <v>1456</v>
      </c>
      <c r="D660" s="1" t="s">
        <v>95</v>
      </c>
      <c r="E660" s="1" t="s">
        <v>88</v>
      </c>
      <c r="F660" s="10" t="s">
        <v>472</v>
      </c>
      <c r="G660" s="1">
        <v>0</v>
      </c>
      <c r="H660" s="1">
        <v>0</v>
      </c>
      <c r="I660" s="8">
        <v>0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0</v>
      </c>
      <c r="AJ660" s="2">
        <v>0</v>
      </c>
      <c r="AK660" s="2">
        <v>0</v>
      </c>
      <c r="AL660" s="2">
        <v>0</v>
      </c>
      <c r="AM660" s="5">
        <v>0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0</v>
      </c>
      <c r="AT660" s="12">
        <v>0</v>
      </c>
      <c r="AU660" s="2">
        <v>0</v>
      </c>
      <c r="AV660" s="5">
        <v>0</v>
      </c>
      <c r="AX660" s="2">
        <v>0</v>
      </c>
      <c r="AY660" s="2">
        <v>0</v>
      </c>
      <c r="AZ660" s="2">
        <v>0</v>
      </c>
      <c r="BA660" s="2">
        <v>0</v>
      </c>
      <c r="BB660" s="5">
        <v>0</v>
      </c>
      <c r="BC660" s="12">
        <v>0</v>
      </c>
      <c r="BD660" s="2">
        <v>0</v>
      </c>
      <c r="BE660" s="2">
        <v>0</v>
      </c>
      <c r="BF660" s="2">
        <v>0</v>
      </c>
      <c r="BG660" s="5">
        <v>0</v>
      </c>
      <c r="BH660" s="2">
        <v>0</v>
      </c>
      <c r="BI660" s="12">
        <v>0</v>
      </c>
      <c r="BJ660" s="2">
        <v>0</v>
      </c>
      <c r="BK660" s="5">
        <v>0</v>
      </c>
      <c r="BL660" s="1" t="s">
        <v>90</v>
      </c>
    </row>
    <row r="661" spans="1:64" x14ac:dyDescent="0.3">
      <c r="A661" t="s">
        <v>1457</v>
      </c>
      <c r="B661" s="1" t="s">
        <v>1457</v>
      </c>
      <c r="C661" s="9" t="s">
        <v>1458</v>
      </c>
      <c r="D661" s="1" t="s">
        <v>95</v>
      </c>
      <c r="E661" s="1" t="s">
        <v>128</v>
      </c>
      <c r="F661" s="10" t="s">
        <v>129</v>
      </c>
      <c r="G661" s="1">
        <v>0</v>
      </c>
      <c r="H661" s="1">
        <v>0.05</v>
      </c>
      <c r="I661" s="8">
        <v>0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0</v>
      </c>
      <c r="U661" s="6">
        <v>0</v>
      </c>
      <c r="V661" s="6">
        <v>0</v>
      </c>
      <c r="W661" s="6">
        <v>0</v>
      </c>
      <c r="AI661" s="2">
        <v>0</v>
      </c>
      <c r="AJ661" s="2">
        <v>0</v>
      </c>
      <c r="AK661" s="2">
        <v>0</v>
      </c>
      <c r="AL661" s="2">
        <v>0</v>
      </c>
      <c r="AM661" s="5">
        <v>0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0</v>
      </c>
      <c r="AT661" s="12">
        <v>0</v>
      </c>
      <c r="AU661" s="2">
        <v>0</v>
      </c>
      <c r="AV661" s="5">
        <v>0</v>
      </c>
      <c r="AX661" s="2">
        <v>0</v>
      </c>
      <c r="AY661" s="2">
        <v>0</v>
      </c>
      <c r="AZ661" s="2">
        <v>0</v>
      </c>
      <c r="BA661" s="2">
        <v>0</v>
      </c>
      <c r="BB661" s="5">
        <v>0</v>
      </c>
      <c r="BC661" s="12">
        <v>0</v>
      </c>
      <c r="BD661" s="2">
        <v>0</v>
      </c>
      <c r="BE661" s="2">
        <v>0</v>
      </c>
      <c r="BF661" s="2">
        <v>0</v>
      </c>
      <c r="BG661" s="5">
        <v>0</v>
      </c>
      <c r="BH661" s="2">
        <v>0</v>
      </c>
      <c r="BI661" s="12">
        <v>0</v>
      </c>
      <c r="BJ661" s="2">
        <v>0</v>
      </c>
      <c r="BK661" s="5">
        <v>0</v>
      </c>
      <c r="BL661" s="1" t="s">
        <v>130</v>
      </c>
    </row>
    <row r="662" spans="1:64" x14ac:dyDescent="0.3">
      <c r="A662" t="s">
        <v>1459</v>
      </c>
      <c r="B662" s="1" t="s">
        <v>1459</v>
      </c>
      <c r="C662" s="9" t="s">
        <v>1460</v>
      </c>
      <c r="D662" s="1" t="s">
        <v>95</v>
      </c>
      <c r="E662" s="1" t="s">
        <v>135</v>
      </c>
      <c r="F662" s="10" t="s">
        <v>193</v>
      </c>
      <c r="G662" s="1">
        <v>0</v>
      </c>
      <c r="H662" s="1">
        <v>0.05</v>
      </c>
      <c r="I662" s="8">
        <v>0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0</v>
      </c>
      <c r="AJ662" s="2">
        <v>0</v>
      </c>
      <c r="AK662" s="2">
        <v>0</v>
      </c>
      <c r="AL662" s="2">
        <v>0</v>
      </c>
      <c r="AM662" s="5">
        <v>0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0</v>
      </c>
      <c r="AT662" s="12">
        <v>0</v>
      </c>
      <c r="AU662" s="2">
        <v>0</v>
      </c>
      <c r="AV662" s="5">
        <v>0</v>
      </c>
      <c r="AX662" s="2">
        <v>0</v>
      </c>
      <c r="AY662" s="2">
        <v>0</v>
      </c>
      <c r="AZ662" s="2">
        <v>0</v>
      </c>
      <c r="BA662" s="2">
        <v>0</v>
      </c>
      <c r="BB662" s="5">
        <v>0</v>
      </c>
      <c r="BC662" s="12">
        <v>0</v>
      </c>
      <c r="BD662" s="2">
        <v>0</v>
      </c>
      <c r="BE662" s="2">
        <v>0</v>
      </c>
      <c r="BF662" s="2">
        <v>0</v>
      </c>
      <c r="BG662" s="5">
        <v>0</v>
      </c>
      <c r="BH662" s="2">
        <v>0</v>
      </c>
      <c r="BI662" s="12">
        <v>0</v>
      </c>
      <c r="BJ662" s="2">
        <v>0</v>
      </c>
      <c r="BK662" s="5">
        <v>0</v>
      </c>
      <c r="BL662" s="1" t="s">
        <v>137</v>
      </c>
    </row>
    <row r="663" spans="1:64" x14ac:dyDescent="0.3">
      <c r="A663" t="s">
        <v>1461</v>
      </c>
      <c r="B663" s="1" t="s">
        <v>1461</v>
      </c>
      <c r="C663" s="9" t="s">
        <v>1462</v>
      </c>
      <c r="D663" s="1" t="s">
        <v>95</v>
      </c>
      <c r="E663" s="1" t="s">
        <v>88</v>
      </c>
      <c r="F663" s="10" t="s">
        <v>472</v>
      </c>
      <c r="G663" s="1">
        <v>0</v>
      </c>
      <c r="H663" s="1">
        <v>0.02</v>
      </c>
      <c r="I663" s="8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0</v>
      </c>
      <c r="AJ663" s="2">
        <v>0</v>
      </c>
      <c r="AK663" s="2">
        <v>0</v>
      </c>
      <c r="AL663" s="2">
        <v>0</v>
      </c>
      <c r="AM663" s="5">
        <v>0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0</v>
      </c>
      <c r="AT663" s="12">
        <v>0</v>
      </c>
      <c r="AU663" s="2">
        <v>0</v>
      </c>
      <c r="AV663" s="5">
        <v>0</v>
      </c>
      <c r="AX663" s="2">
        <v>0</v>
      </c>
      <c r="AY663" s="2">
        <v>0</v>
      </c>
      <c r="AZ663" s="2">
        <v>0</v>
      </c>
      <c r="BA663" s="2">
        <v>0</v>
      </c>
      <c r="BB663" s="5">
        <v>0</v>
      </c>
      <c r="BC663" s="12">
        <v>0</v>
      </c>
      <c r="BD663" s="2">
        <v>0</v>
      </c>
      <c r="BE663" s="2">
        <v>0</v>
      </c>
      <c r="BF663" s="2">
        <v>0</v>
      </c>
      <c r="BG663" s="5">
        <v>0</v>
      </c>
      <c r="BH663" s="2">
        <v>0</v>
      </c>
      <c r="BI663" s="12">
        <v>0</v>
      </c>
      <c r="BJ663" s="2">
        <v>0</v>
      </c>
      <c r="BK663" s="5">
        <v>0</v>
      </c>
      <c r="BL663" s="1" t="s">
        <v>90</v>
      </c>
    </row>
    <row r="664" spans="1:64" x14ac:dyDescent="0.3">
      <c r="A664" t="s">
        <v>1463</v>
      </c>
      <c r="B664" s="1" t="s">
        <v>1463</v>
      </c>
      <c r="C664" s="9" t="s">
        <v>1464</v>
      </c>
      <c r="D664" s="1" t="s">
        <v>95</v>
      </c>
      <c r="E664" s="1" t="s">
        <v>88</v>
      </c>
      <c r="F664" s="10" t="s">
        <v>472</v>
      </c>
      <c r="G664" s="1">
        <v>0</v>
      </c>
      <c r="H664" s="1">
        <v>0.02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AX664" s="2">
        <v>0</v>
      </c>
      <c r="AY664" s="2">
        <v>0</v>
      </c>
      <c r="AZ664" s="2">
        <v>0</v>
      </c>
      <c r="BA664" s="2">
        <v>0</v>
      </c>
      <c r="BB664" s="5">
        <v>0</v>
      </c>
      <c r="BC664" s="12">
        <v>0</v>
      </c>
      <c r="BD664" s="2">
        <v>0</v>
      </c>
      <c r="BE664" s="2">
        <v>0</v>
      </c>
      <c r="BF664" s="2">
        <v>0</v>
      </c>
      <c r="BG664" s="5">
        <v>0</v>
      </c>
      <c r="BH664" s="2">
        <v>0</v>
      </c>
      <c r="BI664" s="12">
        <v>0</v>
      </c>
      <c r="BJ664" s="2">
        <v>0</v>
      </c>
      <c r="BK664" s="5">
        <v>0</v>
      </c>
      <c r="BL664" s="1" t="s">
        <v>90</v>
      </c>
    </row>
    <row r="665" spans="1:64" x14ac:dyDescent="0.3">
      <c r="A665" t="s">
        <v>1465</v>
      </c>
      <c r="B665" s="1" t="s">
        <v>1465</v>
      </c>
      <c r="C665" s="9" t="s">
        <v>1466</v>
      </c>
      <c r="D665" s="1" t="s">
        <v>95</v>
      </c>
      <c r="E665" s="1" t="s">
        <v>88</v>
      </c>
      <c r="F665" s="10" t="s">
        <v>1170</v>
      </c>
      <c r="G665" s="1">
        <v>0</v>
      </c>
      <c r="H665" s="1">
        <v>0.05</v>
      </c>
      <c r="I665" s="8">
        <v>45755</v>
      </c>
      <c r="J665" s="6">
        <v>257167</v>
      </c>
      <c r="K665" s="6">
        <v>17980</v>
      </c>
      <c r="L665" s="6">
        <v>8801.85</v>
      </c>
      <c r="M665" s="6">
        <v>615.38</v>
      </c>
      <c r="N665" s="7">
        <v>2456.67</v>
      </c>
      <c r="O665" s="6">
        <v>-595800.24</v>
      </c>
      <c r="P665" s="6">
        <v>-74573.759999999995</v>
      </c>
      <c r="Q665" s="6">
        <v>-20391.97</v>
      </c>
      <c r="R665" s="6">
        <v>-2552.37</v>
      </c>
      <c r="S665" s="7">
        <v>0</v>
      </c>
      <c r="T665" s="11">
        <v>-12398.89</v>
      </c>
      <c r="U665" s="6">
        <v>-11070.44</v>
      </c>
      <c r="V665" s="6">
        <v>0</v>
      </c>
      <c r="W665" s="6">
        <v>-1976.1299999999999</v>
      </c>
      <c r="AI665" s="2">
        <v>257167</v>
      </c>
      <c r="AJ665" s="2">
        <v>17980</v>
      </c>
      <c r="AK665" s="2">
        <v>8801.85</v>
      </c>
      <c r="AL665" s="2">
        <v>615.38</v>
      </c>
      <c r="AM665" s="5">
        <v>2456.67</v>
      </c>
      <c r="AN665" s="12">
        <v>0</v>
      </c>
      <c r="AO665" s="2">
        <v>0</v>
      </c>
      <c r="AP665" s="2">
        <v>0</v>
      </c>
      <c r="AQ665" s="2">
        <v>0</v>
      </c>
      <c r="AR665" s="5">
        <v>0</v>
      </c>
      <c r="AS665" s="2">
        <v>13298.77</v>
      </c>
      <c r="AT665" s="12">
        <v>11873.9</v>
      </c>
      <c r="AU665" s="2">
        <v>0</v>
      </c>
      <c r="AV665" s="5">
        <v>1375.74</v>
      </c>
      <c r="AX665" s="2">
        <v>0</v>
      </c>
      <c r="AY665" s="2">
        <v>0</v>
      </c>
      <c r="AZ665" s="2">
        <v>0</v>
      </c>
      <c r="BA665" s="2">
        <v>0</v>
      </c>
      <c r="BB665" s="5">
        <v>0</v>
      </c>
      <c r="BC665" s="12">
        <v>595800.24</v>
      </c>
      <c r="BD665" s="2">
        <v>74573.759999999995</v>
      </c>
      <c r="BE665" s="2">
        <v>20391.97</v>
      </c>
      <c r="BF665" s="2">
        <v>2552.37</v>
      </c>
      <c r="BG665" s="5">
        <v>0</v>
      </c>
      <c r="BH665" s="2">
        <v>25697.66</v>
      </c>
      <c r="BI665" s="12">
        <v>22944.34</v>
      </c>
      <c r="BJ665" s="2">
        <v>0</v>
      </c>
      <c r="BK665" s="5">
        <v>3351.87</v>
      </c>
      <c r="BL665" s="1" t="s">
        <v>90</v>
      </c>
    </row>
    <row r="666" spans="1:64" x14ac:dyDescent="0.3">
      <c r="A666" t="s">
        <v>1465</v>
      </c>
      <c r="B666" s="1" t="s">
        <v>1467</v>
      </c>
      <c r="C666" s="9" t="s">
        <v>1468</v>
      </c>
      <c r="D666" s="1" t="s">
        <v>95</v>
      </c>
      <c r="E666" s="1" t="s">
        <v>88</v>
      </c>
      <c r="F666" s="10" t="s">
        <v>1170</v>
      </c>
      <c r="G666" s="1">
        <v>0</v>
      </c>
      <c r="H666" s="1">
        <v>0.05</v>
      </c>
      <c r="I666" s="8">
        <v>45755</v>
      </c>
      <c r="J666" s="6">
        <v>55597</v>
      </c>
      <c r="K666" s="6">
        <v>10263</v>
      </c>
      <c r="L666" s="6">
        <v>1902.87</v>
      </c>
      <c r="M666" s="6">
        <v>351.27</v>
      </c>
      <c r="N666" s="7">
        <v>588.04</v>
      </c>
      <c r="O666" s="6">
        <v>-257618.39999999997</v>
      </c>
      <c r="P666" s="6">
        <v>-154040.88</v>
      </c>
      <c r="Q666" s="6">
        <v>-8817.2900000000009</v>
      </c>
      <c r="R666" s="6">
        <v>-5272.23</v>
      </c>
      <c r="S666" s="7">
        <v>0</v>
      </c>
      <c r="T666" s="11">
        <v>-12597.02</v>
      </c>
      <c r="U666" s="6">
        <v>-11247.34</v>
      </c>
      <c r="V666" s="6">
        <v>0</v>
      </c>
      <c r="W666" s="6">
        <v>-1729.0000000000002</v>
      </c>
      <c r="AI666" s="2">
        <v>55597</v>
      </c>
      <c r="AJ666" s="2">
        <v>10263</v>
      </c>
      <c r="AK666" s="2">
        <v>1902.87</v>
      </c>
      <c r="AL666" s="2">
        <v>351.27</v>
      </c>
      <c r="AM666" s="5">
        <v>588.04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3183.24</v>
      </c>
      <c r="AT666" s="12">
        <v>2842.18</v>
      </c>
      <c r="AU666" s="2">
        <v>0</v>
      </c>
      <c r="AV666" s="5">
        <v>329.3</v>
      </c>
      <c r="AX666" s="2">
        <v>0</v>
      </c>
      <c r="AY666" s="2">
        <v>0</v>
      </c>
      <c r="AZ666" s="2">
        <v>0</v>
      </c>
      <c r="BA666" s="2">
        <v>0</v>
      </c>
      <c r="BB666" s="5">
        <v>0</v>
      </c>
      <c r="BC666" s="12">
        <v>257618.39999999997</v>
      </c>
      <c r="BD666" s="2">
        <v>154040.88</v>
      </c>
      <c r="BE666" s="2">
        <v>8817.2900000000009</v>
      </c>
      <c r="BF666" s="2">
        <v>5272.23</v>
      </c>
      <c r="BG666" s="5">
        <v>0</v>
      </c>
      <c r="BH666" s="2">
        <v>15780.26</v>
      </c>
      <c r="BI666" s="12">
        <v>14089.52</v>
      </c>
      <c r="BJ666" s="2">
        <v>0</v>
      </c>
      <c r="BK666" s="5">
        <v>2058.3000000000002</v>
      </c>
      <c r="BL666" s="1" t="s">
        <v>90</v>
      </c>
    </row>
  </sheetData>
  <sortState xmlns:xlrd2="http://schemas.microsoft.com/office/spreadsheetml/2017/richdata2" ref="A6:BK666">
    <sortCondition ref="D1"/>
    <sortCondition ref="A1"/>
    <sortCondition ref="B1"/>
  </sortState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393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1002766.75</v>
      </c>
      <c r="AJ6" s="2">
        <v>358457</v>
      </c>
      <c r="AK6" s="2">
        <v>17906.55</v>
      </c>
      <c r="AL6" s="2">
        <v>6401.0199999999995</v>
      </c>
      <c r="AM6" s="5">
        <v>12153.779999999999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40836.71</v>
      </c>
      <c r="AT6" s="12">
        <v>36461.35</v>
      </c>
      <c r="AU6" s="2">
        <v>729.23</v>
      </c>
      <c r="AV6" s="5">
        <v>0</v>
      </c>
      <c r="AX6" s="2">
        <v>1002766.75</v>
      </c>
      <c r="AY6" s="2">
        <v>358457</v>
      </c>
      <c r="AZ6" s="2">
        <v>17906.55</v>
      </c>
      <c r="BA6" s="2">
        <v>6401.0199999999995</v>
      </c>
      <c r="BB6" s="5">
        <v>12153.779999999999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40836.71</v>
      </c>
      <c r="BI6" s="12">
        <v>36461.35</v>
      </c>
      <c r="BJ6" s="2">
        <v>729.23</v>
      </c>
      <c r="BK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865606</v>
      </c>
      <c r="AJ7" s="2">
        <v>167742</v>
      </c>
      <c r="AK7" s="2">
        <v>15457.25</v>
      </c>
      <c r="AL7" s="2">
        <v>2995.39</v>
      </c>
      <c r="AM7" s="5">
        <v>9226.32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31000.44</v>
      </c>
      <c r="AT7" s="12">
        <v>27678.959999999999</v>
      </c>
      <c r="AU7" s="2">
        <v>553.58000000000004</v>
      </c>
      <c r="AV7" s="5">
        <v>0</v>
      </c>
      <c r="AX7" s="2">
        <v>865606</v>
      </c>
      <c r="AY7" s="2">
        <v>167742</v>
      </c>
      <c r="AZ7" s="2">
        <v>15457.25</v>
      </c>
      <c r="BA7" s="2">
        <v>2995.39</v>
      </c>
      <c r="BB7" s="5">
        <v>9226.32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31000.44</v>
      </c>
      <c r="BI7" s="12">
        <v>27678.959999999999</v>
      </c>
      <c r="BJ7" s="2">
        <v>553.58000000000004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16717</v>
      </c>
      <c r="K8" s="6">
        <v>5720</v>
      </c>
      <c r="L8" s="6">
        <v>298.52000000000044</v>
      </c>
      <c r="M8" s="6">
        <v>102.14000000000033</v>
      </c>
      <c r="N8" s="7">
        <v>200.33999999999833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673.12</v>
      </c>
      <c r="U8" s="6">
        <v>600.99999999999636</v>
      </c>
      <c r="V8" s="6">
        <v>12.019999999999982</v>
      </c>
      <c r="W8" s="6">
        <v>0</v>
      </c>
      <c r="X8" s="46">
        <v>45815</v>
      </c>
      <c r="Y8" s="1">
        <v>25112153</v>
      </c>
      <c r="AC8" s="46">
        <v>45808</v>
      </c>
      <c r="AI8" s="2">
        <v>1326126</v>
      </c>
      <c r="AJ8" s="2">
        <v>438627</v>
      </c>
      <c r="AK8" s="2">
        <v>23680.82</v>
      </c>
      <c r="AL8" s="2">
        <v>7832.6200000000008</v>
      </c>
      <c r="AM8" s="5">
        <v>15756.729999999998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52942.59</v>
      </c>
      <c r="AT8" s="12">
        <v>47270.169999999991</v>
      </c>
      <c r="AU8" s="2">
        <v>945.4</v>
      </c>
      <c r="AV8" s="5">
        <v>0</v>
      </c>
      <c r="AX8" s="2">
        <v>1309409</v>
      </c>
      <c r="AY8" s="2">
        <v>432907</v>
      </c>
      <c r="AZ8" s="2">
        <v>23382.3</v>
      </c>
      <c r="BA8" s="2">
        <v>7730.48</v>
      </c>
      <c r="BB8" s="5">
        <v>15556.390000000001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52269.47</v>
      </c>
      <c r="BI8" s="12">
        <v>46669.17</v>
      </c>
      <c r="BJ8" s="2">
        <v>933.38</v>
      </c>
      <c r="BK8" s="5">
        <v>0</v>
      </c>
      <c r="BL8" s="1" t="s">
        <v>90</v>
      </c>
    </row>
    <row r="9" spans="1:64" x14ac:dyDescent="0.3">
      <c r="A9" t="s">
        <v>158</v>
      </c>
      <c r="B9" s="1" t="s">
        <v>158</v>
      </c>
      <c r="C9" s="9" t="s">
        <v>159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642167.5</v>
      </c>
      <c r="AJ9" s="2">
        <v>227994</v>
      </c>
      <c r="AK9" s="2">
        <v>11467.279999999999</v>
      </c>
      <c r="AL9" s="2">
        <v>4071.3199999999997</v>
      </c>
      <c r="AM9" s="5">
        <v>7769.3000000000011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26104.85</v>
      </c>
      <c r="AT9" s="12">
        <v>23307.899999999998</v>
      </c>
      <c r="AU9" s="2">
        <v>466.15999999999997</v>
      </c>
      <c r="AV9" s="5">
        <v>0</v>
      </c>
      <c r="AX9" s="2">
        <v>642167.5</v>
      </c>
      <c r="AY9" s="2">
        <v>227994</v>
      </c>
      <c r="AZ9" s="2">
        <v>11467.279999999999</v>
      </c>
      <c r="BA9" s="2">
        <v>4071.3199999999997</v>
      </c>
      <c r="BB9" s="5">
        <v>7769.3000000000011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26104.85</v>
      </c>
      <c r="BI9" s="12">
        <v>23307.899999999998</v>
      </c>
      <c r="BJ9" s="2">
        <v>466.15999999999997</v>
      </c>
      <c r="BK9" s="5">
        <v>0</v>
      </c>
      <c r="BL9" s="1" t="s">
        <v>90</v>
      </c>
    </row>
    <row r="10" spans="1:64" x14ac:dyDescent="0.3">
      <c r="A10" t="s">
        <v>219</v>
      </c>
      <c r="B10" s="1" t="s">
        <v>219</v>
      </c>
      <c r="C10" s="9" t="s">
        <v>220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47085</v>
      </c>
      <c r="AJ10" s="2">
        <v>14951</v>
      </c>
      <c r="AK10" s="2">
        <v>840.8</v>
      </c>
      <c r="AL10" s="2">
        <v>266.98</v>
      </c>
      <c r="AM10" s="5">
        <v>553.89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1861.07</v>
      </c>
      <c r="AT10" s="12">
        <v>1661.67</v>
      </c>
      <c r="AU10" s="2">
        <v>33.229999999999997</v>
      </c>
      <c r="AV10" s="5">
        <v>0</v>
      </c>
      <c r="AX10" s="2">
        <v>47085</v>
      </c>
      <c r="AY10" s="2">
        <v>14951</v>
      </c>
      <c r="AZ10" s="2">
        <v>840.8</v>
      </c>
      <c r="BA10" s="2">
        <v>266.98</v>
      </c>
      <c r="BB10" s="5">
        <v>553.89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1861.07</v>
      </c>
      <c r="BI10" s="12">
        <v>1661.67</v>
      </c>
      <c r="BJ10" s="2">
        <v>33.229999999999997</v>
      </c>
      <c r="BK10" s="5">
        <v>0</v>
      </c>
      <c r="BL10" s="1" t="s">
        <v>90</v>
      </c>
    </row>
    <row r="11" spans="1:64" x14ac:dyDescent="0.3">
      <c r="A11" t="s">
        <v>223</v>
      </c>
      <c r="B11" s="1" t="s">
        <v>223</v>
      </c>
      <c r="C11" s="9" t="s">
        <v>224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1237883.54</v>
      </c>
      <c r="AJ11" s="2">
        <v>244121.11</v>
      </c>
      <c r="AK11" s="2">
        <v>22105.059999999998</v>
      </c>
      <c r="AL11" s="2">
        <v>4359.3</v>
      </c>
      <c r="AM11" s="5">
        <v>13232.18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44460.12</v>
      </c>
      <c r="AT11" s="12">
        <v>39696.54</v>
      </c>
      <c r="AU11" s="2">
        <v>793.93000000000006</v>
      </c>
      <c r="AV11" s="5">
        <v>0</v>
      </c>
      <c r="AX11" s="2">
        <v>1237883.54</v>
      </c>
      <c r="AY11" s="2">
        <v>244121.11</v>
      </c>
      <c r="AZ11" s="2">
        <v>22105.059999999998</v>
      </c>
      <c r="BA11" s="2">
        <v>4359.3</v>
      </c>
      <c r="BB11" s="5">
        <v>13232.18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44460.12</v>
      </c>
      <c r="BI11" s="12">
        <v>39696.54</v>
      </c>
      <c r="BJ11" s="2">
        <v>793.93000000000006</v>
      </c>
      <c r="BK11" s="5">
        <v>0</v>
      </c>
      <c r="BL11" s="1" t="s">
        <v>90</v>
      </c>
    </row>
    <row r="12" spans="1:64" x14ac:dyDescent="0.3">
      <c r="A12" t="s">
        <v>239</v>
      </c>
      <c r="B12" s="1" t="s">
        <v>239</v>
      </c>
      <c r="C12" s="9" t="s">
        <v>240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756340.8</v>
      </c>
      <c r="AJ12" s="2">
        <v>387570</v>
      </c>
      <c r="AK12" s="2">
        <v>13506.09</v>
      </c>
      <c r="AL12" s="2">
        <v>6920.89</v>
      </c>
      <c r="AM12" s="5">
        <v>10213.5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34317.339999999997</v>
      </c>
      <c r="AT12" s="12">
        <v>30640.48</v>
      </c>
      <c r="AU12" s="2">
        <v>612.81999999999994</v>
      </c>
      <c r="AV12" s="5">
        <v>0</v>
      </c>
      <c r="AX12" s="2">
        <v>756340.8</v>
      </c>
      <c r="AY12" s="2">
        <v>387570</v>
      </c>
      <c r="AZ12" s="2">
        <v>13506.09</v>
      </c>
      <c r="BA12" s="2">
        <v>6920.89</v>
      </c>
      <c r="BB12" s="5">
        <v>10213.5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34317.339999999997</v>
      </c>
      <c r="BI12" s="12">
        <v>30640.48</v>
      </c>
      <c r="BJ12" s="2">
        <v>612.81999999999994</v>
      </c>
      <c r="BK12" s="5">
        <v>0</v>
      </c>
      <c r="BL12" s="1" t="s">
        <v>90</v>
      </c>
    </row>
    <row r="13" spans="1:64" x14ac:dyDescent="0.3">
      <c r="A13" t="s">
        <v>261</v>
      </c>
      <c r="B13" s="1" t="s">
        <v>261</v>
      </c>
      <c r="C13" s="9" t="s">
        <v>262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482110</v>
      </c>
      <c r="AJ13" s="2">
        <v>146248</v>
      </c>
      <c r="AK13" s="2">
        <v>8609.11</v>
      </c>
      <c r="AL13" s="2">
        <v>2611.5700000000002</v>
      </c>
      <c r="AM13" s="5">
        <v>5610.34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18850.740000000002</v>
      </c>
      <c r="AT13" s="12">
        <v>16831.02</v>
      </c>
      <c r="AU13" s="2">
        <v>336.62</v>
      </c>
      <c r="AV13" s="5">
        <v>0</v>
      </c>
      <c r="AX13" s="2">
        <v>482110</v>
      </c>
      <c r="AY13" s="2">
        <v>146248</v>
      </c>
      <c r="AZ13" s="2">
        <v>8609.11</v>
      </c>
      <c r="BA13" s="2">
        <v>2611.5700000000002</v>
      </c>
      <c r="BB13" s="5">
        <v>5610.34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18850.740000000002</v>
      </c>
      <c r="BI13" s="12">
        <v>16831.02</v>
      </c>
      <c r="BJ13" s="2">
        <v>336.62</v>
      </c>
      <c r="BK13" s="5">
        <v>0</v>
      </c>
      <c r="BL13" s="1" t="s">
        <v>90</v>
      </c>
    </row>
    <row r="14" spans="1:64" x14ac:dyDescent="0.3">
      <c r="A14" t="s">
        <v>274</v>
      </c>
      <c r="B14" s="1" t="s">
        <v>274</v>
      </c>
      <c r="C14" s="9" t="s">
        <v>275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604795.29</v>
      </c>
      <c r="AJ14" s="2">
        <v>263939.75</v>
      </c>
      <c r="AK14" s="2">
        <v>12219.21</v>
      </c>
      <c r="AL14" s="2">
        <v>5043.0300000000007</v>
      </c>
      <c r="AM14" s="5">
        <v>7756.57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28021.07</v>
      </c>
      <c r="AT14" s="12">
        <v>25018.81</v>
      </c>
      <c r="AU14" s="2">
        <v>500.37</v>
      </c>
      <c r="AV14" s="5">
        <v>0</v>
      </c>
      <c r="AX14" s="2">
        <v>604795.29</v>
      </c>
      <c r="AY14" s="2">
        <v>263939.75</v>
      </c>
      <c r="AZ14" s="2">
        <v>12219.21</v>
      </c>
      <c r="BA14" s="2">
        <v>5043.0300000000007</v>
      </c>
      <c r="BB14" s="5">
        <v>7756.57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28021.07</v>
      </c>
      <c r="BI14" s="12">
        <v>25018.81</v>
      </c>
      <c r="BJ14" s="2">
        <v>500.37</v>
      </c>
      <c r="BK14" s="5">
        <v>0</v>
      </c>
      <c r="BL14" s="1" t="s">
        <v>90</v>
      </c>
    </row>
    <row r="15" spans="1:64" x14ac:dyDescent="0.3">
      <c r="A15" t="s">
        <v>292</v>
      </c>
      <c r="B15" s="1" t="s">
        <v>292</v>
      </c>
      <c r="C15" s="9" t="s">
        <v>293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1104000.8799999999</v>
      </c>
      <c r="AJ15" s="2">
        <v>365545.87</v>
      </c>
      <c r="AK15" s="2">
        <v>19714.310000000001</v>
      </c>
      <c r="AL15" s="2">
        <v>6527.61</v>
      </c>
      <c r="AM15" s="5">
        <v>13120.960000000001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44086.43</v>
      </c>
      <c r="AT15" s="12">
        <v>39362.879999999997</v>
      </c>
      <c r="AU15" s="2">
        <v>787.26</v>
      </c>
      <c r="AV15" s="5">
        <v>0</v>
      </c>
      <c r="AX15" s="2">
        <v>1104000.8799999999</v>
      </c>
      <c r="AY15" s="2">
        <v>365545.87</v>
      </c>
      <c r="AZ15" s="2">
        <v>19714.310000000001</v>
      </c>
      <c r="BA15" s="2">
        <v>6527.61</v>
      </c>
      <c r="BB15" s="5">
        <v>13120.960000000001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44086.43</v>
      </c>
      <c r="BI15" s="12">
        <v>39362.879999999997</v>
      </c>
      <c r="BJ15" s="2">
        <v>787.26</v>
      </c>
      <c r="BK15" s="5">
        <v>0</v>
      </c>
      <c r="BL15" s="1" t="s">
        <v>90</v>
      </c>
    </row>
    <row r="16" spans="1:64" x14ac:dyDescent="0.3">
      <c r="A16" t="s">
        <v>395</v>
      </c>
      <c r="B16" s="1" t="s">
        <v>395</v>
      </c>
      <c r="C16" s="9" t="s">
        <v>396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1046861.3999999999</v>
      </c>
      <c r="AJ16" s="2">
        <v>305485</v>
      </c>
      <c r="AK16" s="2">
        <v>18693.96</v>
      </c>
      <c r="AL16" s="2">
        <v>5455.09</v>
      </c>
      <c r="AM16" s="5">
        <v>12074.52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40570.400000000001</v>
      </c>
      <c r="AT16" s="12">
        <v>36223.57</v>
      </c>
      <c r="AU16" s="2">
        <v>724.47</v>
      </c>
      <c r="AV16" s="5">
        <v>0</v>
      </c>
      <c r="AX16" s="2">
        <v>1046861.3999999999</v>
      </c>
      <c r="AY16" s="2">
        <v>305485</v>
      </c>
      <c r="AZ16" s="2">
        <v>18693.96</v>
      </c>
      <c r="BA16" s="2">
        <v>5455.09</v>
      </c>
      <c r="BB16" s="5">
        <v>12074.52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40570.400000000001</v>
      </c>
      <c r="BI16" s="12">
        <v>36223.57</v>
      </c>
      <c r="BJ16" s="2">
        <v>724.47</v>
      </c>
      <c r="BK16" s="5">
        <v>0</v>
      </c>
      <c r="BL16" s="1" t="s">
        <v>90</v>
      </c>
    </row>
    <row r="17" spans="1:64" x14ac:dyDescent="0.3">
      <c r="A17" t="s">
        <v>494</v>
      </c>
      <c r="B17" s="1" t="s">
        <v>494</v>
      </c>
      <c r="C17" s="9" t="s">
        <v>495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1173875.45</v>
      </c>
      <c r="AJ17" s="2">
        <v>460988.55</v>
      </c>
      <c r="AK17" s="2">
        <v>20962.07</v>
      </c>
      <c r="AL17" s="2">
        <v>8231.93</v>
      </c>
      <c r="AM17" s="5">
        <v>14597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49045.919999999998</v>
      </c>
      <c r="AT17" s="12">
        <v>43791</v>
      </c>
      <c r="AU17" s="2">
        <v>875.82</v>
      </c>
      <c r="AV17" s="5">
        <v>0</v>
      </c>
      <c r="AX17" s="2">
        <v>1173875.45</v>
      </c>
      <c r="AY17" s="2">
        <v>460988.55</v>
      </c>
      <c r="AZ17" s="2">
        <v>20962.07</v>
      </c>
      <c r="BA17" s="2">
        <v>8231.93</v>
      </c>
      <c r="BB17" s="5">
        <v>14597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49045.919999999998</v>
      </c>
      <c r="BI17" s="12">
        <v>43791</v>
      </c>
      <c r="BJ17" s="2">
        <v>875.82</v>
      </c>
      <c r="BK17" s="5">
        <v>0</v>
      </c>
      <c r="BL17" s="1" t="s">
        <v>90</v>
      </c>
    </row>
    <row r="18" spans="1:64" x14ac:dyDescent="0.3">
      <c r="A18" t="s">
        <v>642</v>
      </c>
      <c r="B18" s="1" t="s">
        <v>642</v>
      </c>
      <c r="C18" s="9" t="s">
        <v>643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364154.75</v>
      </c>
      <c r="AJ18" s="2">
        <v>70148</v>
      </c>
      <c r="AK18" s="2">
        <v>6502.77</v>
      </c>
      <c r="AL18" s="2">
        <v>1252.6400000000001</v>
      </c>
      <c r="AM18" s="5">
        <v>3877.71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13029.09</v>
      </c>
      <c r="AT18" s="12">
        <v>11633.12</v>
      </c>
      <c r="AU18" s="2">
        <v>232.66</v>
      </c>
      <c r="AV18" s="5">
        <v>0</v>
      </c>
      <c r="AX18" s="2">
        <v>364154.75</v>
      </c>
      <c r="AY18" s="2">
        <v>70148</v>
      </c>
      <c r="AZ18" s="2">
        <v>6502.77</v>
      </c>
      <c r="BA18" s="2">
        <v>1252.6400000000001</v>
      </c>
      <c r="BB18" s="5">
        <v>3877.71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13029.09</v>
      </c>
      <c r="BI18" s="12">
        <v>11633.12</v>
      </c>
      <c r="BJ18" s="2">
        <v>232.66</v>
      </c>
      <c r="BL18" s="1" t="s">
        <v>90</v>
      </c>
    </row>
    <row r="19" spans="1:64" x14ac:dyDescent="0.3">
      <c r="A19" t="s">
        <v>744</v>
      </c>
      <c r="B19" s="1" t="s">
        <v>744</v>
      </c>
      <c r="C19" s="9" t="s">
        <v>745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865319.29</v>
      </c>
      <c r="AJ19" s="2">
        <v>189358</v>
      </c>
      <c r="AK19" s="2">
        <v>15452.140000000001</v>
      </c>
      <c r="AL19" s="2">
        <v>3381.39</v>
      </c>
      <c r="AM19" s="5">
        <v>9416.7599999999984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31640.32</v>
      </c>
      <c r="AT19" s="12">
        <v>28250.29</v>
      </c>
      <c r="AU19" s="2">
        <v>565</v>
      </c>
      <c r="AV19" s="5">
        <v>0</v>
      </c>
      <c r="AX19" s="2">
        <v>865319.29</v>
      </c>
      <c r="AY19" s="2">
        <v>189358</v>
      </c>
      <c r="AZ19" s="2">
        <v>15452.140000000001</v>
      </c>
      <c r="BA19" s="2">
        <v>3381.39</v>
      </c>
      <c r="BB19" s="5">
        <v>9416.7599999999984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31640.32</v>
      </c>
      <c r="BI19" s="12">
        <v>28250.29</v>
      </c>
      <c r="BJ19" s="2">
        <v>565</v>
      </c>
      <c r="BK19" s="5">
        <v>0</v>
      </c>
      <c r="BL19" s="1" t="s">
        <v>90</v>
      </c>
    </row>
    <row r="20" spans="1:64" x14ac:dyDescent="0.3">
      <c r="A20" t="s">
        <v>748</v>
      </c>
      <c r="B20" s="1" t="s">
        <v>748</v>
      </c>
      <c r="C20" s="9" t="s">
        <v>749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736781</v>
      </c>
      <c r="AJ20" s="2">
        <v>227673</v>
      </c>
      <c r="AK20" s="2">
        <v>13156.8</v>
      </c>
      <c r="AL20" s="2">
        <v>4065.59</v>
      </c>
      <c r="AM20" s="5">
        <v>8611.2000000000007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28933.62</v>
      </c>
      <c r="AT20" s="12">
        <v>25833.59</v>
      </c>
      <c r="AU20" s="2">
        <v>516.66999999999996</v>
      </c>
      <c r="AV20" s="5">
        <v>0</v>
      </c>
      <c r="AX20" s="2">
        <v>736781</v>
      </c>
      <c r="AY20" s="2">
        <v>227673</v>
      </c>
      <c r="AZ20" s="2">
        <v>13156.8</v>
      </c>
      <c r="BA20" s="2">
        <v>4065.59</v>
      </c>
      <c r="BB20" s="5">
        <v>8611.2000000000007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28933.62</v>
      </c>
      <c r="BI20" s="12">
        <v>25833.59</v>
      </c>
      <c r="BJ20" s="2">
        <v>516.66999999999996</v>
      </c>
      <c r="BL20" s="1" t="s">
        <v>90</v>
      </c>
    </row>
    <row r="21" spans="1:64" x14ac:dyDescent="0.3">
      <c r="A21" t="s">
        <v>777</v>
      </c>
      <c r="B21" s="1" t="s">
        <v>777</v>
      </c>
      <c r="C21" s="9" t="s">
        <v>778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534112</v>
      </c>
      <c r="AJ21" s="2">
        <v>171639</v>
      </c>
      <c r="AK21" s="2">
        <v>9537.7200000000012</v>
      </c>
      <c r="AL21" s="2">
        <v>3064.9799999999996</v>
      </c>
      <c r="AM21" s="5">
        <v>6301.35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21172.54</v>
      </c>
      <c r="AT21" s="12">
        <v>18904.050000000003</v>
      </c>
      <c r="AU21" s="2">
        <v>378.08000000000004</v>
      </c>
      <c r="AV21" s="5">
        <v>0</v>
      </c>
      <c r="AX21" s="2">
        <v>534112</v>
      </c>
      <c r="AY21" s="2">
        <v>171639</v>
      </c>
      <c r="AZ21" s="2">
        <v>9537.7200000000012</v>
      </c>
      <c r="BA21" s="2">
        <v>3064.9799999999996</v>
      </c>
      <c r="BB21" s="5">
        <v>6301.35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21172.54</v>
      </c>
      <c r="BI21" s="12">
        <v>18904.050000000003</v>
      </c>
      <c r="BJ21" s="2">
        <v>378.08000000000004</v>
      </c>
      <c r="BK21" s="5">
        <v>0</v>
      </c>
      <c r="BL21" s="1" t="s">
        <v>90</v>
      </c>
    </row>
    <row r="22" spans="1:64" x14ac:dyDescent="0.3">
      <c r="A22" t="s">
        <v>800</v>
      </c>
      <c r="B22" s="1" t="s">
        <v>800</v>
      </c>
      <c r="C22" s="9" t="s">
        <v>801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560548</v>
      </c>
      <c r="AJ22" s="2">
        <v>168807</v>
      </c>
      <c r="AK22" s="2">
        <v>10009.790000000001</v>
      </c>
      <c r="AL22" s="2">
        <v>3014.41</v>
      </c>
      <c r="AM22" s="5">
        <v>6512.09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21880.639999999999</v>
      </c>
      <c r="AT22" s="12">
        <v>19536.29</v>
      </c>
      <c r="AU22" s="2">
        <v>390.73</v>
      </c>
      <c r="AV22" s="5">
        <v>0</v>
      </c>
      <c r="AX22" s="2">
        <v>560548</v>
      </c>
      <c r="AY22" s="2">
        <v>168807</v>
      </c>
      <c r="AZ22" s="2">
        <v>10009.790000000001</v>
      </c>
      <c r="BA22" s="2">
        <v>3014.41</v>
      </c>
      <c r="BB22" s="5">
        <v>6512.09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21880.639999999999</v>
      </c>
      <c r="BI22" s="12">
        <v>19536.29</v>
      </c>
      <c r="BJ22" s="2">
        <v>390.73</v>
      </c>
      <c r="BK22" s="5">
        <v>0</v>
      </c>
      <c r="BL22" s="1" t="s">
        <v>90</v>
      </c>
    </row>
    <row r="23" spans="1:64" x14ac:dyDescent="0.3">
      <c r="A23" t="s">
        <v>849</v>
      </c>
      <c r="B23" s="1" t="s">
        <v>849</v>
      </c>
      <c r="C23" s="9" t="s">
        <v>850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437323.5</v>
      </c>
      <c r="AJ23" s="2">
        <v>282356.5</v>
      </c>
      <c r="AK23" s="2">
        <v>7809.35</v>
      </c>
      <c r="AL23" s="2">
        <v>5042.08</v>
      </c>
      <c r="AM23" s="5">
        <v>6425.71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21590.400000000001</v>
      </c>
      <c r="AT23" s="12">
        <v>19277.14</v>
      </c>
      <c r="AU23" s="2">
        <v>385.54</v>
      </c>
      <c r="AV23" s="5">
        <v>0</v>
      </c>
      <c r="AX23" s="2">
        <v>437323.5</v>
      </c>
      <c r="AY23" s="2">
        <v>282356.5</v>
      </c>
      <c r="AZ23" s="2">
        <v>7809.35</v>
      </c>
      <c r="BA23" s="2">
        <v>5042.08</v>
      </c>
      <c r="BB23" s="5">
        <v>6425.71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21590.400000000001</v>
      </c>
      <c r="BI23" s="12">
        <v>19277.14</v>
      </c>
      <c r="BJ23" s="2">
        <v>385.54</v>
      </c>
      <c r="BL23" s="1" t="s">
        <v>90</v>
      </c>
    </row>
    <row r="24" spans="1:64" x14ac:dyDescent="0.3">
      <c r="A24" t="s">
        <v>860</v>
      </c>
      <c r="B24" s="1" t="s">
        <v>860</v>
      </c>
      <c r="C24" s="9" t="s">
        <v>861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1044874.09</v>
      </c>
      <c r="AJ24" s="2">
        <v>155729</v>
      </c>
      <c r="AK24" s="2">
        <v>18658.46</v>
      </c>
      <c r="AL24" s="2">
        <v>2780.87</v>
      </c>
      <c r="AM24" s="5">
        <v>10719.67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36018.080000000002</v>
      </c>
      <c r="AT24" s="12">
        <v>32159</v>
      </c>
      <c r="AU24" s="2">
        <v>643.17999999999995</v>
      </c>
      <c r="AV24" s="5">
        <v>0</v>
      </c>
      <c r="AX24" s="2">
        <v>1044874.09</v>
      </c>
      <c r="AY24" s="2">
        <v>155729</v>
      </c>
      <c r="AZ24" s="2">
        <v>18658.46</v>
      </c>
      <c r="BA24" s="2">
        <v>2780.87</v>
      </c>
      <c r="BB24" s="5">
        <v>10719.67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36018.080000000002</v>
      </c>
      <c r="BI24" s="12">
        <v>32159</v>
      </c>
      <c r="BJ24" s="2">
        <v>643.17999999999995</v>
      </c>
      <c r="BL24" s="1" t="s">
        <v>90</v>
      </c>
    </row>
    <row r="25" spans="1:64" x14ac:dyDescent="0.3">
      <c r="A25" t="s">
        <v>1084</v>
      </c>
      <c r="B25" s="1" t="s">
        <v>1084</v>
      </c>
      <c r="C25" s="9" t="s">
        <v>1085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401488</v>
      </c>
      <c r="AJ25" s="2">
        <v>95943</v>
      </c>
      <c r="AK25" s="2">
        <v>7169.43</v>
      </c>
      <c r="AL25" s="2">
        <v>1713.2600000000002</v>
      </c>
      <c r="AM25" s="5">
        <v>4441.3500000000004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14922.92</v>
      </c>
      <c r="AT25" s="12">
        <v>13324.04</v>
      </c>
      <c r="AU25" s="2">
        <v>266.48</v>
      </c>
      <c r="AV25" s="5">
        <v>0</v>
      </c>
      <c r="AX25" s="2">
        <v>401488</v>
      </c>
      <c r="AY25" s="2">
        <v>95943</v>
      </c>
      <c r="AZ25" s="2">
        <v>7169.43</v>
      </c>
      <c r="BA25" s="2">
        <v>1713.2600000000002</v>
      </c>
      <c r="BB25" s="5">
        <v>4441.3500000000004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14922.92</v>
      </c>
      <c r="BI25" s="12">
        <v>13324.04</v>
      </c>
      <c r="BJ25" s="2">
        <v>266.48</v>
      </c>
      <c r="BK25" s="5">
        <v>0</v>
      </c>
      <c r="BL25" s="1" t="s">
        <v>90</v>
      </c>
    </row>
    <row r="26" spans="1:64" x14ac:dyDescent="0.3">
      <c r="A26" t="s">
        <v>1227</v>
      </c>
      <c r="B26" s="1" t="s">
        <v>1227</v>
      </c>
      <c r="C26" s="9" t="s">
        <v>1228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291713.40000000002</v>
      </c>
      <c r="AJ26" s="2">
        <v>34564</v>
      </c>
      <c r="AK26" s="2">
        <v>5209.17</v>
      </c>
      <c r="AL26" s="2">
        <v>617.21</v>
      </c>
      <c r="AM26" s="5">
        <v>2913.19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9788.32</v>
      </c>
      <c r="AT26" s="12">
        <v>8739.57</v>
      </c>
      <c r="AU26" s="2">
        <v>174.79</v>
      </c>
      <c r="AV26" s="5">
        <v>0</v>
      </c>
      <c r="AX26" s="2">
        <v>291713.40000000002</v>
      </c>
      <c r="AY26" s="2">
        <v>34564</v>
      </c>
      <c r="AZ26" s="2">
        <v>5209.17</v>
      </c>
      <c r="BA26" s="2">
        <v>617.21</v>
      </c>
      <c r="BB26" s="5">
        <v>2913.19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9788.32</v>
      </c>
      <c r="BI26" s="12">
        <v>8739.57</v>
      </c>
      <c r="BJ26" s="2">
        <v>174.79</v>
      </c>
      <c r="BL26" s="1" t="s">
        <v>90</v>
      </c>
    </row>
    <row r="27" spans="1:64" x14ac:dyDescent="0.3">
      <c r="A27" t="s">
        <v>329</v>
      </c>
      <c r="B27" s="1" t="s">
        <v>329</v>
      </c>
      <c r="C27" s="9" t="s">
        <v>330</v>
      </c>
      <c r="D27" s="1" t="s">
        <v>41</v>
      </c>
      <c r="E27" s="1" t="s">
        <v>128</v>
      </c>
      <c r="F27" s="10" t="s">
        <v>331</v>
      </c>
      <c r="G27" s="1">
        <v>3.5000000000000003E-2</v>
      </c>
      <c r="H27" s="1">
        <v>0.02</v>
      </c>
      <c r="I27" s="8">
        <v>45136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1141473.8999999999</v>
      </c>
      <c r="AJ27" s="2">
        <v>152393</v>
      </c>
      <c r="AK27" s="2">
        <v>20383.46</v>
      </c>
      <c r="AL27" s="2">
        <v>2721.31</v>
      </c>
      <c r="AM27" s="5">
        <v>11552.380000000001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38816.01</v>
      </c>
      <c r="AT27" s="12">
        <v>34657.15</v>
      </c>
      <c r="AU27" s="2">
        <v>693.15</v>
      </c>
      <c r="AV27" s="5">
        <v>0</v>
      </c>
      <c r="AX27" s="2">
        <v>1141473.8999999999</v>
      </c>
      <c r="AY27" s="2">
        <v>152393</v>
      </c>
      <c r="AZ27" s="2">
        <v>20383.46</v>
      </c>
      <c r="BA27" s="2">
        <v>2721.31</v>
      </c>
      <c r="BB27" s="5">
        <v>11552.380000000001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38816.01</v>
      </c>
      <c r="BI27" s="12">
        <v>34657.15</v>
      </c>
      <c r="BJ27" s="2">
        <v>693.15</v>
      </c>
      <c r="BK27" s="5">
        <v>0</v>
      </c>
      <c r="BL27" s="1" t="s">
        <v>130</v>
      </c>
    </row>
    <row r="28" spans="1:64" x14ac:dyDescent="0.3">
      <c r="A28" t="s">
        <v>370</v>
      </c>
      <c r="B28" s="1" t="s">
        <v>370</v>
      </c>
      <c r="C28" s="9" t="s">
        <v>371</v>
      </c>
      <c r="D28" s="1" t="s">
        <v>41</v>
      </c>
      <c r="E28" s="1" t="s">
        <v>128</v>
      </c>
      <c r="F28" s="10" t="s">
        <v>372</v>
      </c>
      <c r="G28" s="1">
        <v>3.5000000000000003E-2</v>
      </c>
      <c r="H28" s="1">
        <v>0.02</v>
      </c>
      <c r="I28" s="8">
        <v>44741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1848087.8</v>
      </c>
      <c r="AJ28" s="2">
        <v>126758.11</v>
      </c>
      <c r="AK28" s="2">
        <v>33001.56</v>
      </c>
      <c r="AL28" s="2">
        <v>2263.5299999999997</v>
      </c>
      <c r="AM28" s="5">
        <v>17632.54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59245.35</v>
      </c>
      <c r="AT28" s="12">
        <v>52897.63</v>
      </c>
      <c r="AU28" s="2">
        <v>1057.9499999999998</v>
      </c>
      <c r="AV28" s="5">
        <v>0</v>
      </c>
      <c r="AX28" s="2">
        <v>1848087.8</v>
      </c>
      <c r="AY28" s="2">
        <v>126758.11</v>
      </c>
      <c r="AZ28" s="2">
        <v>33001.56</v>
      </c>
      <c r="BA28" s="2">
        <v>2263.5299999999997</v>
      </c>
      <c r="BB28" s="5">
        <v>17632.54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59245.35</v>
      </c>
      <c r="BI28" s="12">
        <v>52897.63</v>
      </c>
      <c r="BJ28" s="2">
        <v>1057.9499999999998</v>
      </c>
      <c r="BK28" s="5">
        <v>0</v>
      </c>
      <c r="BL28" s="1" t="s">
        <v>130</v>
      </c>
    </row>
    <row r="29" spans="1:64" x14ac:dyDescent="0.3">
      <c r="A29" t="s">
        <v>386</v>
      </c>
      <c r="B29" s="1" t="s">
        <v>386</v>
      </c>
      <c r="C29" s="9" t="s">
        <v>387</v>
      </c>
      <c r="D29" s="1" t="s">
        <v>41</v>
      </c>
      <c r="E29" s="1" t="s">
        <v>128</v>
      </c>
      <c r="F29" s="10" t="s">
        <v>372</v>
      </c>
      <c r="G29" s="1">
        <v>3.5000000000000003E-2</v>
      </c>
      <c r="H29" s="1">
        <v>0.02</v>
      </c>
      <c r="I29" s="8">
        <v>44835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1424431.2999999998</v>
      </c>
      <c r="AJ29" s="2">
        <v>89189.2</v>
      </c>
      <c r="AK29" s="2">
        <v>25436.280000000002</v>
      </c>
      <c r="AL29" s="2">
        <v>1592.6599999999999</v>
      </c>
      <c r="AM29" s="5">
        <v>13514.460000000001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45408.61</v>
      </c>
      <c r="AT29" s="12">
        <v>40543.4</v>
      </c>
      <c r="AU29" s="2">
        <v>810.87000000000012</v>
      </c>
      <c r="AV29" s="5">
        <v>0</v>
      </c>
      <c r="AX29" s="2">
        <v>1424431.2999999998</v>
      </c>
      <c r="AY29" s="2">
        <v>89189.2</v>
      </c>
      <c r="AZ29" s="2">
        <v>25436.280000000002</v>
      </c>
      <c r="BA29" s="2">
        <v>1592.6599999999999</v>
      </c>
      <c r="BB29" s="5">
        <v>13514.460000000001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45408.61</v>
      </c>
      <c r="BI29" s="12">
        <v>40543.4</v>
      </c>
      <c r="BJ29" s="2">
        <v>810.87000000000012</v>
      </c>
      <c r="BK29" s="5">
        <v>0</v>
      </c>
      <c r="BL29" s="1" t="s">
        <v>130</v>
      </c>
    </row>
    <row r="30" spans="1:64" x14ac:dyDescent="0.3">
      <c r="A30" t="s">
        <v>460</v>
      </c>
      <c r="B30" s="1" t="s">
        <v>460</v>
      </c>
      <c r="C30" s="9" t="s">
        <v>461</v>
      </c>
      <c r="D30" s="1" t="s">
        <v>41</v>
      </c>
      <c r="E30" s="1" t="s">
        <v>135</v>
      </c>
      <c r="F30" s="10" t="s">
        <v>462</v>
      </c>
      <c r="G30" s="1">
        <v>3.5000000000000003E-2</v>
      </c>
      <c r="H30" s="1">
        <v>0.02</v>
      </c>
      <c r="I30" s="8">
        <v>45315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892955.05</v>
      </c>
      <c r="AJ30" s="2">
        <v>103010</v>
      </c>
      <c r="AK30" s="2">
        <v>15945.630000000001</v>
      </c>
      <c r="AL30" s="2">
        <v>1839.46</v>
      </c>
      <c r="AM30" s="5">
        <v>8892.5400000000009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29878.95</v>
      </c>
      <c r="AT30" s="12">
        <v>26677.63</v>
      </c>
      <c r="AU30" s="2">
        <v>533.54999999999995</v>
      </c>
      <c r="AV30" s="5">
        <v>0</v>
      </c>
      <c r="AX30" s="2">
        <v>892955.05</v>
      </c>
      <c r="AY30" s="2">
        <v>103010</v>
      </c>
      <c r="AZ30" s="2">
        <v>15945.630000000001</v>
      </c>
      <c r="BA30" s="2">
        <v>1839.46</v>
      </c>
      <c r="BB30" s="5">
        <v>8892.5400000000009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29878.95</v>
      </c>
      <c r="BI30" s="12">
        <v>26677.63</v>
      </c>
      <c r="BJ30" s="2">
        <v>533.54999999999995</v>
      </c>
      <c r="BK30" s="5">
        <v>0</v>
      </c>
      <c r="BL30" s="1" t="s">
        <v>302</v>
      </c>
    </row>
    <row r="31" spans="1:64" x14ac:dyDescent="0.3">
      <c r="A31" t="s">
        <v>490</v>
      </c>
      <c r="B31" s="1" t="s">
        <v>490</v>
      </c>
      <c r="C31" s="9" t="s">
        <v>491</v>
      </c>
      <c r="D31" s="1" t="s">
        <v>41</v>
      </c>
      <c r="E31" s="1" t="s">
        <v>135</v>
      </c>
      <c r="F31" s="10" t="s">
        <v>462</v>
      </c>
      <c r="G31" s="1">
        <v>0</v>
      </c>
      <c r="H31" s="1">
        <v>0.02</v>
      </c>
      <c r="I31" s="8">
        <v>45387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595349.1</v>
      </c>
      <c r="AJ31" s="2">
        <v>107173</v>
      </c>
      <c r="AK31" s="2">
        <v>10631.23</v>
      </c>
      <c r="AL31" s="2">
        <v>1913.8</v>
      </c>
      <c r="AM31" s="5">
        <v>6272.52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21075.66</v>
      </c>
      <c r="AT31" s="12">
        <v>18817.55</v>
      </c>
      <c r="AU31" s="2">
        <v>376.34999999999997</v>
      </c>
      <c r="AV31" s="5">
        <v>0</v>
      </c>
      <c r="AX31" s="2">
        <v>595349.1</v>
      </c>
      <c r="AY31" s="2">
        <v>107173</v>
      </c>
      <c r="AZ31" s="2">
        <v>10631.23</v>
      </c>
      <c r="BA31" s="2">
        <v>1913.8</v>
      </c>
      <c r="BB31" s="5">
        <v>6272.52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21075.66</v>
      </c>
      <c r="BI31" s="12">
        <v>18817.55</v>
      </c>
      <c r="BJ31" s="2">
        <v>376.34999999999997</v>
      </c>
      <c r="BK31" s="5">
        <v>0</v>
      </c>
      <c r="BL31" s="1" t="s">
        <v>302</v>
      </c>
    </row>
    <row r="32" spans="1:64" x14ac:dyDescent="0.3">
      <c r="A32" t="s">
        <v>524</v>
      </c>
      <c r="B32" s="1" t="s">
        <v>524</v>
      </c>
      <c r="C32" s="9" t="s">
        <v>525</v>
      </c>
      <c r="D32" s="1" t="s">
        <v>41</v>
      </c>
      <c r="E32" s="1" t="s">
        <v>128</v>
      </c>
      <c r="F32" s="10" t="s">
        <v>372</v>
      </c>
      <c r="G32" s="1">
        <v>3.5000000000000003E-2</v>
      </c>
      <c r="H32" s="1">
        <v>0.02</v>
      </c>
      <c r="I32" s="8">
        <v>45242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1500825.9500000002</v>
      </c>
      <c r="AJ32" s="2">
        <v>44239.08</v>
      </c>
      <c r="AK32" s="2">
        <v>26800.47</v>
      </c>
      <c r="AL32" s="2">
        <v>789.99</v>
      </c>
      <c r="AM32" s="5">
        <v>13795.23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46351.97</v>
      </c>
      <c r="AT32" s="12">
        <v>41385.689999999995</v>
      </c>
      <c r="AU32" s="2">
        <v>827.71999999999991</v>
      </c>
      <c r="AV32" s="5">
        <v>0</v>
      </c>
      <c r="AX32" s="2">
        <v>1500825.9500000002</v>
      </c>
      <c r="AY32" s="2">
        <v>44239.08</v>
      </c>
      <c r="AZ32" s="2">
        <v>26800.47</v>
      </c>
      <c r="BA32" s="2">
        <v>789.99</v>
      </c>
      <c r="BB32" s="5">
        <v>13795.23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46351.97</v>
      </c>
      <c r="BI32" s="12">
        <v>41385.689999999995</v>
      </c>
      <c r="BJ32" s="2">
        <v>827.71999999999991</v>
      </c>
      <c r="BK32" s="5">
        <v>0</v>
      </c>
      <c r="BL32" s="1" t="s">
        <v>130</v>
      </c>
    </row>
    <row r="33" spans="1:64" x14ac:dyDescent="0.3">
      <c r="A33" t="s">
        <v>627</v>
      </c>
      <c r="B33" s="1" t="s">
        <v>627</v>
      </c>
      <c r="C33" s="9" t="s">
        <v>628</v>
      </c>
      <c r="D33" s="1" t="s">
        <v>41</v>
      </c>
      <c r="E33" s="1" t="s">
        <v>135</v>
      </c>
      <c r="F33" s="10" t="s">
        <v>462</v>
      </c>
      <c r="G33" s="1">
        <v>3.5000000000000003E-2</v>
      </c>
      <c r="H33" s="1">
        <v>0.02</v>
      </c>
      <c r="I33" s="8">
        <v>45017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626733.65</v>
      </c>
      <c r="AJ33" s="2">
        <v>116196.25</v>
      </c>
      <c r="AK33" s="2">
        <v>11191.67</v>
      </c>
      <c r="AL33" s="2">
        <v>2074.94</v>
      </c>
      <c r="AM33" s="5">
        <v>6633.3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22287.9</v>
      </c>
      <c r="AT33" s="12">
        <v>19899.91</v>
      </c>
      <c r="AU33" s="2">
        <v>398</v>
      </c>
      <c r="AV33" s="5">
        <v>0</v>
      </c>
      <c r="AX33" s="2">
        <v>626733.65</v>
      </c>
      <c r="AY33" s="2">
        <v>116196.25</v>
      </c>
      <c r="AZ33" s="2">
        <v>11191.67</v>
      </c>
      <c r="BA33" s="2">
        <v>2074.94</v>
      </c>
      <c r="BB33" s="5">
        <v>6633.3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22287.9</v>
      </c>
      <c r="BI33" s="12">
        <v>19899.91</v>
      </c>
      <c r="BJ33" s="2">
        <v>398</v>
      </c>
      <c r="BL33" s="1" t="s">
        <v>302</v>
      </c>
    </row>
    <row r="34" spans="1:64" x14ac:dyDescent="0.3">
      <c r="A34" t="s">
        <v>656</v>
      </c>
      <c r="B34" s="1" t="s">
        <v>656</v>
      </c>
      <c r="C34" s="9" t="s">
        <v>657</v>
      </c>
      <c r="D34" s="1" t="s">
        <v>41</v>
      </c>
      <c r="E34" s="1" t="s">
        <v>128</v>
      </c>
      <c r="F34" s="10" t="s">
        <v>372</v>
      </c>
      <c r="G34" s="1">
        <v>3.5000000000000003E-2</v>
      </c>
      <c r="H34" s="1">
        <v>0.02</v>
      </c>
      <c r="I34" s="8">
        <v>45276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829904.33999999985</v>
      </c>
      <c r="AJ34" s="2">
        <v>59629.85</v>
      </c>
      <c r="AK34" s="2">
        <v>14819.72</v>
      </c>
      <c r="AL34" s="2">
        <v>1064.82</v>
      </c>
      <c r="AM34" s="5">
        <v>7942.27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26686.03</v>
      </c>
      <c r="AT34" s="12">
        <v>23826.809999999998</v>
      </c>
      <c r="AU34" s="2">
        <v>476.54</v>
      </c>
      <c r="AV34" s="5">
        <v>0</v>
      </c>
      <c r="AX34" s="2">
        <v>829904.33999999985</v>
      </c>
      <c r="AY34" s="2">
        <v>59629.85</v>
      </c>
      <c r="AZ34" s="2">
        <v>14819.72</v>
      </c>
      <c r="BA34" s="2">
        <v>1064.82</v>
      </c>
      <c r="BB34" s="5">
        <v>7942.27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26686.03</v>
      </c>
      <c r="BI34" s="12">
        <v>23826.809999999998</v>
      </c>
      <c r="BJ34" s="2">
        <v>476.54</v>
      </c>
      <c r="BL34" s="1" t="s">
        <v>130</v>
      </c>
    </row>
    <row r="35" spans="1:64" x14ac:dyDescent="0.3">
      <c r="A35" t="s">
        <v>662</v>
      </c>
      <c r="B35" s="1" t="s">
        <v>662</v>
      </c>
      <c r="C35" s="9" t="s">
        <v>663</v>
      </c>
      <c r="D35" s="1" t="s">
        <v>41</v>
      </c>
      <c r="E35" s="1" t="s">
        <v>88</v>
      </c>
      <c r="F35" s="10" t="s">
        <v>664</v>
      </c>
      <c r="G35" s="1">
        <v>3.5000000000000003E-2</v>
      </c>
      <c r="H35" s="1">
        <v>0.02</v>
      </c>
      <c r="I35" s="8">
        <v>45342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625788</v>
      </c>
      <c r="AJ35" s="2">
        <v>55366</v>
      </c>
      <c r="AK35" s="2">
        <v>11174.79</v>
      </c>
      <c r="AL35" s="2">
        <v>988.68</v>
      </c>
      <c r="AM35" s="5">
        <v>6081.73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20434.62</v>
      </c>
      <c r="AT35" s="12">
        <v>18245.2</v>
      </c>
      <c r="AU35" s="2">
        <v>364.9</v>
      </c>
      <c r="AV35" s="5">
        <v>0</v>
      </c>
      <c r="AX35" s="2">
        <v>625788</v>
      </c>
      <c r="AY35" s="2">
        <v>55366</v>
      </c>
      <c r="AZ35" s="2">
        <v>11174.79</v>
      </c>
      <c r="BA35" s="2">
        <v>988.68</v>
      </c>
      <c r="BB35" s="5">
        <v>6081.73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20434.62</v>
      </c>
      <c r="BI35" s="12">
        <v>18245.2</v>
      </c>
      <c r="BJ35" s="2">
        <v>364.9</v>
      </c>
      <c r="BL35" s="1" t="s">
        <v>546</v>
      </c>
    </row>
    <row r="36" spans="1:64" x14ac:dyDescent="0.3">
      <c r="A36" t="s">
        <v>669</v>
      </c>
      <c r="B36" s="1" t="s">
        <v>669</v>
      </c>
      <c r="C36" s="9" t="s">
        <v>670</v>
      </c>
      <c r="D36" s="1" t="s">
        <v>41</v>
      </c>
      <c r="E36" s="1" t="s">
        <v>88</v>
      </c>
      <c r="F36" s="10" t="s">
        <v>671</v>
      </c>
      <c r="G36" s="1">
        <v>0</v>
      </c>
      <c r="H36" s="1">
        <v>0.02</v>
      </c>
      <c r="I36" s="8">
        <v>45620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316121</v>
      </c>
      <c r="AJ36" s="2">
        <v>51218</v>
      </c>
      <c r="AK36" s="2">
        <v>5645.02</v>
      </c>
      <c r="AL36" s="2">
        <v>914.61</v>
      </c>
      <c r="AM36" s="5">
        <v>3279.81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11020.17</v>
      </c>
      <c r="AT36" s="12">
        <v>9839.44</v>
      </c>
      <c r="AU36" s="2">
        <v>196.79</v>
      </c>
      <c r="AV36" s="5">
        <v>0</v>
      </c>
      <c r="AX36" s="2">
        <v>316121</v>
      </c>
      <c r="AY36" s="2">
        <v>51218</v>
      </c>
      <c r="AZ36" s="2">
        <v>5645.02</v>
      </c>
      <c r="BA36" s="2">
        <v>914.61</v>
      </c>
      <c r="BB36" s="5">
        <v>3279.81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11020.17</v>
      </c>
      <c r="BI36" s="12">
        <v>9839.44</v>
      </c>
      <c r="BJ36" s="2">
        <v>196.79</v>
      </c>
      <c r="BL36" s="1" t="s">
        <v>90</v>
      </c>
    </row>
    <row r="37" spans="1:64" x14ac:dyDescent="0.3">
      <c r="A37" t="s">
        <v>676</v>
      </c>
      <c r="B37" s="1" t="s">
        <v>676</v>
      </c>
      <c r="C37" s="9" t="s">
        <v>677</v>
      </c>
      <c r="D37" s="1" t="s">
        <v>41</v>
      </c>
      <c r="E37" s="1" t="s">
        <v>88</v>
      </c>
      <c r="F37" s="10" t="s">
        <v>664</v>
      </c>
      <c r="G37" s="1">
        <v>0</v>
      </c>
      <c r="H37" s="1">
        <v>0.02</v>
      </c>
      <c r="I37" s="8">
        <v>45683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502485</v>
      </c>
      <c r="AJ37" s="2">
        <v>91400</v>
      </c>
      <c r="AK37" s="2">
        <v>8972.9500000000007</v>
      </c>
      <c r="AL37" s="2">
        <v>1632.14</v>
      </c>
      <c r="AM37" s="5">
        <v>5302.54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17816.55</v>
      </c>
      <c r="AT37" s="12">
        <v>15907.630000000001</v>
      </c>
      <c r="AU37" s="2">
        <v>318.14999999999998</v>
      </c>
      <c r="AV37" s="5">
        <v>0</v>
      </c>
      <c r="AX37" s="2">
        <v>502485</v>
      </c>
      <c r="AY37" s="2">
        <v>91400</v>
      </c>
      <c r="AZ37" s="2">
        <v>8972.9500000000007</v>
      </c>
      <c r="BA37" s="2">
        <v>1632.14</v>
      </c>
      <c r="BB37" s="5">
        <v>5302.54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17816.55</v>
      </c>
      <c r="BI37" s="12">
        <v>15907.630000000001</v>
      </c>
      <c r="BJ37" s="2">
        <v>318.14999999999998</v>
      </c>
      <c r="BL37" s="1" t="s">
        <v>546</v>
      </c>
    </row>
    <row r="38" spans="1:64" x14ac:dyDescent="0.3">
      <c r="A38" t="s">
        <v>690</v>
      </c>
      <c r="B38" s="1" t="s">
        <v>690</v>
      </c>
      <c r="C38" s="9" t="s">
        <v>691</v>
      </c>
      <c r="D38" s="1" t="s">
        <v>41</v>
      </c>
      <c r="E38" s="1" t="s">
        <v>88</v>
      </c>
      <c r="F38" s="10" t="s">
        <v>664</v>
      </c>
      <c r="G38" s="1">
        <v>0</v>
      </c>
      <c r="H38" s="1">
        <v>0.02</v>
      </c>
      <c r="I38" s="8">
        <v>44013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402048</v>
      </c>
      <c r="AJ38" s="2">
        <v>88964</v>
      </c>
      <c r="AK38" s="2">
        <v>7179.43</v>
      </c>
      <c r="AL38" s="2">
        <v>1588.64</v>
      </c>
      <c r="AM38" s="5">
        <v>4384.04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14730.36</v>
      </c>
      <c r="AT38" s="12">
        <v>13152.11</v>
      </c>
      <c r="AU38" s="2">
        <v>263.04000000000002</v>
      </c>
      <c r="AV38" s="5">
        <v>0</v>
      </c>
      <c r="AX38" s="2">
        <v>402048</v>
      </c>
      <c r="AY38" s="2">
        <v>88964</v>
      </c>
      <c r="AZ38" s="2">
        <v>7179.43</v>
      </c>
      <c r="BA38" s="2">
        <v>1588.64</v>
      </c>
      <c r="BB38" s="5">
        <v>4384.04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14730.36</v>
      </c>
      <c r="BI38" s="12">
        <v>13152.11</v>
      </c>
      <c r="BJ38" s="2">
        <v>263.04000000000002</v>
      </c>
      <c r="BL38" s="1" t="s">
        <v>546</v>
      </c>
    </row>
    <row r="39" spans="1:64" x14ac:dyDescent="0.3">
      <c r="A39" t="s">
        <v>692</v>
      </c>
      <c r="B39" s="1" t="s">
        <v>692</v>
      </c>
      <c r="C39" s="9" t="s">
        <v>693</v>
      </c>
      <c r="D39" s="1" t="s">
        <v>41</v>
      </c>
      <c r="E39" s="1" t="s">
        <v>128</v>
      </c>
      <c r="F39" s="10" t="s">
        <v>372</v>
      </c>
      <c r="G39" s="1">
        <v>3.5000000000000003E-2</v>
      </c>
      <c r="H39" s="1">
        <v>0.02</v>
      </c>
      <c r="I39" s="8">
        <v>44011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902778</v>
      </c>
      <c r="AJ39" s="2">
        <v>161237</v>
      </c>
      <c r="AK39" s="2">
        <v>16121.04</v>
      </c>
      <c r="AL39" s="2">
        <v>2879.2400000000002</v>
      </c>
      <c r="AM39" s="5">
        <v>9500.1400000000012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31920.47</v>
      </c>
      <c r="AT39" s="12">
        <v>28500.42</v>
      </c>
      <c r="AU39" s="2">
        <v>570.01</v>
      </c>
      <c r="AV39" s="5">
        <v>0</v>
      </c>
      <c r="AX39" s="2">
        <v>902778</v>
      </c>
      <c r="AY39" s="2">
        <v>161237</v>
      </c>
      <c r="AZ39" s="2">
        <v>16121.04</v>
      </c>
      <c r="BA39" s="2">
        <v>2879.2400000000002</v>
      </c>
      <c r="BB39" s="5">
        <v>9500.1400000000012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31920.47</v>
      </c>
      <c r="BI39" s="12">
        <v>28500.42</v>
      </c>
      <c r="BJ39" s="2">
        <v>570.01</v>
      </c>
      <c r="BK39" s="5">
        <v>0</v>
      </c>
      <c r="BL39" s="1" t="s">
        <v>130</v>
      </c>
    </row>
    <row r="40" spans="1:64" x14ac:dyDescent="0.3">
      <c r="A40" t="s">
        <v>781</v>
      </c>
      <c r="B40" s="1" t="s">
        <v>781</v>
      </c>
      <c r="C40" s="9" t="s">
        <v>782</v>
      </c>
      <c r="D40" s="1" t="s">
        <v>41</v>
      </c>
      <c r="E40" s="1" t="s">
        <v>88</v>
      </c>
      <c r="F40" s="10" t="s">
        <v>664</v>
      </c>
      <c r="G40" s="1">
        <v>0</v>
      </c>
      <c r="H40" s="1">
        <v>0.02</v>
      </c>
      <c r="I40" s="8">
        <v>44647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463347</v>
      </c>
      <c r="AJ40" s="2">
        <v>93987</v>
      </c>
      <c r="AK40" s="2">
        <v>8274.0499999999993</v>
      </c>
      <c r="AL40" s="2">
        <v>1678.3400000000001</v>
      </c>
      <c r="AM40" s="5">
        <v>4976.2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16720.02</v>
      </c>
      <c r="AT40" s="12">
        <v>14928.59</v>
      </c>
      <c r="AU40" s="2">
        <v>298.57</v>
      </c>
      <c r="AV40" s="5">
        <v>0</v>
      </c>
      <c r="AX40" s="2">
        <v>463347</v>
      </c>
      <c r="AY40" s="2">
        <v>93987</v>
      </c>
      <c r="AZ40" s="2">
        <v>8274.0499999999993</v>
      </c>
      <c r="BA40" s="2">
        <v>1678.3400000000001</v>
      </c>
      <c r="BB40" s="5">
        <v>4976.2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16720.02</v>
      </c>
      <c r="BI40" s="12">
        <v>14928.59</v>
      </c>
      <c r="BJ40" s="2">
        <v>298.57</v>
      </c>
      <c r="BK40" s="5">
        <v>0</v>
      </c>
      <c r="BL40" s="1" t="s">
        <v>546</v>
      </c>
    </row>
    <row r="41" spans="1:64" x14ac:dyDescent="0.3">
      <c r="A41" t="s">
        <v>795</v>
      </c>
      <c r="B41" s="1" t="s">
        <v>795</v>
      </c>
      <c r="C41" s="9" t="s">
        <v>796</v>
      </c>
      <c r="D41" s="1" t="s">
        <v>41</v>
      </c>
      <c r="E41" s="1" t="s">
        <v>135</v>
      </c>
      <c r="F41" s="10" t="s">
        <v>797</v>
      </c>
      <c r="G41" s="1">
        <v>0</v>
      </c>
      <c r="H41" s="1">
        <v>0.02</v>
      </c>
      <c r="I41" s="8">
        <v>44804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277422</v>
      </c>
      <c r="AJ41" s="2">
        <v>68766</v>
      </c>
      <c r="AK41" s="2">
        <v>4953.96</v>
      </c>
      <c r="AL41" s="2">
        <v>1227.96</v>
      </c>
      <c r="AM41" s="5">
        <v>3090.96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10385.629999999999</v>
      </c>
      <c r="AT41" s="12">
        <v>9272.8799999999992</v>
      </c>
      <c r="AU41" s="2">
        <v>185.46</v>
      </c>
      <c r="AV41" s="5">
        <v>0</v>
      </c>
      <c r="AX41" s="2">
        <v>277422</v>
      </c>
      <c r="AY41" s="2">
        <v>68766</v>
      </c>
      <c r="AZ41" s="2">
        <v>4953.96</v>
      </c>
      <c r="BA41" s="2">
        <v>1227.96</v>
      </c>
      <c r="BB41" s="5">
        <v>3090.96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10385.629999999999</v>
      </c>
      <c r="BI41" s="12">
        <v>9272.8799999999992</v>
      </c>
      <c r="BJ41" s="2">
        <v>185.46</v>
      </c>
      <c r="BK41" s="5">
        <v>0</v>
      </c>
      <c r="BL41" s="1" t="s">
        <v>302</v>
      </c>
    </row>
    <row r="42" spans="1:64" x14ac:dyDescent="0.3">
      <c r="A42" t="s">
        <v>816</v>
      </c>
      <c r="B42" s="1" t="s">
        <v>816</v>
      </c>
      <c r="C42" s="9" t="s">
        <v>817</v>
      </c>
      <c r="D42" s="1" t="s">
        <v>41</v>
      </c>
      <c r="E42" s="1" t="s">
        <v>135</v>
      </c>
      <c r="F42" s="10" t="s">
        <v>797</v>
      </c>
      <c r="G42" s="1">
        <v>0</v>
      </c>
      <c r="H42" s="1">
        <v>0.02</v>
      </c>
      <c r="I42" s="8">
        <v>44951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945253</v>
      </c>
      <c r="AJ42" s="2">
        <v>151977</v>
      </c>
      <c r="AK42" s="2">
        <v>16879.52</v>
      </c>
      <c r="AL42" s="2">
        <v>2713.87</v>
      </c>
      <c r="AM42" s="5">
        <v>9796.7000000000007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32916.9</v>
      </c>
      <c r="AT42" s="12">
        <v>29390.09</v>
      </c>
      <c r="AU42" s="2">
        <v>587.79999999999995</v>
      </c>
      <c r="AV42" s="5">
        <v>0</v>
      </c>
      <c r="AX42" s="2">
        <v>945253</v>
      </c>
      <c r="AY42" s="2">
        <v>151977</v>
      </c>
      <c r="AZ42" s="2">
        <v>16879.52</v>
      </c>
      <c r="BA42" s="2">
        <v>2713.87</v>
      </c>
      <c r="BB42" s="5">
        <v>9796.7000000000007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32916.9</v>
      </c>
      <c r="BI42" s="12">
        <v>29390.09</v>
      </c>
      <c r="BJ42" s="2">
        <v>587.79999999999995</v>
      </c>
      <c r="BK42" s="5">
        <v>0</v>
      </c>
      <c r="BL42" s="1" t="s">
        <v>302</v>
      </c>
    </row>
    <row r="43" spans="1:64" x14ac:dyDescent="0.3">
      <c r="A43" t="s">
        <v>824</v>
      </c>
      <c r="B43" s="1" t="s">
        <v>824</v>
      </c>
      <c r="C43" s="9" t="s">
        <v>825</v>
      </c>
      <c r="D43" s="1" t="s">
        <v>41</v>
      </c>
      <c r="E43" s="1" t="s">
        <v>135</v>
      </c>
      <c r="F43" s="10" t="s">
        <v>826</v>
      </c>
      <c r="G43" s="1">
        <v>0</v>
      </c>
      <c r="H43" s="1">
        <v>0.02</v>
      </c>
      <c r="I43" s="8">
        <v>45075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494825</v>
      </c>
      <c r="AJ43" s="2">
        <v>62442</v>
      </c>
      <c r="AK43" s="2">
        <v>8836.16</v>
      </c>
      <c r="AL43" s="2">
        <v>1115.04</v>
      </c>
      <c r="AM43" s="5">
        <v>4975.6000000000004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16718.02</v>
      </c>
      <c r="AT43" s="12">
        <v>14926.800000000001</v>
      </c>
      <c r="AU43" s="2">
        <v>298.54000000000002</v>
      </c>
      <c r="AV43" s="5">
        <v>0</v>
      </c>
      <c r="AX43" s="2">
        <v>494825</v>
      </c>
      <c r="AY43" s="2">
        <v>62442</v>
      </c>
      <c r="AZ43" s="2">
        <v>8836.16</v>
      </c>
      <c r="BA43" s="2">
        <v>1115.04</v>
      </c>
      <c r="BB43" s="5">
        <v>4975.6000000000004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16718.02</v>
      </c>
      <c r="BI43" s="12">
        <v>14926.800000000001</v>
      </c>
      <c r="BJ43" s="2">
        <v>298.54000000000002</v>
      </c>
      <c r="BL43" s="1" t="s">
        <v>302</v>
      </c>
    </row>
    <row r="44" spans="1:64" x14ac:dyDescent="0.3">
      <c r="A44" t="s">
        <v>886</v>
      </c>
      <c r="B44" s="1" t="s">
        <v>886</v>
      </c>
      <c r="C44" s="9" t="s">
        <v>887</v>
      </c>
      <c r="D44" s="1" t="s">
        <v>41</v>
      </c>
      <c r="E44" s="1" t="s">
        <v>135</v>
      </c>
      <c r="F44" s="10" t="s">
        <v>797</v>
      </c>
      <c r="G44" s="1">
        <v>0</v>
      </c>
      <c r="H44" s="1">
        <v>0.02</v>
      </c>
      <c r="I44" s="8">
        <v>45278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665171</v>
      </c>
      <c r="AJ44" s="2">
        <v>126960</v>
      </c>
      <c r="AK44" s="2">
        <v>11878.05</v>
      </c>
      <c r="AL44" s="2">
        <v>2267.14</v>
      </c>
      <c r="AM44" s="5">
        <v>7072.6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23763.919999999998</v>
      </c>
      <c r="AT44" s="12">
        <v>21217.79</v>
      </c>
      <c r="AU44" s="2">
        <v>424.36</v>
      </c>
      <c r="AV44" s="5">
        <v>0</v>
      </c>
      <c r="AX44" s="2">
        <v>665171</v>
      </c>
      <c r="AY44" s="2">
        <v>126960</v>
      </c>
      <c r="AZ44" s="2">
        <v>11878.05</v>
      </c>
      <c r="BA44" s="2">
        <v>2267.14</v>
      </c>
      <c r="BB44" s="5">
        <v>7072.6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23763.919999999998</v>
      </c>
      <c r="BI44" s="12">
        <v>21217.79</v>
      </c>
      <c r="BJ44" s="2">
        <v>424.36</v>
      </c>
      <c r="BL44" s="1" t="s">
        <v>302</v>
      </c>
    </row>
    <row r="45" spans="1:64" x14ac:dyDescent="0.3">
      <c r="A45" t="s">
        <v>898</v>
      </c>
      <c r="B45" s="1" t="s">
        <v>898</v>
      </c>
      <c r="C45" s="9" t="s">
        <v>899</v>
      </c>
      <c r="D45" s="1" t="s">
        <v>41</v>
      </c>
      <c r="E45" s="1" t="s">
        <v>88</v>
      </c>
      <c r="F45" s="10" t="s">
        <v>664</v>
      </c>
      <c r="G45" s="1">
        <v>0</v>
      </c>
      <c r="H45" s="1">
        <v>0.02</v>
      </c>
      <c r="I45" s="8">
        <v>45518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668757.48</v>
      </c>
      <c r="AJ45" s="2">
        <v>284665</v>
      </c>
      <c r="AK45" s="2">
        <v>11942.099999999999</v>
      </c>
      <c r="AL45" s="2">
        <v>5083.3</v>
      </c>
      <c r="AM45" s="5">
        <v>8512.7099999999991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28602.68</v>
      </c>
      <c r="AT45" s="12">
        <v>25538.11</v>
      </c>
      <c r="AU45" s="2">
        <v>510.76</v>
      </c>
      <c r="AV45" s="5">
        <v>0</v>
      </c>
      <c r="AX45" s="2">
        <v>668757.48</v>
      </c>
      <c r="AY45" s="2">
        <v>284665</v>
      </c>
      <c r="AZ45" s="2">
        <v>11942.099999999999</v>
      </c>
      <c r="BA45" s="2">
        <v>5083.3</v>
      </c>
      <c r="BB45" s="5">
        <v>8512.7099999999991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28602.68</v>
      </c>
      <c r="BI45" s="12">
        <v>25538.11</v>
      </c>
      <c r="BJ45" s="2">
        <v>510.76</v>
      </c>
      <c r="BK45" s="5">
        <v>0</v>
      </c>
      <c r="BL45" s="1" t="s">
        <v>546</v>
      </c>
    </row>
    <row r="46" spans="1:64" x14ac:dyDescent="0.3">
      <c r="A46" t="s">
        <v>908</v>
      </c>
      <c r="B46" s="1" t="s">
        <v>908</v>
      </c>
      <c r="C46" s="9" t="s">
        <v>909</v>
      </c>
      <c r="D46" s="1" t="s">
        <v>41</v>
      </c>
      <c r="E46" s="1" t="s">
        <v>88</v>
      </c>
      <c r="F46" s="10" t="s">
        <v>664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AV46" s="5">
        <v>0</v>
      </c>
      <c r="AX46" s="2">
        <v>0</v>
      </c>
      <c r="AY46" s="2">
        <v>0</v>
      </c>
      <c r="AZ46" s="2">
        <v>0</v>
      </c>
      <c r="BA46" s="2">
        <v>0</v>
      </c>
      <c r="BB46" s="5">
        <v>0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0</v>
      </c>
      <c r="BI46" s="12">
        <v>0</v>
      </c>
      <c r="BJ46" s="2">
        <v>0</v>
      </c>
      <c r="BL46" s="1" t="s">
        <v>546</v>
      </c>
    </row>
    <row r="47" spans="1:64" x14ac:dyDescent="0.3">
      <c r="A47" t="s">
        <v>938</v>
      </c>
      <c r="B47" s="1" t="s">
        <v>938</v>
      </c>
      <c r="C47" s="9" t="s">
        <v>939</v>
      </c>
      <c r="D47" s="1" t="s">
        <v>41</v>
      </c>
      <c r="E47" s="1" t="s">
        <v>88</v>
      </c>
      <c r="F47" s="10" t="s">
        <v>671</v>
      </c>
      <c r="G47" s="1">
        <v>0</v>
      </c>
      <c r="H47" s="1">
        <v>0.02</v>
      </c>
      <c r="I47" s="8">
        <v>45630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257181</v>
      </c>
      <c r="AJ47" s="2">
        <v>63166</v>
      </c>
      <c r="AK47" s="2">
        <v>4592.5200000000004</v>
      </c>
      <c r="AL47" s="2">
        <v>1127.96</v>
      </c>
      <c r="AM47" s="5">
        <v>2860.24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9610.41</v>
      </c>
      <c r="AT47" s="12">
        <v>8580.7200000000012</v>
      </c>
      <c r="AU47" s="2">
        <v>171.61</v>
      </c>
      <c r="AV47" s="5">
        <v>0</v>
      </c>
      <c r="AX47" s="2">
        <v>257181</v>
      </c>
      <c r="AY47" s="2">
        <v>63166</v>
      </c>
      <c r="AZ47" s="2">
        <v>4592.5200000000004</v>
      </c>
      <c r="BA47" s="2">
        <v>1127.96</v>
      </c>
      <c r="BB47" s="5">
        <v>2860.24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9610.41</v>
      </c>
      <c r="BI47" s="12">
        <v>8580.7200000000012</v>
      </c>
      <c r="BJ47" s="2">
        <v>171.61</v>
      </c>
      <c r="BK47" s="5">
        <v>0</v>
      </c>
      <c r="BL47" s="1" t="s">
        <v>90</v>
      </c>
    </row>
    <row r="48" spans="1:64" x14ac:dyDescent="0.3">
      <c r="A48" t="s">
        <v>944</v>
      </c>
      <c r="B48" s="1" t="s">
        <v>945</v>
      </c>
      <c r="C48" s="9" t="s">
        <v>946</v>
      </c>
      <c r="D48" s="1" t="s">
        <v>41</v>
      </c>
      <c r="E48" s="1" t="s">
        <v>88</v>
      </c>
      <c r="F48" s="10" t="s">
        <v>664</v>
      </c>
      <c r="G48" s="1">
        <v>0</v>
      </c>
      <c r="H48" s="1">
        <v>0.02</v>
      </c>
      <c r="I48" s="8">
        <v>44985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422690</v>
      </c>
      <c r="AJ48" s="2">
        <v>64346</v>
      </c>
      <c r="AK48" s="2">
        <v>7548.0300000000007</v>
      </c>
      <c r="AL48" s="2">
        <v>1149.03</v>
      </c>
      <c r="AM48" s="5">
        <v>4348.54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14611.07</v>
      </c>
      <c r="AT48" s="12">
        <v>13045.600000000002</v>
      </c>
      <c r="AU48" s="2">
        <v>260.90999999999997</v>
      </c>
      <c r="AV48" s="5">
        <v>0</v>
      </c>
      <c r="AX48" s="2">
        <v>422690</v>
      </c>
      <c r="AY48" s="2">
        <v>64346</v>
      </c>
      <c r="AZ48" s="2">
        <v>7548.0300000000007</v>
      </c>
      <c r="BA48" s="2">
        <v>1149.03</v>
      </c>
      <c r="BB48" s="5">
        <v>4348.54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14611.07</v>
      </c>
      <c r="BI48" s="12">
        <v>13045.600000000002</v>
      </c>
      <c r="BJ48" s="2">
        <v>260.90999999999997</v>
      </c>
      <c r="BK48" s="5">
        <v>0</v>
      </c>
      <c r="BL48" s="1" t="s">
        <v>546</v>
      </c>
    </row>
    <row r="49" spans="1:64" x14ac:dyDescent="0.3">
      <c r="A49" t="s">
        <v>952</v>
      </c>
      <c r="B49" s="1" t="s">
        <v>953</v>
      </c>
      <c r="C49" s="9" t="s">
        <v>954</v>
      </c>
      <c r="D49" s="1" t="s">
        <v>41</v>
      </c>
      <c r="E49" s="1" t="s">
        <v>135</v>
      </c>
      <c r="F49" s="10" t="s">
        <v>826</v>
      </c>
      <c r="G49" s="1">
        <v>3.5000000000000003E-2</v>
      </c>
      <c r="H49" s="1">
        <v>0.02</v>
      </c>
      <c r="I49" s="8">
        <v>45105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481130</v>
      </c>
      <c r="AJ49" s="2">
        <v>136499</v>
      </c>
      <c r="AK49" s="2">
        <v>8591.61</v>
      </c>
      <c r="AL49" s="2">
        <v>2437.48</v>
      </c>
      <c r="AM49" s="5">
        <v>5514.55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18528.88</v>
      </c>
      <c r="AT49" s="12">
        <v>16543.64</v>
      </c>
      <c r="AU49" s="2">
        <v>330.87</v>
      </c>
      <c r="AV49" s="5">
        <v>0</v>
      </c>
      <c r="AX49" s="2">
        <v>481130</v>
      </c>
      <c r="AY49" s="2">
        <v>136499</v>
      </c>
      <c r="AZ49" s="2">
        <v>8591.61</v>
      </c>
      <c r="BA49" s="2">
        <v>2437.48</v>
      </c>
      <c r="BB49" s="5">
        <v>5514.55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18528.88</v>
      </c>
      <c r="BI49" s="12">
        <v>16543.64</v>
      </c>
      <c r="BJ49" s="2">
        <v>330.87</v>
      </c>
      <c r="BK49" s="5">
        <v>0</v>
      </c>
      <c r="BL49" s="1" t="s">
        <v>302</v>
      </c>
    </row>
    <row r="50" spans="1:64" x14ac:dyDescent="0.3">
      <c r="A50" t="s">
        <v>966</v>
      </c>
      <c r="B50" s="1" t="s">
        <v>966</v>
      </c>
      <c r="C50" s="9" t="s">
        <v>967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45716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649959</v>
      </c>
      <c r="AJ50" s="2">
        <v>27018</v>
      </c>
      <c r="AK50" s="2">
        <v>11606.41</v>
      </c>
      <c r="AL50" s="2">
        <v>482.46</v>
      </c>
      <c r="AM50" s="5">
        <v>6044.43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20309.3</v>
      </c>
      <c r="AT50" s="12">
        <v>18133.3</v>
      </c>
      <c r="AU50" s="2">
        <v>362.65999999999997</v>
      </c>
      <c r="AV50" s="5">
        <v>0</v>
      </c>
      <c r="AX50" s="2">
        <v>649959</v>
      </c>
      <c r="AY50" s="2">
        <v>27018</v>
      </c>
      <c r="AZ50" s="2">
        <v>11606.41</v>
      </c>
      <c r="BA50" s="2">
        <v>482.46</v>
      </c>
      <c r="BB50" s="5">
        <v>6044.43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20309.3</v>
      </c>
      <c r="BI50" s="12">
        <v>18133.3</v>
      </c>
      <c r="BJ50" s="2">
        <v>362.65999999999997</v>
      </c>
      <c r="BK50" s="5">
        <v>0</v>
      </c>
      <c r="BL50" s="1" t="s">
        <v>130</v>
      </c>
    </row>
    <row r="51" spans="1:64" x14ac:dyDescent="0.3">
      <c r="A51" t="s">
        <v>1021</v>
      </c>
      <c r="B51" s="1" t="s">
        <v>1021</v>
      </c>
      <c r="C51" s="9" t="s">
        <v>1022</v>
      </c>
      <c r="D51" s="1" t="s">
        <v>41</v>
      </c>
      <c r="E51" s="1" t="s">
        <v>128</v>
      </c>
      <c r="F51" s="10" t="s">
        <v>372</v>
      </c>
      <c r="G51" s="1">
        <v>0</v>
      </c>
      <c r="H51" s="1">
        <v>0.02</v>
      </c>
      <c r="I51" s="8">
        <v>44462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1865224</v>
      </c>
      <c r="AJ51" s="2">
        <v>92523.1</v>
      </c>
      <c r="AK51" s="2">
        <v>33307.58</v>
      </c>
      <c r="AL51" s="2">
        <v>1652.2</v>
      </c>
      <c r="AM51" s="5">
        <v>17479.88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58732.42</v>
      </c>
      <c r="AT51" s="12">
        <v>52439.660000000011</v>
      </c>
      <c r="AU51" s="2">
        <v>1048.79</v>
      </c>
      <c r="AV51" s="5">
        <v>0</v>
      </c>
      <c r="AX51" s="2">
        <v>1865224</v>
      </c>
      <c r="AY51" s="2">
        <v>92523.1</v>
      </c>
      <c r="AZ51" s="2">
        <v>33307.58</v>
      </c>
      <c r="BA51" s="2">
        <v>1652.2</v>
      </c>
      <c r="BB51" s="5">
        <v>17479.88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58732.42</v>
      </c>
      <c r="BI51" s="12">
        <v>52439.660000000011</v>
      </c>
      <c r="BJ51" s="2">
        <v>1048.79</v>
      </c>
      <c r="BK51" s="5">
        <v>0</v>
      </c>
      <c r="BL51" s="1" t="s">
        <v>130</v>
      </c>
    </row>
    <row r="52" spans="1:64" x14ac:dyDescent="0.3">
      <c r="A52" t="s">
        <v>1067</v>
      </c>
      <c r="B52" s="1" t="s">
        <v>1067</v>
      </c>
      <c r="C52" s="9" t="s">
        <v>1068</v>
      </c>
      <c r="D52" s="1" t="s">
        <v>41</v>
      </c>
      <c r="E52" s="1" t="s">
        <v>128</v>
      </c>
      <c r="F52" s="10" t="s">
        <v>331</v>
      </c>
      <c r="G52" s="1">
        <v>0</v>
      </c>
      <c r="H52" s="1">
        <v>0.02</v>
      </c>
      <c r="I52" s="8">
        <v>44729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301591.25</v>
      </c>
      <c r="AJ52" s="2">
        <v>27259</v>
      </c>
      <c r="AK52" s="2">
        <v>5385.55</v>
      </c>
      <c r="AL52" s="2">
        <v>486.77</v>
      </c>
      <c r="AM52" s="5">
        <v>2936.16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9865.5</v>
      </c>
      <c r="AT52" s="12">
        <v>8808.48</v>
      </c>
      <c r="AU52" s="2">
        <v>176.17</v>
      </c>
      <c r="AV52" s="5">
        <v>0</v>
      </c>
      <c r="AX52" s="2">
        <v>301591.25</v>
      </c>
      <c r="AY52" s="2">
        <v>27259</v>
      </c>
      <c r="AZ52" s="2">
        <v>5385.55</v>
      </c>
      <c r="BA52" s="2">
        <v>486.77</v>
      </c>
      <c r="BB52" s="5">
        <v>2936.16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9865.5</v>
      </c>
      <c r="BI52" s="12">
        <v>8808.48</v>
      </c>
      <c r="BJ52" s="2">
        <v>176.17</v>
      </c>
      <c r="BL52" s="1" t="s">
        <v>130</v>
      </c>
    </row>
    <row r="53" spans="1:64" x14ac:dyDescent="0.3">
      <c r="A53" t="s">
        <v>1120</v>
      </c>
      <c r="B53" s="1" t="s">
        <v>1120</v>
      </c>
      <c r="C53" s="9" t="s">
        <v>1121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AV53" s="5">
        <v>0</v>
      </c>
      <c r="AX53" s="2">
        <v>0</v>
      </c>
      <c r="AY53" s="2">
        <v>0</v>
      </c>
      <c r="AZ53" s="2">
        <v>0</v>
      </c>
      <c r="BA53" s="2">
        <v>0</v>
      </c>
      <c r="BB53" s="5">
        <v>0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0</v>
      </c>
      <c r="BI53" s="12">
        <v>0</v>
      </c>
      <c r="BJ53" s="2">
        <v>0</v>
      </c>
      <c r="BL53" s="1" t="s">
        <v>130</v>
      </c>
    </row>
    <row r="54" spans="1:64" x14ac:dyDescent="0.3">
      <c r="A54" t="s">
        <v>1126</v>
      </c>
      <c r="B54" s="1" t="s">
        <v>1126</v>
      </c>
      <c r="C54" s="9" t="s">
        <v>1127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45016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958802.38000000012</v>
      </c>
      <c r="AJ54" s="2">
        <v>42873.71</v>
      </c>
      <c r="AK54" s="2">
        <v>17121.46</v>
      </c>
      <c r="AL54" s="2">
        <v>765.6</v>
      </c>
      <c r="AM54" s="5">
        <v>8943.5500000000011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30050.28</v>
      </c>
      <c r="AT54" s="12">
        <v>26830.61</v>
      </c>
      <c r="AU54" s="2">
        <v>536.62</v>
      </c>
      <c r="AV54" s="5">
        <v>0</v>
      </c>
      <c r="AX54" s="2">
        <v>958802.38000000012</v>
      </c>
      <c r="AY54" s="2">
        <v>42873.71</v>
      </c>
      <c r="AZ54" s="2">
        <v>17121.46</v>
      </c>
      <c r="BA54" s="2">
        <v>765.6</v>
      </c>
      <c r="BB54" s="5">
        <v>8943.5500000000011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30050.28</v>
      </c>
      <c r="BI54" s="12">
        <v>26830.61</v>
      </c>
      <c r="BJ54" s="2">
        <v>536.62</v>
      </c>
      <c r="BK54" s="5">
        <v>0</v>
      </c>
      <c r="BL54" s="1" t="s">
        <v>130</v>
      </c>
    </row>
    <row r="55" spans="1:64" x14ac:dyDescent="0.3">
      <c r="A55" t="s">
        <v>1132</v>
      </c>
      <c r="B55" s="1" t="s">
        <v>1132</v>
      </c>
      <c r="C55" s="9" t="s">
        <v>1133</v>
      </c>
      <c r="D55" s="1" t="s">
        <v>41</v>
      </c>
      <c r="E55" s="1" t="s">
        <v>128</v>
      </c>
      <c r="F55" s="10" t="s">
        <v>372</v>
      </c>
      <c r="G55" s="1">
        <v>0</v>
      </c>
      <c r="H55" s="1">
        <v>0.02</v>
      </c>
      <c r="I55" s="8">
        <v>44918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1432252.89</v>
      </c>
      <c r="AJ55" s="2">
        <v>194990.51</v>
      </c>
      <c r="AK55" s="2">
        <v>25575.94</v>
      </c>
      <c r="AL55" s="2">
        <v>3481.97</v>
      </c>
      <c r="AM55" s="5">
        <v>14528.96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48817.29</v>
      </c>
      <c r="AT55" s="12">
        <v>43586.87</v>
      </c>
      <c r="AU55" s="2">
        <v>871.74</v>
      </c>
      <c r="AV55" s="5">
        <v>0</v>
      </c>
      <c r="AX55" s="2">
        <v>1432252.89</v>
      </c>
      <c r="AY55" s="2">
        <v>194990.51</v>
      </c>
      <c r="AZ55" s="2">
        <v>25575.94</v>
      </c>
      <c r="BA55" s="2">
        <v>3481.97</v>
      </c>
      <c r="BB55" s="5">
        <v>14528.96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48817.29</v>
      </c>
      <c r="BI55" s="12">
        <v>43586.87</v>
      </c>
      <c r="BJ55" s="2">
        <v>871.74</v>
      </c>
      <c r="BK55" s="5">
        <v>0</v>
      </c>
      <c r="BL55" s="1" t="s">
        <v>130</v>
      </c>
    </row>
    <row r="56" spans="1:64" x14ac:dyDescent="0.3">
      <c r="A56" t="s">
        <v>1173</v>
      </c>
      <c r="B56" s="1" t="s">
        <v>1173</v>
      </c>
      <c r="C56" s="9" t="s">
        <v>1174</v>
      </c>
      <c r="D56" s="1" t="s">
        <v>41</v>
      </c>
      <c r="E56" s="1" t="s">
        <v>128</v>
      </c>
      <c r="F56" s="10" t="s">
        <v>372</v>
      </c>
      <c r="G56" s="1">
        <v>0</v>
      </c>
      <c r="H56" s="1">
        <v>0.02</v>
      </c>
      <c r="I56" s="8">
        <v>45077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294349.04000000004</v>
      </c>
      <c r="AJ56" s="2">
        <v>14737.25</v>
      </c>
      <c r="AK56" s="2">
        <v>5256.23</v>
      </c>
      <c r="AL56" s="2">
        <v>263.16000000000003</v>
      </c>
      <c r="AM56" s="5">
        <v>2759.7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9272.58</v>
      </c>
      <c r="AT56" s="12">
        <v>8279.09</v>
      </c>
      <c r="AU56" s="2">
        <v>165.58</v>
      </c>
      <c r="AV56" s="5">
        <v>0</v>
      </c>
      <c r="AX56" s="2">
        <v>294349.04000000004</v>
      </c>
      <c r="AY56" s="2">
        <v>14737.25</v>
      </c>
      <c r="AZ56" s="2">
        <v>5256.23</v>
      </c>
      <c r="BA56" s="2">
        <v>263.16000000000003</v>
      </c>
      <c r="BB56" s="5">
        <v>2759.7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9272.58</v>
      </c>
      <c r="BI56" s="12">
        <v>8279.09</v>
      </c>
      <c r="BJ56" s="2">
        <v>165.58</v>
      </c>
      <c r="BL56" s="1" t="s">
        <v>130</v>
      </c>
    </row>
    <row r="57" spans="1:64" x14ac:dyDescent="0.3">
      <c r="A57" t="s">
        <v>1185</v>
      </c>
      <c r="B57" s="1" t="s">
        <v>1186</v>
      </c>
      <c r="C57" s="9" t="s">
        <v>1187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44527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1512451.75</v>
      </c>
      <c r="AJ57" s="2">
        <v>34704</v>
      </c>
      <c r="AK57" s="2">
        <v>27008.06</v>
      </c>
      <c r="AL57" s="2">
        <v>619.71999999999991</v>
      </c>
      <c r="AM57" s="5">
        <v>13813.900000000001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46414.68</v>
      </c>
      <c r="AT57" s="12">
        <v>41441.68</v>
      </c>
      <c r="AU57" s="2">
        <v>828.82999999999993</v>
      </c>
      <c r="AV57" s="5">
        <v>0</v>
      </c>
      <c r="AX57" s="2">
        <v>1512451.75</v>
      </c>
      <c r="AY57" s="2">
        <v>34704</v>
      </c>
      <c r="AZ57" s="2">
        <v>27008.06</v>
      </c>
      <c r="BA57" s="2">
        <v>619.71999999999991</v>
      </c>
      <c r="BB57" s="5">
        <v>13813.900000000001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46414.68</v>
      </c>
      <c r="BI57" s="12">
        <v>41441.68</v>
      </c>
      <c r="BJ57" s="2">
        <v>828.82999999999993</v>
      </c>
      <c r="BK57" s="5">
        <v>0</v>
      </c>
      <c r="BL57" s="1" t="s">
        <v>130</v>
      </c>
    </row>
    <row r="58" spans="1:64" x14ac:dyDescent="0.3">
      <c r="A58" t="s">
        <v>1193</v>
      </c>
      <c r="B58" s="1" t="s">
        <v>1193</v>
      </c>
      <c r="C58" s="9" t="s">
        <v>1194</v>
      </c>
      <c r="D58" s="1" t="s">
        <v>41</v>
      </c>
      <c r="E58" s="1" t="s">
        <v>128</v>
      </c>
      <c r="F58" s="10" t="s">
        <v>331</v>
      </c>
      <c r="G58" s="1">
        <v>0</v>
      </c>
      <c r="H58" s="1">
        <v>0.02</v>
      </c>
      <c r="I58" s="8">
        <v>45034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566930</v>
      </c>
      <c r="AJ58" s="2">
        <v>41130</v>
      </c>
      <c r="AK58" s="2">
        <v>10123.75</v>
      </c>
      <c r="AL58" s="2">
        <v>734.46</v>
      </c>
      <c r="AM58" s="5">
        <v>5429.11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18241.8</v>
      </c>
      <c r="AT58" s="12">
        <v>16287.32</v>
      </c>
      <c r="AU58" s="2">
        <v>325.75</v>
      </c>
      <c r="AV58" s="5">
        <v>0</v>
      </c>
      <c r="AX58" s="2">
        <v>566930</v>
      </c>
      <c r="AY58" s="2">
        <v>41130</v>
      </c>
      <c r="AZ58" s="2">
        <v>10123.75</v>
      </c>
      <c r="BA58" s="2">
        <v>734.46</v>
      </c>
      <c r="BB58" s="5">
        <v>5429.11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18241.8</v>
      </c>
      <c r="BI58" s="12">
        <v>16287.32</v>
      </c>
      <c r="BJ58" s="2">
        <v>325.75</v>
      </c>
      <c r="BK58" s="5">
        <v>0</v>
      </c>
      <c r="BL58" s="1" t="s">
        <v>130</v>
      </c>
    </row>
    <row r="59" spans="1:64" x14ac:dyDescent="0.3">
      <c r="A59" t="s">
        <v>1199</v>
      </c>
      <c r="B59" s="1" t="s">
        <v>1199</v>
      </c>
      <c r="C59" s="9" t="s">
        <v>1200</v>
      </c>
      <c r="D59" s="1" t="s">
        <v>41</v>
      </c>
      <c r="E59" s="1" t="s">
        <v>135</v>
      </c>
      <c r="F59" s="10" t="s">
        <v>467</v>
      </c>
      <c r="G59" s="1">
        <v>0</v>
      </c>
      <c r="H59" s="1">
        <v>0.02</v>
      </c>
      <c r="I59" s="8">
        <v>45066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308019.80999999994</v>
      </c>
      <c r="AJ59" s="2">
        <v>91821.200000000012</v>
      </c>
      <c r="AK59" s="2">
        <v>5500.36</v>
      </c>
      <c r="AL59" s="2">
        <v>1639.66</v>
      </c>
      <c r="AM59" s="5">
        <v>3570.01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11995.23</v>
      </c>
      <c r="AT59" s="12">
        <v>10710.029999999999</v>
      </c>
      <c r="AU59" s="2">
        <v>214.2</v>
      </c>
      <c r="AV59" s="5">
        <v>0</v>
      </c>
      <c r="AX59" s="2">
        <v>308019.80999999994</v>
      </c>
      <c r="AY59" s="2">
        <v>91821.200000000012</v>
      </c>
      <c r="AZ59" s="2">
        <v>5500.36</v>
      </c>
      <c r="BA59" s="2">
        <v>1639.66</v>
      </c>
      <c r="BB59" s="5">
        <v>3570.01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11995.23</v>
      </c>
      <c r="BI59" s="12">
        <v>10710.029999999999</v>
      </c>
      <c r="BJ59" s="2">
        <v>214.2</v>
      </c>
      <c r="BL59" s="1" t="s">
        <v>302</v>
      </c>
    </row>
    <row r="60" spans="1:64" x14ac:dyDescent="0.3">
      <c r="A60" t="s">
        <v>1201</v>
      </c>
      <c r="B60" s="1" t="s">
        <v>1201</v>
      </c>
      <c r="C60" s="9" t="s">
        <v>1202</v>
      </c>
      <c r="D60" s="1" t="s">
        <v>41</v>
      </c>
      <c r="E60" s="1" t="s">
        <v>128</v>
      </c>
      <c r="F60" s="10" t="s">
        <v>372</v>
      </c>
      <c r="G60" s="1">
        <v>0</v>
      </c>
      <c r="H60" s="1">
        <v>0.02</v>
      </c>
      <c r="I60" s="8">
        <v>45056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558836.37</v>
      </c>
      <c r="AJ60" s="2">
        <v>29843.800000000003</v>
      </c>
      <c r="AK60" s="2">
        <v>9979.2199999999993</v>
      </c>
      <c r="AL60" s="2">
        <v>532.92999999999995</v>
      </c>
      <c r="AM60" s="5">
        <v>5256.07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17660.41</v>
      </c>
      <c r="AT60" s="12">
        <v>15768.22</v>
      </c>
      <c r="AU60" s="2">
        <v>315.36</v>
      </c>
      <c r="AV60" s="5">
        <v>0</v>
      </c>
      <c r="AX60" s="2">
        <v>558836.37</v>
      </c>
      <c r="AY60" s="2">
        <v>29843.800000000003</v>
      </c>
      <c r="AZ60" s="2">
        <v>9979.2199999999993</v>
      </c>
      <c r="BA60" s="2">
        <v>532.92999999999995</v>
      </c>
      <c r="BB60" s="5">
        <v>5256.07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17660.41</v>
      </c>
      <c r="BI60" s="12">
        <v>15768.22</v>
      </c>
      <c r="BJ60" s="2">
        <v>315.36</v>
      </c>
      <c r="BL60" s="1" t="s">
        <v>130</v>
      </c>
    </row>
    <row r="61" spans="1:64" x14ac:dyDescent="0.3">
      <c r="A61" t="s">
        <v>1203</v>
      </c>
      <c r="B61" s="1" t="s">
        <v>1203</v>
      </c>
      <c r="C61" s="9" t="s">
        <v>1204</v>
      </c>
      <c r="D61" s="1" t="s">
        <v>41</v>
      </c>
      <c r="E61" s="1" t="s">
        <v>88</v>
      </c>
      <c r="F61" s="10" t="s">
        <v>671</v>
      </c>
      <c r="G61" s="1">
        <v>0</v>
      </c>
      <c r="H61" s="1">
        <v>0.02</v>
      </c>
      <c r="I61" s="8">
        <v>45161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239598</v>
      </c>
      <c r="AJ61" s="2">
        <v>81363</v>
      </c>
      <c r="AK61" s="2">
        <v>4278.54</v>
      </c>
      <c r="AL61" s="2">
        <v>1452.91</v>
      </c>
      <c r="AM61" s="5">
        <v>2865.73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9628.84</v>
      </c>
      <c r="AT61" s="12">
        <v>8597.18</v>
      </c>
      <c r="AU61" s="2">
        <v>171.94</v>
      </c>
      <c r="AV61" s="5">
        <v>0</v>
      </c>
      <c r="AX61" s="2">
        <v>239598</v>
      </c>
      <c r="AY61" s="2">
        <v>81363</v>
      </c>
      <c r="AZ61" s="2">
        <v>4278.54</v>
      </c>
      <c r="BA61" s="2">
        <v>1452.91</v>
      </c>
      <c r="BB61" s="5">
        <v>2865.73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9628.84</v>
      </c>
      <c r="BI61" s="12">
        <v>8597.18</v>
      </c>
      <c r="BJ61" s="2">
        <v>171.94</v>
      </c>
      <c r="BK61" s="5">
        <v>0</v>
      </c>
      <c r="BL61" s="1" t="s">
        <v>90</v>
      </c>
    </row>
    <row r="62" spans="1:64" x14ac:dyDescent="0.3">
      <c r="A62" t="s">
        <v>1217</v>
      </c>
      <c r="B62" s="1" t="s">
        <v>1217</v>
      </c>
      <c r="C62" s="9" t="s">
        <v>1218</v>
      </c>
      <c r="D62" s="1" t="s">
        <v>41</v>
      </c>
      <c r="E62" s="1" t="s">
        <v>88</v>
      </c>
      <c r="F62" s="10" t="s">
        <v>671</v>
      </c>
      <c r="G62" s="1">
        <v>0</v>
      </c>
      <c r="H62" s="1">
        <v>0.02</v>
      </c>
      <c r="I62" s="8">
        <v>45135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166920</v>
      </c>
      <c r="AJ62" s="2">
        <v>59647</v>
      </c>
      <c r="AK62" s="2">
        <v>2980.71</v>
      </c>
      <c r="AL62" s="2">
        <v>1065.1199999999999</v>
      </c>
      <c r="AM62" s="5">
        <v>2022.92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6797</v>
      </c>
      <c r="AT62" s="12">
        <v>6068.75</v>
      </c>
      <c r="AU62" s="2">
        <v>121.38</v>
      </c>
      <c r="AV62" s="5">
        <v>0</v>
      </c>
      <c r="AX62" s="2">
        <v>166920</v>
      </c>
      <c r="AY62" s="2">
        <v>59647</v>
      </c>
      <c r="AZ62" s="2">
        <v>2980.71</v>
      </c>
      <c r="BA62" s="2">
        <v>1065.1199999999999</v>
      </c>
      <c r="BB62" s="5">
        <v>2022.92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6797</v>
      </c>
      <c r="BI62" s="12">
        <v>6068.75</v>
      </c>
      <c r="BJ62" s="2">
        <v>121.38</v>
      </c>
      <c r="BL62" s="1" t="s">
        <v>90</v>
      </c>
    </row>
    <row r="63" spans="1:64" x14ac:dyDescent="0.3">
      <c r="A63" t="s">
        <v>1219</v>
      </c>
      <c r="B63" s="1" t="s">
        <v>1219</v>
      </c>
      <c r="C63" s="9" t="s">
        <v>1220</v>
      </c>
      <c r="D63" s="1" t="s">
        <v>41</v>
      </c>
      <c r="E63" s="1" t="s">
        <v>88</v>
      </c>
      <c r="F63" s="10" t="s">
        <v>671</v>
      </c>
      <c r="G63" s="1">
        <v>0</v>
      </c>
      <c r="H63" s="1">
        <v>0.02</v>
      </c>
      <c r="I63" s="8">
        <v>45093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152091</v>
      </c>
      <c r="AJ63" s="2">
        <v>29697</v>
      </c>
      <c r="AK63" s="2">
        <v>2715.91</v>
      </c>
      <c r="AL63" s="2">
        <v>530.29999999999995</v>
      </c>
      <c r="AM63" s="5">
        <v>1623.11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5453.64</v>
      </c>
      <c r="AT63" s="12">
        <v>4869.32</v>
      </c>
      <c r="AU63" s="2">
        <v>97.39</v>
      </c>
      <c r="AV63" s="5">
        <v>0</v>
      </c>
      <c r="AX63" s="2">
        <v>152091</v>
      </c>
      <c r="AY63" s="2">
        <v>29697</v>
      </c>
      <c r="AZ63" s="2">
        <v>2715.91</v>
      </c>
      <c r="BA63" s="2">
        <v>530.29999999999995</v>
      </c>
      <c r="BB63" s="5">
        <v>1623.11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5453.64</v>
      </c>
      <c r="BI63" s="12">
        <v>4869.32</v>
      </c>
      <c r="BJ63" s="2">
        <v>97.39</v>
      </c>
      <c r="BL63" s="1" t="s">
        <v>90</v>
      </c>
    </row>
    <row r="64" spans="1:64" x14ac:dyDescent="0.3">
      <c r="A64" t="s">
        <v>1268</v>
      </c>
      <c r="B64" s="1" t="s">
        <v>1268</v>
      </c>
      <c r="C64" s="9" t="s">
        <v>1269</v>
      </c>
      <c r="D64" s="1" t="s">
        <v>41</v>
      </c>
      <c r="E64" s="1" t="s">
        <v>135</v>
      </c>
      <c r="F64" s="10" t="s">
        <v>752</v>
      </c>
      <c r="G64" s="1">
        <v>0</v>
      </c>
      <c r="H64" s="1">
        <v>0.02</v>
      </c>
      <c r="I64" s="8">
        <v>45118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469503</v>
      </c>
      <c r="AJ64" s="2">
        <v>70245</v>
      </c>
      <c r="AK64" s="2">
        <v>8383.98</v>
      </c>
      <c r="AL64" s="2">
        <v>1254.3699999999999</v>
      </c>
      <c r="AM64" s="5">
        <v>4819.18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16192.43</v>
      </c>
      <c r="AT64" s="12">
        <v>14457.529999999999</v>
      </c>
      <c r="AU64" s="2">
        <v>289.14999999999998</v>
      </c>
      <c r="AV64" s="5">
        <v>0</v>
      </c>
      <c r="AX64" s="2">
        <v>469503</v>
      </c>
      <c r="AY64" s="2">
        <v>70245</v>
      </c>
      <c r="AZ64" s="2">
        <v>8383.98</v>
      </c>
      <c r="BA64" s="2">
        <v>1254.3699999999999</v>
      </c>
      <c r="BB64" s="5">
        <v>4819.18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16192.43</v>
      </c>
      <c r="BI64" s="12">
        <v>14457.529999999999</v>
      </c>
      <c r="BJ64" s="2">
        <v>289.14999999999998</v>
      </c>
      <c r="BK64" s="5">
        <v>0</v>
      </c>
      <c r="BL64" s="1" t="s">
        <v>302</v>
      </c>
    </row>
    <row r="65" spans="1:64" x14ac:dyDescent="0.3">
      <c r="A65" t="s">
        <v>1282</v>
      </c>
      <c r="B65" s="1" t="s">
        <v>1282</v>
      </c>
      <c r="C65" s="9" t="s">
        <v>1283</v>
      </c>
      <c r="D65" s="1" t="s">
        <v>41</v>
      </c>
      <c r="E65" s="1" t="s">
        <v>88</v>
      </c>
      <c r="F65" s="10" t="s">
        <v>671</v>
      </c>
      <c r="G65" s="1">
        <v>0</v>
      </c>
      <c r="H65" s="1">
        <v>0.02</v>
      </c>
      <c r="I65" s="8">
        <v>45230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302539</v>
      </c>
      <c r="AJ65" s="2">
        <v>70793</v>
      </c>
      <c r="AK65" s="2">
        <v>5402.48</v>
      </c>
      <c r="AL65" s="2">
        <v>1264.1600000000001</v>
      </c>
      <c r="AM65" s="5">
        <v>3333.32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11199.96</v>
      </c>
      <c r="AT65" s="12">
        <v>9999.9599999999991</v>
      </c>
      <c r="AU65" s="2">
        <v>200</v>
      </c>
      <c r="AV65" s="5">
        <v>0</v>
      </c>
      <c r="AX65" s="2">
        <v>302539</v>
      </c>
      <c r="AY65" s="2">
        <v>70793</v>
      </c>
      <c r="AZ65" s="2">
        <v>5402.48</v>
      </c>
      <c r="BA65" s="2">
        <v>1264.1600000000001</v>
      </c>
      <c r="BB65" s="5">
        <v>3333.32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11199.96</v>
      </c>
      <c r="BI65" s="12">
        <v>9999.9599999999991</v>
      </c>
      <c r="BJ65" s="2">
        <v>200</v>
      </c>
      <c r="BL65" s="1" t="s">
        <v>90</v>
      </c>
    </row>
    <row r="66" spans="1:64" x14ac:dyDescent="0.3">
      <c r="A66" t="s">
        <v>1308</v>
      </c>
      <c r="B66" s="1" t="s">
        <v>1308</v>
      </c>
      <c r="C66" s="9" t="s">
        <v>1309</v>
      </c>
      <c r="D66" s="1" t="s">
        <v>41</v>
      </c>
      <c r="E66" s="1" t="s">
        <v>128</v>
      </c>
      <c r="F66" s="10" t="s">
        <v>331</v>
      </c>
      <c r="G66" s="1">
        <v>0</v>
      </c>
      <c r="H66" s="1">
        <v>0.02</v>
      </c>
      <c r="I66" s="8">
        <v>45289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782509.6</v>
      </c>
      <c r="AJ66" s="2">
        <v>19032</v>
      </c>
      <c r="AK66" s="2">
        <v>13973.380000000001</v>
      </c>
      <c r="AL66" s="2">
        <v>339.86</v>
      </c>
      <c r="AM66" s="5">
        <v>7156.62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24046.240000000002</v>
      </c>
      <c r="AT66" s="12">
        <v>21469.86</v>
      </c>
      <c r="AU66" s="2">
        <v>429.39</v>
      </c>
      <c r="AV66" s="5">
        <v>0</v>
      </c>
      <c r="AX66" s="2">
        <v>782509.6</v>
      </c>
      <c r="AY66" s="2">
        <v>19032</v>
      </c>
      <c r="AZ66" s="2">
        <v>13973.380000000001</v>
      </c>
      <c r="BA66" s="2">
        <v>339.86</v>
      </c>
      <c r="BB66" s="5">
        <v>7156.62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24046.240000000002</v>
      </c>
      <c r="BI66" s="12">
        <v>21469.86</v>
      </c>
      <c r="BJ66" s="2">
        <v>429.39</v>
      </c>
      <c r="BK66" s="5">
        <v>0</v>
      </c>
      <c r="BL66" s="1" t="s">
        <v>130</v>
      </c>
    </row>
    <row r="67" spans="1:64" x14ac:dyDescent="0.3">
      <c r="A67" t="s">
        <v>1316</v>
      </c>
      <c r="B67" s="1" t="s">
        <v>1316</v>
      </c>
      <c r="C67" s="9" t="s">
        <v>1317</v>
      </c>
      <c r="D67" s="1" t="s">
        <v>41</v>
      </c>
      <c r="E67" s="1" t="s">
        <v>128</v>
      </c>
      <c r="F67" s="10" t="s">
        <v>331</v>
      </c>
      <c r="G67" s="1">
        <v>0</v>
      </c>
      <c r="H67" s="1">
        <v>0.02</v>
      </c>
      <c r="I67" s="8">
        <v>45219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235257.25</v>
      </c>
      <c r="AJ67" s="2">
        <v>23396</v>
      </c>
      <c r="AK67" s="2">
        <v>4201.03</v>
      </c>
      <c r="AL67" s="2">
        <v>417.79</v>
      </c>
      <c r="AM67" s="5">
        <v>2309.4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7759.61</v>
      </c>
      <c r="AT67" s="12">
        <v>6928.2199999999993</v>
      </c>
      <c r="AU67" s="2">
        <v>138.56</v>
      </c>
      <c r="AV67" s="5">
        <v>0</v>
      </c>
      <c r="AX67" s="2">
        <v>235257.25</v>
      </c>
      <c r="AY67" s="2">
        <v>23396</v>
      </c>
      <c r="AZ67" s="2">
        <v>4201.03</v>
      </c>
      <c r="BA67" s="2">
        <v>417.79</v>
      </c>
      <c r="BB67" s="5">
        <v>2309.4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7759.61</v>
      </c>
      <c r="BI67" s="12">
        <v>6928.2199999999993</v>
      </c>
      <c r="BJ67" s="2">
        <v>138.56</v>
      </c>
      <c r="BL67" s="1" t="s">
        <v>130</v>
      </c>
    </row>
    <row r="68" spans="1:64" x14ac:dyDescent="0.3">
      <c r="A68" t="s">
        <v>1326</v>
      </c>
      <c r="B68" s="1" t="s">
        <v>1326</v>
      </c>
      <c r="C68" s="9" t="s">
        <v>1327</v>
      </c>
      <c r="D68" s="1" t="s">
        <v>41</v>
      </c>
      <c r="E68" s="1" t="s">
        <v>135</v>
      </c>
      <c r="F68" s="10" t="s">
        <v>467</v>
      </c>
      <c r="G68" s="1">
        <v>0</v>
      </c>
      <c r="H68" s="1">
        <v>0.02</v>
      </c>
      <c r="I68" s="8">
        <v>45254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1711.71</v>
      </c>
      <c r="T68" s="11">
        <v>1917.12</v>
      </c>
      <c r="U68" s="6">
        <v>1711.71</v>
      </c>
      <c r="V68" s="6">
        <v>34.230000000000004</v>
      </c>
      <c r="W68" s="6">
        <v>0</v>
      </c>
      <c r="X68" s="46">
        <v>45815</v>
      </c>
      <c r="Y68" s="1">
        <v>25112154</v>
      </c>
      <c r="AC68" s="46">
        <v>45808</v>
      </c>
      <c r="AI68" s="2">
        <v>847783</v>
      </c>
      <c r="AJ68" s="2">
        <v>118937</v>
      </c>
      <c r="AK68" s="2">
        <v>15138.98</v>
      </c>
      <c r="AL68" s="2">
        <v>2123.87</v>
      </c>
      <c r="AM68" s="5">
        <v>8631.43</v>
      </c>
      <c r="AN68" s="12">
        <v>191711.40000000002</v>
      </c>
      <c r="AO68" s="2">
        <v>0</v>
      </c>
      <c r="AP68" s="2">
        <v>798.79</v>
      </c>
      <c r="AQ68" s="2">
        <v>0</v>
      </c>
      <c r="AR68" s="5">
        <v>1711.71</v>
      </c>
      <c r="AS68" s="2">
        <v>31813.35</v>
      </c>
      <c r="AT68" s="12">
        <v>28404.78</v>
      </c>
      <c r="AU68" s="2">
        <v>568.09</v>
      </c>
      <c r="AV68" s="5">
        <v>0</v>
      </c>
      <c r="AX68" s="2">
        <v>847783</v>
      </c>
      <c r="AY68" s="2">
        <v>118937</v>
      </c>
      <c r="AZ68" s="2">
        <v>15138.98</v>
      </c>
      <c r="BA68" s="2">
        <v>2123.87</v>
      </c>
      <c r="BB68" s="5">
        <v>8631.43</v>
      </c>
      <c r="BC68" s="12">
        <v>191711.40000000002</v>
      </c>
      <c r="BD68" s="2">
        <v>0</v>
      </c>
      <c r="BE68" s="2">
        <v>798.79</v>
      </c>
      <c r="BF68" s="2">
        <v>0</v>
      </c>
      <c r="BG68" s="5">
        <v>0</v>
      </c>
      <c r="BH68" s="2">
        <v>29896.240000000002</v>
      </c>
      <c r="BI68" s="12">
        <v>26693.07</v>
      </c>
      <c r="BJ68" s="2">
        <v>533.86</v>
      </c>
      <c r="BK68" s="5">
        <v>0</v>
      </c>
      <c r="BL68" s="1" t="s">
        <v>302</v>
      </c>
    </row>
    <row r="69" spans="1:64" x14ac:dyDescent="0.3">
      <c r="A69" t="s">
        <v>1338</v>
      </c>
      <c r="B69" s="1" t="s">
        <v>1339</v>
      </c>
      <c r="C69" s="9" t="s">
        <v>1340</v>
      </c>
      <c r="D69" s="1" t="s">
        <v>41</v>
      </c>
      <c r="E69" s="1" t="s">
        <v>128</v>
      </c>
      <c r="F69" s="10" t="s">
        <v>331</v>
      </c>
      <c r="G69" s="1">
        <v>0</v>
      </c>
      <c r="H69" s="1">
        <v>0.02</v>
      </c>
      <c r="I69" s="8">
        <v>45140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318727.80000000005</v>
      </c>
      <c r="AJ69" s="2">
        <v>25088</v>
      </c>
      <c r="AK69" s="2">
        <v>5691.57</v>
      </c>
      <c r="AL69" s="2">
        <v>448</v>
      </c>
      <c r="AM69" s="5">
        <v>3069.7799999999997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10314.469999999999</v>
      </c>
      <c r="AT69" s="12">
        <v>9209.35</v>
      </c>
      <c r="AU69" s="2">
        <v>184.19</v>
      </c>
      <c r="AV69" s="5">
        <v>0</v>
      </c>
      <c r="AX69" s="2">
        <v>318727.80000000005</v>
      </c>
      <c r="AY69" s="2">
        <v>25088</v>
      </c>
      <c r="AZ69" s="2">
        <v>5691.57</v>
      </c>
      <c r="BA69" s="2">
        <v>448</v>
      </c>
      <c r="BB69" s="5">
        <v>3069.7799999999997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10314.469999999999</v>
      </c>
      <c r="BI69" s="12">
        <v>9209.35</v>
      </c>
      <c r="BJ69" s="2">
        <v>184.19</v>
      </c>
      <c r="BK69" s="5">
        <v>0</v>
      </c>
      <c r="BL69" s="1" t="s">
        <v>130</v>
      </c>
    </row>
    <row r="70" spans="1:64" x14ac:dyDescent="0.3">
      <c r="A70" t="s">
        <v>1342</v>
      </c>
      <c r="B70" s="1" t="s">
        <v>1342</v>
      </c>
      <c r="C70" s="9" t="s">
        <v>1343</v>
      </c>
      <c r="D70" s="1" t="s">
        <v>41</v>
      </c>
      <c r="E70" s="1" t="s">
        <v>88</v>
      </c>
      <c r="F70" s="10" t="s">
        <v>671</v>
      </c>
      <c r="G70" s="1">
        <v>0</v>
      </c>
      <c r="H70" s="1">
        <v>0.02</v>
      </c>
      <c r="I70" s="8">
        <v>45315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87597</v>
      </c>
      <c r="AJ70" s="2">
        <v>21294</v>
      </c>
      <c r="AK70" s="2">
        <v>1564.23</v>
      </c>
      <c r="AL70" s="2">
        <v>380.25</v>
      </c>
      <c r="AM70" s="5">
        <v>972.24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3266.73</v>
      </c>
      <c r="AT70" s="12">
        <v>2916.7200000000003</v>
      </c>
      <c r="AU70" s="2">
        <v>58.33</v>
      </c>
      <c r="AV70" s="5">
        <v>0</v>
      </c>
      <c r="AX70" s="2">
        <v>87597</v>
      </c>
      <c r="AY70" s="2">
        <v>21294</v>
      </c>
      <c r="AZ70" s="2">
        <v>1564.23</v>
      </c>
      <c r="BA70" s="2">
        <v>380.25</v>
      </c>
      <c r="BB70" s="5">
        <v>972.24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3266.73</v>
      </c>
      <c r="BI70" s="12">
        <v>2916.7200000000003</v>
      </c>
      <c r="BJ70" s="2">
        <v>58.33</v>
      </c>
      <c r="BL70" s="1" t="s">
        <v>90</v>
      </c>
    </row>
    <row r="71" spans="1:64" x14ac:dyDescent="0.3">
      <c r="A71" t="s">
        <v>1375</v>
      </c>
      <c r="B71" s="1" t="s">
        <v>1376</v>
      </c>
      <c r="C71" s="9" t="s">
        <v>1377</v>
      </c>
      <c r="D71" s="1" t="s">
        <v>41</v>
      </c>
      <c r="E71" s="1" t="s">
        <v>128</v>
      </c>
      <c r="F71" s="10" t="s">
        <v>372</v>
      </c>
      <c r="G71" s="1">
        <v>0</v>
      </c>
      <c r="H71" s="1">
        <v>0.02</v>
      </c>
      <c r="I71" s="8">
        <v>44720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130438.5</v>
      </c>
      <c r="AJ71" s="2">
        <v>16874</v>
      </c>
      <c r="AK71" s="2">
        <v>2329.2600000000002</v>
      </c>
      <c r="AL71" s="2">
        <v>301.32</v>
      </c>
      <c r="AM71" s="5">
        <v>1315.28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4419.3599999999997</v>
      </c>
      <c r="AT71" s="12">
        <v>3945.86</v>
      </c>
      <c r="AU71" s="2">
        <v>78.91</v>
      </c>
      <c r="AV71" s="5">
        <v>0</v>
      </c>
      <c r="AX71" s="2">
        <v>130438.5</v>
      </c>
      <c r="AY71" s="2">
        <v>16874</v>
      </c>
      <c r="AZ71" s="2">
        <v>2329.2600000000002</v>
      </c>
      <c r="BA71" s="2">
        <v>301.32</v>
      </c>
      <c r="BB71" s="5">
        <v>1315.28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4419.3599999999997</v>
      </c>
      <c r="BI71" s="12">
        <v>3945.86</v>
      </c>
      <c r="BJ71" s="2">
        <v>78.91</v>
      </c>
      <c r="BK71" s="5">
        <v>0</v>
      </c>
      <c r="BL71" s="1" t="s">
        <v>130</v>
      </c>
    </row>
    <row r="72" spans="1:64" x14ac:dyDescent="0.3">
      <c r="A72" t="s">
        <v>1403</v>
      </c>
      <c r="B72" s="1" t="s">
        <v>1403</v>
      </c>
      <c r="C72" s="9" t="s">
        <v>1404</v>
      </c>
      <c r="D72" s="1" t="s">
        <v>41</v>
      </c>
      <c r="E72" s="1" t="s">
        <v>128</v>
      </c>
      <c r="F72" s="10" t="s">
        <v>385</v>
      </c>
      <c r="G72" s="1">
        <v>0</v>
      </c>
      <c r="H72" s="1">
        <v>0.02</v>
      </c>
      <c r="I72" s="8">
        <v>45349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453984</v>
      </c>
      <c r="AJ72" s="2">
        <v>43826</v>
      </c>
      <c r="AK72" s="2">
        <v>8106.86</v>
      </c>
      <c r="AL72" s="2">
        <v>782.61</v>
      </c>
      <c r="AM72" s="5">
        <v>4444.7299999999996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14934.3</v>
      </c>
      <c r="AT72" s="12">
        <v>13334.199999999999</v>
      </c>
      <c r="AU72" s="2">
        <v>266.68</v>
      </c>
      <c r="AV72" s="5">
        <v>0</v>
      </c>
      <c r="AX72" s="2">
        <v>453984</v>
      </c>
      <c r="AY72" s="2">
        <v>43826</v>
      </c>
      <c r="AZ72" s="2">
        <v>8106.86</v>
      </c>
      <c r="BA72" s="2">
        <v>782.61</v>
      </c>
      <c r="BB72" s="5">
        <v>4444.7299999999996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14934.3</v>
      </c>
      <c r="BI72" s="12">
        <v>13334.199999999999</v>
      </c>
      <c r="BJ72" s="2">
        <v>266.68</v>
      </c>
      <c r="BL72" s="1" t="s">
        <v>326</v>
      </c>
    </row>
    <row r="73" spans="1:64" x14ac:dyDescent="0.3">
      <c r="A73" t="s">
        <v>265</v>
      </c>
      <c r="B73" s="1" t="s">
        <v>265</v>
      </c>
      <c r="C73" s="9" t="s">
        <v>266</v>
      </c>
      <c r="D73" s="1" t="s">
        <v>42</v>
      </c>
      <c r="E73" s="1" t="s">
        <v>88</v>
      </c>
      <c r="F73" s="10" t="s">
        <v>267</v>
      </c>
      <c r="G73" s="1">
        <v>2.5000000000000001E-2</v>
      </c>
      <c r="H73" s="1">
        <v>0.02</v>
      </c>
      <c r="I73" s="8">
        <v>45527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1507370</v>
      </c>
      <c r="AJ73" s="2">
        <v>308189</v>
      </c>
      <c r="AK73" s="2">
        <v>26917.33</v>
      </c>
      <c r="AL73" s="2">
        <v>5503.37</v>
      </c>
      <c r="AM73" s="5">
        <v>16210.34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54466.76</v>
      </c>
      <c r="AT73" s="12">
        <v>48631.040000000001</v>
      </c>
      <c r="AU73" s="2">
        <v>972.62</v>
      </c>
      <c r="AV73" s="5">
        <v>0</v>
      </c>
      <c r="AX73" s="2">
        <v>1507370</v>
      </c>
      <c r="AY73" s="2">
        <v>308189</v>
      </c>
      <c r="AZ73" s="2">
        <v>26917.33</v>
      </c>
      <c r="BA73" s="2">
        <v>5503.37</v>
      </c>
      <c r="BB73" s="5">
        <v>16210.34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54466.76</v>
      </c>
      <c r="BI73" s="12">
        <v>48631.040000000001</v>
      </c>
      <c r="BJ73" s="2">
        <v>972.62</v>
      </c>
      <c r="BK73" s="5">
        <v>0</v>
      </c>
      <c r="BL73" s="1" t="s">
        <v>90</v>
      </c>
    </row>
    <row r="74" spans="1:64" x14ac:dyDescent="0.3">
      <c r="A74" t="s">
        <v>470</v>
      </c>
      <c r="B74" s="1" t="s">
        <v>470</v>
      </c>
      <c r="C74" s="9" t="s">
        <v>471</v>
      </c>
      <c r="D74" s="1" t="s">
        <v>42</v>
      </c>
      <c r="E74" s="1" t="s">
        <v>88</v>
      </c>
      <c r="F74" s="10" t="s">
        <v>472</v>
      </c>
      <c r="G74" s="1">
        <v>2.5000000000000001E-2</v>
      </c>
      <c r="H74" s="1">
        <v>0.02</v>
      </c>
      <c r="I74" s="8">
        <v>44418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606472.60000000009</v>
      </c>
      <c r="AJ74" s="2">
        <v>158573.20000000001</v>
      </c>
      <c r="AK74" s="2">
        <v>10829.86</v>
      </c>
      <c r="AL74" s="2">
        <v>2831.66</v>
      </c>
      <c r="AM74" s="5">
        <v>6830.77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22951.360000000001</v>
      </c>
      <c r="AT74" s="12">
        <v>20492.29</v>
      </c>
      <c r="AU74" s="2">
        <v>409.85</v>
      </c>
      <c r="AV74" s="5">
        <v>0</v>
      </c>
      <c r="AX74" s="2">
        <v>606472.60000000009</v>
      </c>
      <c r="AY74" s="2">
        <v>158573.20000000001</v>
      </c>
      <c r="AZ74" s="2">
        <v>10829.86</v>
      </c>
      <c r="BA74" s="2">
        <v>2831.66</v>
      </c>
      <c r="BB74" s="5">
        <v>6830.77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22951.360000000001</v>
      </c>
      <c r="BI74" s="12">
        <v>20492.29</v>
      </c>
      <c r="BJ74" s="2">
        <v>409.85</v>
      </c>
      <c r="BK74" s="5">
        <v>0</v>
      </c>
      <c r="BL74" s="1" t="s">
        <v>90</v>
      </c>
    </row>
    <row r="75" spans="1:64" x14ac:dyDescent="0.3">
      <c r="A75" t="s">
        <v>502</v>
      </c>
      <c r="B75" s="1" t="s">
        <v>502</v>
      </c>
      <c r="C75" s="9" t="s">
        <v>503</v>
      </c>
      <c r="D75" s="1" t="s">
        <v>42</v>
      </c>
      <c r="E75" s="1" t="s">
        <v>88</v>
      </c>
      <c r="F75" s="10" t="s">
        <v>472</v>
      </c>
      <c r="G75" s="1">
        <v>3.5000000000000003E-2</v>
      </c>
      <c r="H75" s="1">
        <v>0.02</v>
      </c>
      <c r="I75" s="8">
        <v>45118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509622.17</v>
      </c>
      <c r="AJ75" s="2">
        <v>247877.56</v>
      </c>
      <c r="AK75" s="2">
        <v>9100.39</v>
      </c>
      <c r="AL75" s="2">
        <v>4426.38</v>
      </c>
      <c r="AM75" s="5">
        <v>6763.39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22724.98</v>
      </c>
      <c r="AT75" s="12">
        <v>20290.160000000003</v>
      </c>
      <c r="AU75" s="2">
        <v>405.80999999999995</v>
      </c>
      <c r="AV75" s="5">
        <v>0</v>
      </c>
      <c r="AX75" s="2">
        <v>509622.17</v>
      </c>
      <c r="AY75" s="2">
        <v>247877.56</v>
      </c>
      <c r="AZ75" s="2">
        <v>9100.39</v>
      </c>
      <c r="BA75" s="2">
        <v>4426.38</v>
      </c>
      <c r="BB75" s="5">
        <v>6763.39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22724.98</v>
      </c>
      <c r="BI75" s="12">
        <v>20290.160000000003</v>
      </c>
      <c r="BJ75" s="2">
        <v>405.80999999999995</v>
      </c>
      <c r="BK75" s="5">
        <v>0</v>
      </c>
      <c r="BL75" s="1" t="s">
        <v>90</v>
      </c>
    </row>
    <row r="76" spans="1:64" x14ac:dyDescent="0.3">
      <c r="A76" t="s">
        <v>506</v>
      </c>
      <c r="B76" s="1" t="s">
        <v>506</v>
      </c>
      <c r="C76" s="9" t="s">
        <v>507</v>
      </c>
      <c r="D76" s="1" t="s">
        <v>42</v>
      </c>
      <c r="E76" s="1" t="s">
        <v>88</v>
      </c>
      <c r="F76" s="10" t="s">
        <v>472</v>
      </c>
      <c r="G76" s="1">
        <v>3.5000000000000003E-2</v>
      </c>
      <c r="H76" s="1">
        <v>0.02</v>
      </c>
      <c r="I76" s="8">
        <v>45160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910305.85</v>
      </c>
      <c r="AJ76" s="2">
        <v>209013.93</v>
      </c>
      <c r="AK76" s="2">
        <v>16255.46</v>
      </c>
      <c r="AL76" s="2">
        <v>3732.3900000000003</v>
      </c>
      <c r="AM76" s="5">
        <v>9993.93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33579.589999999997</v>
      </c>
      <c r="AT76" s="12">
        <v>29981.780000000002</v>
      </c>
      <c r="AU76" s="2">
        <v>599.64</v>
      </c>
      <c r="AV76" s="5">
        <v>0</v>
      </c>
      <c r="AX76" s="2">
        <v>910305.85</v>
      </c>
      <c r="AY76" s="2">
        <v>209013.93</v>
      </c>
      <c r="AZ76" s="2">
        <v>16255.46</v>
      </c>
      <c r="BA76" s="2">
        <v>3732.3900000000003</v>
      </c>
      <c r="BB76" s="5">
        <v>9993.93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33579.589999999997</v>
      </c>
      <c r="BI76" s="12">
        <v>29981.780000000002</v>
      </c>
      <c r="BJ76" s="2">
        <v>599.64</v>
      </c>
      <c r="BK76" s="5">
        <v>0</v>
      </c>
      <c r="BL76" s="1" t="s">
        <v>90</v>
      </c>
    </row>
    <row r="77" spans="1:64" x14ac:dyDescent="0.3">
      <c r="A77" t="s">
        <v>559</v>
      </c>
      <c r="B77" s="1" t="s">
        <v>559</v>
      </c>
      <c r="C77" s="9" t="s">
        <v>560</v>
      </c>
      <c r="D77" s="1" t="s">
        <v>42</v>
      </c>
      <c r="E77" s="1" t="s">
        <v>88</v>
      </c>
      <c r="F77" s="10" t="s">
        <v>472</v>
      </c>
      <c r="G77" s="1">
        <v>2.5000000000000001E-2</v>
      </c>
      <c r="H77" s="1">
        <v>0.02</v>
      </c>
      <c r="I77" s="8">
        <v>44093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601205.93999999994</v>
      </c>
      <c r="AJ77" s="2">
        <v>315641.66000000003</v>
      </c>
      <c r="AK77" s="2">
        <v>10735.82</v>
      </c>
      <c r="AL77" s="2">
        <v>5636.4500000000007</v>
      </c>
      <c r="AM77" s="5">
        <v>8186.15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27505.43</v>
      </c>
      <c r="AT77" s="12">
        <v>24558.420000000002</v>
      </c>
      <c r="AU77" s="2">
        <v>491.15999999999997</v>
      </c>
      <c r="AV77" s="5">
        <v>0</v>
      </c>
      <c r="AX77" s="2">
        <v>601205.93999999994</v>
      </c>
      <c r="AY77" s="2">
        <v>315641.66000000003</v>
      </c>
      <c r="AZ77" s="2">
        <v>10735.82</v>
      </c>
      <c r="BA77" s="2">
        <v>5636.4500000000007</v>
      </c>
      <c r="BB77" s="5">
        <v>8186.15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27505.43</v>
      </c>
      <c r="BI77" s="12">
        <v>24558.420000000002</v>
      </c>
      <c r="BJ77" s="2">
        <v>491.15999999999997</v>
      </c>
      <c r="BK77" s="5">
        <v>0</v>
      </c>
      <c r="BL77" s="1" t="s">
        <v>90</v>
      </c>
    </row>
    <row r="78" spans="1:64" x14ac:dyDescent="0.3">
      <c r="A78" t="s">
        <v>577</v>
      </c>
      <c r="B78" s="1" t="s">
        <v>577</v>
      </c>
      <c r="C78" s="9" t="s">
        <v>578</v>
      </c>
      <c r="D78" s="1" t="s">
        <v>42</v>
      </c>
      <c r="E78" s="1" t="s">
        <v>88</v>
      </c>
      <c r="F78" s="10" t="s">
        <v>267</v>
      </c>
      <c r="G78" s="1">
        <v>2.5000000000000001E-2</v>
      </c>
      <c r="H78" s="1">
        <v>0.02</v>
      </c>
      <c r="I78" s="8">
        <v>44374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818563.45</v>
      </c>
      <c r="AJ78" s="2">
        <v>204746</v>
      </c>
      <c r="AK78" s="2">
        <v>14617.2</v>
      </c>
      <c r="AL78" s="2">
        <v>3656.18</v>
      </c>
      <c r="AM78" s="5">
        <v>9136.68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30699.27</v>
      </c>
      <c r="AT78" s="12">
        <v>27410.06</v>
      </c>
      <c r="AU78" s="2">
        <v>548.20000000000005</v>
      </c>
      <c r="AV78" s="5">
        <v>0</v>
      </c>
      <c r="AX78" s="2">
        <v>818563.45</v>
      </c>
      <c r="AY78" s="2">
        <v>204746</v>
      </c>
      <c r="AZ78" s="2">
        <v>14617.2</v>
      </c>
      <c r="BA78" s="2">
        <v>3656.18</v>
      </c>
      <c r="BB78" s="5">
        <v>9136.68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30699.27</v>
      </c>
      <c r="BI78" s="12">
        <v>27410.06</v>
      </c>
      <c r="BJ78" s="2">
        <v>548.20000000000005</v>
      </c>
      <c r="BK78" s="5">
        <v>0</v>
      </c>
      <c r="BL78" s="1" t="s">
        <v>90</v>
      </c>
    </row>
    <row r="79" spans="1:64" x14ac:dyDescent="0.3">
      <c r="A79" t="s">
        <v>594</v>
      </c>
      <c r="B79" s="1" t="s">
        <v>594</v>
      </c>
      <c r="C79" s="9" t="s">
        <v>595</v>
      </c>
      <c r="D79" s="1" t="s">
        <v>42</v>
      </c>
      <c r="E79" s="1" t="s">
        <v>88</v>
      </c>
      <c r="F79" s="10" t="s">
        <v>472</v>
      </c>
      <c r="G79" s="1">
        <v>3.5000000000000003E-2</v>
      </c>
      <c r="H79" s="1">
        <v>0.02</v>
      </c>
      <c r="I79" s="8">
        <v>44693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525002.16</v>
      </c>
      <c r="AJ79" s="2">
        <v>159542.26</v>
      </c>
      <c r="AK79" s="2">
        <v>9375.0400000000009</v>
      </c>
      <c r="AL79" s="2">
        <v>2848.9700000000003</v>
      </c>
      <c r="AM79" s="5">
        <v>6112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20536.330000000002</v>
      </c>
      <c r="AT79" s="12">
        <v>18336.009999999998</v>
      </c>
      <c r="AU79" s="2">
        <v>366.72999999999996</v>
      </c>
      <c r="AV79" s="5">
        <v>0</v>
      </c>
      <c r="AX79" s="2">
        <v>525002.16</v>
      </c>
      <c r="AY79" s="2">
        <v>159542.26</v>
      </c>
      <c r="AZ79" s="2">
        <v>9375.0400000000009</v>
      </c>
      <c r="BA79" s="2">
        <v>2848.9700000000003</v>
      </c>
      <c r="BB79" s="5">
        <v>6112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20536.330000000002</v>
      </c>
      <c r="BI79" s="12">
        <v>18336.009999999998</v>
      </c>
      <c r="BJ79" s="2">
        <v>366.72999999999996</v>
      </c>
      <c r="BK79" s="5">
        <v>0</v>
      </c>
      <c r="BL79" s="1" t="s">
        <v>90</v>
      </c>
    </row>
    <row r="80" spans="1:64" x14ac:dyDescent="0.3">
      <c r="A80" t="s">
        <v>598</v>
      </c>
      <c r="B80" s="1" t="s">
        <v>598</v>
      </c>
      <c r="C80" s="9" t="s">
        <v>599</v>
      </c>
      <c r="D80" s="1" t="s">
        <v>42</v>
      </c>
      <c r="E80" s="1" t="s">
        <v>88</v>
      </c>
      <c r="F80" s="10" t="s">
        <v>267</v>
      </c>
      <c r="G80" s="1">
        <v>3.5000000000000003E-2</v>
      </c>
      <c r="H80" s="1">
        <v>0.02</v>
      </c>
      <c r="I80" s="8">
        <v>44774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1024327.73</v>
      </c>
      <c r="AJ80" s="2">
        <v>369659.47</v>
      </c>
      <c r="AK80" s="2">
        <v>18291.560000000001</v>
      </c>
      <c r="AL80" s="2">
        <v>6601.0599999999995</v>
      </c>
      <c r="AM80" s="5">
        <v>12446.31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41819.599999999999</v>
      </c>
      <c r="AT80" s="12">
        <v>37338.93</v>
      </c>
      <c r="AU80" s="2">
        <v>746.78</v>
      </c>
      <c r="AV80" s="5">
        <v>0</v>
      </c>
      <c r="AX80" s="2">
        <v>1024327.73</v>
      </c>
      <c r="AY80" s="2">
        <v>369659.47</v>
      </c>
      <c r="AZ80" s="2">
        <v>18291.560000000001</v>
      </c>
      <c r="BA80" s="2">
        <v>6601.0599999999995</v>
      </c>
      <c r="BB80" s="5">
        <v>12446.31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41819.599999999999</v>
      </c>
      <c r="BI80" s="12">
        <v>37338.93</v>
      </c>
      <c r="BJ80" s="2">
        <v>746.78</v>
      </c>
      <c r="BK80" s="5">
        <v>0</v>
      </c>
      <c r="BL80" s="1" t="s">
        <v>90</v>
      </c>
    </row>
    <row r="81" spans="1:64" x14ac:dyDescent="0.3">
      <c r="A81" t="s">
        <v>622</v>
      </c>
      <c r="B81" s="1" t="s">
        <v>622</v>
      </c>
      <c r="C81" s="9" t="s">
        <v>623</v>
      </c>
      <c r="D81" s="1" t="s">
        <v>42</v>
      </c>
      <c r="E81" s="1" t="s">
        <v>88</v>
      </c>
      <c r="F81" s="10" t="s">
        <v>472</v>
      </c>
      <c r="G81" s="1">
        <v>2.5000000000000001E-2</v>
      </c>
      <c r="H81" s="1">
        <v>0.02</v>
      </c>
      <c r="I81" s="8">
        <v>44415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1096089.31</v>
      </c>
      <c r="AJ81" s="2">
        <v>152914.49</v>
      </c>
      <c r="AK81" s="2">
        <v>19573.03</v>
      </c>
      <c r="AL81" s="2">
        <v>2730.62</v>
      </c>
      <c r="AM81" s="5">
        <v>11151.82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37470.129999999997</v>
      </c>
      <c r="AT81" s="12">
        <v>33455.47</v>
      </c>
      <c r="AU81" s="2">
        <v>669.11</v>
      </c>
      <c r="AV81" s="5">
        <v>0</v>
      </c>
      <c r="AX81" s="2">
        <v>1096089.31</v>
      </c>
      <c r="AY81" s="2">
        <v>152914.49</v>
      </c>
      <c r="AZ81" s="2">
        <v>19573.03</v>
      </c>
      <c r="BA81" s="2">
        <v>2730.62</v>
      </c>
      <c r="BB81" s="5">
        <v>11151.82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37470.129999999997</v>
      </c>
      <c r="BI81" s="12">
        <v>33455.47</v>
      </c>
      <c r="BJ81" s="2">
        <v>669.11</v>
      </c>
      <c r="BL81" s="1" t="s">
        <v>90</v>
      </c>
    </row>
    <row r="82" spans="1:64" x14ac:dyDescent="0.3">
      <c r="A82" t="s">
        <v>658</v>
      </c>
      <c r="B82" s="1" t="s">
        <v>658</v>
      </c>
      <c r="C82" s="9" t="s">
        <v>659</v>
      </c>
      <c r="D82" s="1" t="s">
        <v>42</v>
      </c>
      <c r="E82" s="1" t="s">
        <v>88</v>
      </c>
      <c r="F82" s="10" t="s">
        <v>267</v>
      </c>
      <c r="G82" s="1">
        <v>0</v>
      </c>
      <c r="H82" s="1">
        <v>0.02</v>
      </c>
      <c r="I82" s="8">
        <v>45171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338287</v>
      </c>
      <c r="AJ82" s="2">
        <v>90148</v>
      </c>
      <c r="AK82" s="2">
        <v>6040.84</v>
      </c>
      <c r="AL82" s="2">
        <v>1609.7800000000002</v>
      </c>
      <c r="AM82" s="5">
        <v>3825.3199999999997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12853.05</v>
      </c>
      <c r="AT82" s="12">
        <v>11475.939999999999</v>
      </c>
      <c r="AU82" s="2">
        <v>229.52</v>
      </c>
      <c r="AV82" s="5">
        <v>0</v>
      </c>
      <c r="AX82" s="2">
        <v>338287</v>
      </c>
      <c r="AY82" s="2">
        <v>90148</v>
      </c>
      <c r="AZ82" s="2">
        <v>6040.84</v>
      </c>
      <c r="BA82" s="2">
        <v>1609.7800000000002</v>
      </c>
      <c r="BB82" s="5">
        <v>3825.3199999999997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12853.05</v>
      </c>
      <c r="BI82" s="12">
        <v>11475.939999999999</v>
      </c>
      <c r="BJ82" s="2">
        <v>229.52</v>
      </c>
      <c r="BK82" s="5">
        <v>0</v>
      </c>
      <c r="BL82" s="1" t="s">
        <v>90</v>
      </c>
    </row>
    <row r="83" spans="1:64" x14ac:dyDescent="0.3">
      <c r="A83" t="s">
        <v>667</v>
      </c>
      <c r="B83" s="1" t="s">
        <v>667</v>
      </c>
      <c r="C83" s="9" t="s">
        <v>668</v>
      </c>
      <c r="D83" s="1" t="s">
        <v>42</v>
      </c>
      <c r="E83" s="1" t="s">
        <v>88</v>
      </c>
      <c r="F83" s="10" t="s">
        <v>472</v>
      </c>
      <c r="G83" s="1">
        <v>0</v>
      </c>
      <c r="H83" s="1">
        <v>0.02</v>
      </c>
      <c r="I83" s="8">
        <v>45501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827989.96</v>
      </c>
      <c r="AJ83" s="2">
        <v>195805</v>
      </c>
      <c r="AK83" s="2">
        <v>14785.54</v>
      </c>
      <c r="AL83" s="2">
        <v>3496.52</v>
      </c>
      <c r="AM83" s="5">
        <v>9141.0300000000007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30713.86</v>
      </c>
      <c r="AT83" s="12">
        <v>27423.090000000004</v>
      </c>
      <c r="AU83" s="2">
        <v>548.46</v>
      </c>
      <c r="AV83" s="5">
        <v>0</v>
      </c>
      <c r="AX83" s="2">
        <v>827989.96</v>
      </c>
      <c r="AY83" s="2">
        <v>195805</v>
      </c>
      <c r="AZ83" s="2">
        <v>14785.54</v>
      </c>
      <c r="BA83" s="2">
        <v>3496.52</v>
      </c>
      <c r="BB83" s="5">
        <v>9141.0300000000007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30713.86</v>
      </c>
      <c r="BI83" s="12">
        <v>27423.090000000004</v>
      </c>
      <c r="BJ83" s="2">
        <v>548.46</v>
      </c>
      <c r="BL83" s="1" t="s">
        <v>90</v>
      </c>
    </row>
    <row r="84" spans="1:64" x14ac:dyDescent="0.3">
      <c r="A84" t="s">
        <v>763</v>
      </c>
      <c r="B84" s="1" t="s">
        <v>763</v>
      </c>
      <c r="C84" s="9" t="s">
        <v>764</v>
      </c>
      <c r="D84" s="1" t="s">
        <v>42</v>
      </c>
      <c r="E84" s="1" t="s">
        <v>88</v>
      </c>
      <c r="F84" s="10" t="s">
        <v>472</v>
      </c>
      <c r="G84" s="1">
        <v>0</v>
      </c>
      <c r="H84" s="1">
        <v>0.02</v>
      </c>
      <c r="I84" s="8">
        <v>44612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766496.94</v>
      </c>
      <c r="AJ84" s="2">
        <v>165975.53</v>
      </c>
      <c r="AK84" s="2">
        <v>13687.45</v>
      </c>
      <c r="AL84" s="2">
        <v>2963.85</v>
      </c>
      <c r="AM84" s="5">
        <v>8325.64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27974.17</v>
      </c>
      <c r="AT84" s="12">
        <v>24976.94</v>
      </c>
      <c r="AU84" s="2">
        <v>499.54</v>
      </c>
      <c r="AV84" s="5">
        <v>0</v>
      </c>
      <c r="AX84" s="2">
        <v>766496.94</v>
      </c>
      <c r="AY84" s="2">
        <v>165975.53</v>
      </c>
      <c r="AZ84" s="2">
        <v>13687.45</v>
      </c>
      <c r="BA84" s="2">
        <v>2963.85</v>
      </c>
      <c r="BB84" s="5">
        <v>8325.64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27974.17</v>
      </c>
      <c r="BI84" s="12">
        <v>24976.94</v>
      </c>
      <c r="BJ84" s="2">
        <v>499.54</v>
      </c>
      <c r="BL84" s="1" t="s">
        <v>90</v>
      </c>
    </row>
    <row r="85" spans="1:64" x14ac:dyDescent="0.3">
      <c r="A85" t="s">
        <v>773</v>
      </c>
      <c r="B85" s="1" t="s">
        <v>773</v>
      </c>
      <c r="C85" s="9" t="s">
        <v>774</v>
      </c>
      <c r="D85" s="1" t="s">
        <v>42</v>
      </c>
      <c r="E85" s="1" t="s">
        <v>88</v>
      </c>
      <c r="F85" s="10" t="s">
        <v>267</v>
      </c>
      <c r="G85" s="1">
        <v>0</v>
      </c>
      <c r="H85" s="1">
        <v>0.02</v>
      </c>
      <c r="I85" s="8">
        <v>44768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1186865.05</v>
      </c>
      <c r="AJ85" s="2">
        <v>197103</v>
      </c>
      <c r="AK85" s="2">
        <v>21194.01</v>
      </c>
      <c r="AL85" s="2">
        <v>3519.69</v>
      </c>
      <c r="AM85" s="5">
        <v>12356.86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41519.03</v>
      </c>
      <c r="AT85" s="12">
        <v>37070.559999999998</v>
      </c>
      <c r="AU85" s="2">
        <v>741.42000000000007</v>
      </c>
      <c r="AV85" s="5">
        <v>0</v>
      </c>
      <c r="AX85" s="2">
        <v>1186865.05</v>
      </c>
      <c r="AY85" s="2">
        <v>197103</v>
      </c>
      <c r="AZ85" s="2">
        <v>21194.01</v>
      </c>
      <c r="BA85" s="2">
        <v>3519.69</v>
      </c>
      <c r="BB85" s="5">
        <v>12356.86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41519.03</v>
      </c>
      <c r="BI85" s="12">
        <v>37070.559999999998</v>
      </c>
      <c r="BJ85" s="2">
        <v>741.42000000000007</v>
      </c>
      <c r="BK85" s="5">
        <v>0</v>
      </c>
      <c r="BL85" s="1" t="s">
        <v>90</v>
      </c>
    </row>
    <row r="86" spans="1:64" x14ac:dyDescent="0.3">
      <c r="A86" t="s">
        <v>787</v>
      </c>
      <c r="B86" s="1" t="s">
        <v>787</v>
      </c>
      <c r="C86" s="9" t="s">
        <v>788</v>
      </c>
      <c r="D86" s="1" t="s">
        <v>42</v>
      </c>
      <c r="E86" s="1" t="s">
        <v>88</v>
      </c>
      <c r="F86" s="10" t="s">
        <v>267</v>
      </c>
      <c r="G86" s="1">
        <v>3.5000000000000003E-2</v>
      </c>
      <c r="H86" s="1">
        <v>0.02</v>
      </c>
      <c r="I86" s="8">
        <v>45003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413943.16000000003</v>
      </c>
      <c r="AJ86" s="2">
        <v>145622</v>
      </c>
      <c r="AK86" s="2">
        <v>7391.83</v>
      </c>
      <c r="AL86" s="2">
        <v>2600.4</v>
      </c>
      <c r="AM86" s="5">
        <v>4996.12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16786.95</v>
      </c>
      <c r="AT86" s="12">
        <v>14988.35</v>
      </c>
      <c r="AU86" s="2">
        <v>299.77</v>
      </c>
      <c r="AV86" s="5">
        <v>0</v>
      </c>
      <c r="AX86" s="2">
        <v>413943.16000000003</v>
      </c>
      <c r="AY86" s="2">
        <v>145622</v>
      </c>
      <c r="AZ86" s="2">
        <v>7391.83</v>
      </c>
      <c r="BA86" s="2">
        <v>2600.4</v>
      </c>
      <c r="BB86" s="5">
        <v>4996.12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16786.95</v>
      </c>
      <c r="BI86" s="12">
        <v>14988.35</v>
      </c>
      <c r="BJ86" s="2">
        <v>299.77</v>
      </c>
      <c r="BK86" s="5">
        <v>0</v>
      </c>
      <c r="BL86" s="1" t="s">
        <v>90</v>
      </c>
    </row>
    <row r="87" spans="1:64" x14ac:dyDescent="0.3">
      <c r="A87" t="s">
        <v>827</v>
      </c>
      <c r="B87" s="1" t="s">
        <v>827</v>
      </c>
      <c r="C87" s="9" t="s">
        <v>828</v>
      </c>
      <c r="D87" s="1" t="s">
        <v>42</v>
      </c>
      <c r="E87" s="1" t="s">
        <v>88</v>
      </c>
      <c r="F87" s="10" t="s">
        <v>472</v>
      </c>
      <c r="G87" s="1">
        <v>0</v>
      </c>
      <c r="H87" s="1">
        <v>0.02</v>
      </c>
      <c r="I87" s="8">
        <v>45051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680573.10000000009</v>
      </c>
      <c r="AJ87" s="2">
        <v>277513.25</v>
      </c>
      <c r="AK87" s="2">
        <v>12153.09</v>
      </c>
      <c r="AL87" s="2">
        <v>4955.59</v>
      </c>
      <c r="AM87" s="5">
        <v>8554.34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28742.58</v>
      </c>
      <c r="AT87" s="12">
        <v>25663.02</v>
      </c>
      <c r="AU87" s="2">
        <v>513.26</v>
      </c>
      <c r="AV87" s="5">
        <v>0</v>
      </c>
      <c r="AX87" s="2">
        <v>680573.10000000009</v>
      </c>
      <c r="AY87" s="2">
        <v>277513.25</v>
      </c>
      <c r="AZ87" s="2">
        <v>12153.09</v>
      </c>
      <c r="BA87" s="2">
        <v>4955.59</v>
      </c>
      <c r="BB87" s="5">
        <v>8554.34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28742.58</v>
      </c>
      <c r="BI87" s="12">
        <v>25663.02</v>
      </c>
      <c r="BJ87" s="2">
        <v>513.26</v>
      </c>
      <c r="BK87" s="5">
        <v>0</v>
      </c>
      <c r="BL87" s="1" t="s">
        <v>90</v>
      </c>
    </row>
    <row r="88" spans="1:64" x14ac:dyDescent="0.3">
      <c r="A88" t="s">
        <v>1009</v>
      </c>
      <c r="B88" s="1" t="s">
        <v>1010</v>
      </c>
      <c r="C88" s="9" t="s">
        <v>1011</v>
      </c>
      <c r="D88" s="1" t="s">
        <v>42</v>
      </c>
      <c r="E88" s="1" t="s">
        <v>88</v>
      </c>
      <c r="F88" s="10" t="s">
        <v>267</v>
      </c>
      <c r="G88" s="1">
        <v>0</v>
      </c>
      <c r="H88" s="1">
        <v>0.02</v>
      </c>
      <c r="I88" s="8">
        <v>44454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410584.05</v>
      </c>
      <c r="AJ88" s="2">
        <v>197917</v>
      </c>
      <c r="AK88" s="2">
        <v>7331.86</v>
      </c>
      <c r="AL88" s="2">
        <v>3534.24</v>
      </c>
      <c r="AM88" s="5">
        <v>5433.05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18255.05</v>
      </c>
      <c r="AT88" s="12">
        <v>16299.150000000001</v>
      </c>
      <c r="AU88" s="2">
        <v>325.99</v>
      </c>
      <c r="AV88" s="5">
        <v>0</v>
      </c>
      <c r="AX88" s="2">
        <v>410584.05</v>
      </c>
      <c r="AY88" s="2">
        <v>197917</v>
      </c>
      <c r="AZ88" s="2">
        <v>7331.86</v>
      </c>
      <c r="BA88" s="2">
        <v>3534.24</v>
      </c>
      <c r="BB88" s="5">
        <v>5433.05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18255.05</v>
      </c>
      <c r="BI88" s="12">
        <v>16299.150000000001</v>
      </c>
      <c r="BJ88" s="2">
        <v>325.99</v>
      </c>
      <c r="BK88" s="5">
        <v>0</v>
      </c>
      <c r="BL88" s="1" t="s">
        <v>90</v>
      </c>
    </row>
    <row r="89" spans="1:64" x14ac:dyDescent="0.3">
      <c r="A89" t="s">
        <v>1272</v>
      </c>
      <c r="B89" s="1" t="s">
        <v>1272</v>
      </c>
      <c r="C89" s="9" t="s">
        <v>1273</v>
      </c>
      <c r="D89" s="1" t="s">
        <v>42</v>
      </c>
      <c r="E89" s="1" t="s">
        <v>88</v>
      </c>
      <c r="F89" s="10" t="s">
        <v>472</v>
      </c>
      <c r="G89" s="1">
        <v>0</v>
      </c>
      <c r="H89" s="1">
        <v>0.02</v>
      </c>
      <c r="I89" s="8">
        <v>45143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595472.9</v>
      </c>
      <c r="AJ89" s="2">
        <v>129789</v>
      </c>
      <c r="AK89" s="2">
        <v>10633.45</v>
      </c>
      <c r="AL89" s="2">
        <v>2317.66</v>
      </c>
      <c r="AM89" s="5">
        <v>6475.55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21757.86</v>
      </c>
      <c r="AT89" s="12">
        <v>19426.66</v>
      </c>
      <c r="AU89" s="2">
        <v>388.53</v>
      </c>
      <c r="AV89" s="5">
        <v>0</v>
      </c>
      <c r="AX89" s="2">
        <v>595472.9</v>
      </c>
      <c r="AY89" s="2">
        <v>129789</v>
      </c>
      <c r="AZ89" s="2">
        <v>10633.45</v>
      </c>
      <c r="BA89" s="2">
        <v>2317.66</v>
      </c>
      <c r="BB89" s="5">
        <v>6475.55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21757.86</v>
      </c>
      <c r="BI89" s="12">
        <v>19426.66</v>
      </c>
      <c r="BJ89" s="2">
        <v>388.53</v>
      </c>
      <c r="BL89" s="1" t="s">
        <v>90</v>
      </c>
    </row>
    <row r="90" spans="1:64" x14ac:dyDescent="0.3">
      <c r="A90" t="s">
        <v>142</v>
      </c>
      <c r="B90" s="1" t="s">
        <v>142</v>
      </c>
      <c r="C90" s="9" t="s">
        <v>143</v>
      </c>
      <c r="D90" s="1" t="s">
        <v>43</v>
      </c>
      <c r="E90" s="1" t="s">
        <v>135</v>
      </c>
      <c r="F90" s="10" t="s">
        <v>144</v>
      </c>
      <c r="G90" s="1">
        <v>2.5000000000000001E-2</v>
      </c>
      <c r="H90" s="1">
        <v>0.02</v>
      </c>
      <c r="I90" s="8">
        <v>44009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845955.57000000007</v>
      </c>
      <c r="AJ90" s="2">
        <v>152438.56</v>
      </c>
      <c r="AK90" s="2">
        <v>15106.35</v>
      </c>
      <c r="AL90" s="2">
        <v>2722.12</v>
      </c>
      <c r="AM90" s="5">
        <v>8914.23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29951.82</v>
      </c>
      <c r="AT90" s="12">
        <v>26742.7</v>
      </c>
      <c r="AU90" s="2">
        <v>534.85</v>
      </c>
      <c r="AV90" s="5">
        <v>0</v>
      </c>
      <c r="AX90" s="2">
        <v>845955.57000000007</v>
      </c>
      <c r="AY90" s="2">
        <v>152438.56</v>
      </c>
      <c r="AZ90" s="2">
        <v>15106.35</v>
      </c>
      <c r="BA90" s="2">
        <v>2722.12</v>
      </c>
      <c r="BB90" s="5">
        <v>8914.23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29951.82</v>
      </c>
      <c r="BI90" s="12">
        <v>26742.7</v>
      </c>
      <c r="BJ90" s="2">
        <v>534.85</v>
      </c>
      <c r="BL90" s="1" t="s">
        <v>137</v>
      </c>
    </row>
    <row r="91" spans="1:64" x14ac:dyDescent="0.3">
      <c r="A91" t="s">
        <v>314</v>
      </c>
      <c r="B91" s="1" t="s">
        <v>314</v>
      </c>
      <c r="C91" s="9" t="s">
        <v>315</v>
      </c>
      <c r="D91" s="1" t="s">
        <v>43</v>
      </c>
      <c r="E91" s="1" t="s">
        <v>135</v>
      </c>
      <c r="F91" s="10" t="s">
        <v>316</v>
      </c>
      <c r="G91" s="1">
        <v>2.5000000000000001E-2</v>
      </c>
      <c r="H91" s="1">
        <v>0.02</v>
      </c>
      <c r="I91" s="8">
        <v>44183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494827</v>
      </c>
      <c r="AJ91" s="2">
        <v>46098</v>
      </c>
      <c r="AK91" s="2">
        <v>8836.19</v>
      </c>
      <c r="AL91" s="2">
        <v>823.18000000000006</v>
      </c>
      <c r="AM91" s="5">
        <v>4829.6900000000005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16227.75</v>
      </c>
      <c r="AT91" s="12">
        <v>14489.060000000001</v>
      </c>
      <c r="AU91" s="2">
        <v>289.79000000000002</v>
      </c>
      <c r="AV91" s="5">
        <v>0</v>
      </c>
      <c r="AX91" s="2">
        <v>494827</v>
      </c>
      <c r="AY91" s="2">
        <v>46098</v>
      </c>
      <c r="AZ91" s="2">
        <v>8836.19</v>
      </c>
      <c r="BA91" s="2">
        <v>823.18000000000006</v>
      </c>
      <c r="BB91" s="5">
        <v>4829.6900000000005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16227.75</v>
      </c>
      <c r="BI91" s="12">
        <v>14489.060000000001</v>
      </c>
      <c r="BJ91" s="2">
        <v>289.79000000000002</v>
      </c>
      <c r="BK91" s="5">
        <v>0</v>
      </c>
      <c r="BL91" s="1" t="s">
        <v>302</v>
      </c>
    </row>
    <row r="92" spans="1:64" x14ac:dyDescent="0.3">
      <c r="A92" t="s">
        <v>383</v>
      </c>
      <c r="B92" s="1" t="s">
        <v>383</v>
      </c>
      <c r="C92" s="9" t="s">
        <v>384</v>
      </c>
      <c r="D92" s="1" t="s">
        <v>43</v>
      </c>
      <c r="E92" s="1" t="s">
        <v>128</v>
      </c>
      <c r="F92" s="10" t="s">
        <v>385</v>
      </c>
      <c r="G92" s="1">
        <v>3.5000000000000003E-2</v>
      </c>
      <c r="H92" s="1">
        <v>0.02</v>
      </c>
      <c r="I92" s="8">
        <v>45242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0</v>
      </c>
      <c r="AJ92" s="2">
        <v>0</v>
      </c>
      <c r="AK92" s="2">
        <v>0</v>
      </c>
      <c r="AL92" s="2">
        <v>0</v>
      </c>
      <c r="AM92" s="5">
        <v>0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0</v>
      </c>
      <c r="AT92" s="12">
        <v>0</v>
      </c>
      <c r="AU92" s="2">
        <v>0</v>
      </c>
      <c r="AV92" s="5">
        <v>0</v>
      </c>
      <c r="AX92" s="2">
        <v>0</v>
      </c>
      <c r="AY92" s="2">
        <v>0</v>
      </c>
      <c r="AZ92" s="2">
        <v>0</v>
      </c>
      <c r="BA92" s="2">
        <v>0</v>
      </c>
      <c r="BB92" s="5">
        <v>0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0</v>
      </c>
      <c r="BI92" s="12">
        <v>0</v>
      </c>
      <c r="BJ92" s="2">
        <v>0</v>
      </c>
      <c r="BL92" s="1" t="s">
        <v>326</v>
      </c>
    </row>
    <row r="93" spans="1:64" x14ac:dyDescent="0.3">
      <c r="A93" t="s">
        <v>500</v>
      </c>
      <c r="B93" s="1" t="s">
        <v>500</v>
      </c>
      <c r="C93" s="9" t="s">
        <v>501</v>
      </c>
      <c r="D93" s="1" t="s">
        <v>43</v>
      </c>
      <c r="E93" s="1" t="s">
        <v>135</v>
      </c>
      <c r="F93" s="10" t="s">
        <v>316</v>
      </c>
      <c r="G93" s="1">
        <v>0</v>
      </c>
      <c r="H93" s="1">
        <v>0.02</v>
      </c>
      <c r="I93" s="8">
        <v>45091</v>
      </c>
      <c r="J93" s="6">
        <v>48873</v>
      </c>
      <c r="K93" s="6">
        <v>11972</v>
      </c>
      <c r="L93" s="6">
        <v>872.73000000000047</v>
      </c>
      <c r="M93" s="6">
        <v>213.7800000000002</v>
      </c>
      <c r="N93" s="7">
        <v>543.26000000000022</v>
      </c>
      <c r="O93" s="6">
        <v>-62648.49</v>
      </c>
      <c r="P93" s="6">
        <v>-17587.41</v>
      </c>
      <c r="Q93" s="6">
        <v>-1118.72</v>
      </c>
      <c r="R93" s="6">
        <v>-314.06</v>
      </c>
      <c r="S93" s="7">
        <v>0</v>
      </c>
      <c r="T93" s="11">
        <v>220.63</v>
      </c>
      <c r="U93" s="6">
        <v>196.99000000000342</v>
      </c>
      <c r="V93" s="6">
        <v>3.9399999999999977</v>
      </c>
      <c r="W93" s="6">
        <v>0</v>
      </c>
      <c r="X93" s="46">
        <v>45815</v>
      </c>
      <c r="Y93" s="1">
        <v>25112155</v>
      </c>
      <c r="AC93" s="46">
        <v>45808</v>
      </c>
      <c r="AI93" s="2">
        <v>331630.59999999998</v>
      </c>
      <c r="AJ93" s="2">
        <v>71758</v>
      </c>
      <c r="AK93" s="2">
        <v>5921.97</v>
      </c>
      <c r="AL93" s="2">
        <v>1281.3900000000001</v>
      </c>
      <c r="AM93" s="5">
        <v>3601.69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12101.66</v>
      </c>
      <c r="AT93" s="12">
        <v>10805.050000000001</v>
      </c>
      <c r="AU93" s="2">
        <v>216.1</v>
      </c>
      <c r="AV93" s="5">
        <v>0</v>
      </c>
      <c r="AX93" s="2">
        <v>282757.59999999998</v>
      </c>
      <c r="AY93" s="2">
        <v>59786</v>
      </c>
      <c r="AZ93" s="2">
        <v>5049.24</v>
      </c>
      <c r="BA93" s="2">
        <v>1067.6099999999999</v>
      </c>
      <c r="BB93" s="5">
        <v>3058.43</v>
      </c>
      <c r="BC93" s="12">
        <v>62648.49</v>
      </c>
      <c r="BD93" s="2">
        <v>17587.41</v>
      </c>
      <c r="BE93" s="2">
        <v>1118.72</v>
      </c>
      <c r="BF93" s="2">
        <v>314.06</v>
      </c>
      <c r="BG93" s="5">
        <v>0</v>
      </c>
      <c r="BH93" s="2">
        <v>11881.03</v>
      </c>
      <c r="BI93" s="12">
        <v>10608.059999999998</v>
      </c>
      <c r="BJ93" s="2">
        <v>212.16</v>
      </c>
      <c r="BL93" s="1" t="s">
        <v>302</v>
      </c>
    </row>
    <row r="94" spans="1:64" x14ac:dyDescent="0.3">
      <c r="A94" t="s">
        <v>567</v>
      </c>
      <c r="B94" s="1" t="s">
        <v>567</v>
      </c>
      <c r="C94" s="9" t="s">
        <v>568</v>
      </c>
      <c r="D94" s="1" t="s">
        <v>43</v>
      </c>
      <c r="E94" s="1" t="s">
        <v>135</v>
      </c>
      <c r="F94" s="10" t="s">
        <v>144</v>
      </c>
      <c r="G94" s="1">
        <v>2.5000000000000001E-2</v>
      </c>
      <c r="H94" s="1">
        <v>0.02</v>
      </c>
      <c r="I94" s="8">
        <v>44183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441727.00000000006</v>
      </c>
      <c r="AJ94" s="2">
        <v>112626</v>
      </c>
      <c r="AK94" s="2">
        <v>7887.98</v>
      </c>
      <c r="AL94" s="2">
        <v>2011.18</v>
      </c>
      <c r="AM94" s="5">
        <v>4949.58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16630.59</v>
      </c>
      <c r="AT94" s="12">
        <v>14848.74</v>
      </c>
      <c r="AU94" s="2">
        <v>296.97000000000003</v>
      </c>
      <c r="AV94" s="5">
        <v>0</v>
      </c>
      <c r="AX94" s="2">
        <v>441727.00000000006</v>
      </c>
      <c r="AY94" s="2">
        <v>112626</v>
      </c>
      <c r="AZ94" s="2">
        <v>7887.98</v>
      </c>
      <c r="BA94" s="2">
        <v>2011.18</v>
      </c>
      <c r="BB94" s="5">
        <v>4949.58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16630.59</v>
      </c>
      <c r="BI94" s="12">
        <v>14848.74</v>
      </c>
      <c r="BJ94" s="2">
        <v>296.97000000000003</v>
      </c>
      <c r="BL94" s="1" t="s">
        <v>137</v>
      </c>
    </row>
    <row r="95" spans="1:64" x14ac:dyDescent="0.3">
      <c r="A95" t="s">
        <v>581</v>
      </c>
      <c r="B95" s="1" t="s">
        <v>581</v>
      </c>
      <c r="C95" s="9" t="s">
        <v>582</v>
      </c>
      <c r="D95" s="1" t="s">
        <v>43</v>
      </c>
      <c r="E95" s="1" t="s">
        <v>135</v>
      </c>
      <c r="F95" s="10" t="s">
        <v>583</v>
      </c>
      <c r="G95" s="1">
        <v>2.5000000000000001E-2</v>
      </c>
      <c r="H95" s="1">
        <v>0.02</v>
      </c>
      <c r="I95" s="8">
        <v>44385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693957.8</v>
      </c>
      <c r="AJ95" s="2">
        <v>104153.01000000001</v>
      </c>
      <c r="AK95" s="2">
        <v>12392.11</v>
      </c>
      <c r="AL95" s="2">
        <v>1859.87</v>
      </c>
      <c r="AM95" s="5">
        <v>7125.99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23943.33</v>
      </c>
      <c r="AT95" s="12">
        <v>21377.97</v>
      </c>
      <c r="AU95" s="2">
        <v>427.56</v>
      </c>
      <c r="AV95" s="5">
        <v>0</v>
      </c>
      <c r="AX95" s="2">
        <v>693957.8</v>
      </c>
      <c r="AY95" s="2">
        <v>104153.01000000001</v>
      </c>
      <c r="AZ95" s="2">
        <v>12392.11</v>
      </c>
      <c r="BA95" s="2">
        <v>1859.87</v>
      </c>
      <c r="BB95" s="5">
        <v>7125.99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23943.33</v>
      </c>
      <c r="BI95" s="12">
        <v>21377.97</v>
      </c>
      <c r="BJ95" s="2">
        <v>427.56</v>
      </c>
      <c r="BL95" s="1" t="s">
        <v>137</v>
      </c>
    </row>
    <row r="96" spans="1:64" x14ac:dyDescent="0.3">
      <c r="A96" t="s">
        <v>637</v>
      </c>
      <c r="B96" s="1" t="s">
        <v>637</v>
      </c>
      <c r="C96" s="9" t="s">
        <v>638</v>
      </c>
      <c r="D96" s="1" t="s">
        <v>43</v>
      </c>
      <c r="E96" s="1" t="s">
        <v>88</v>
      </c>
      <c r="F96" s="10" t="s">
        <v>639</v>
      </c>
      <c r="G96" s="1">
        <v>3.5000000000000003E-2</v>
      </c>
      <c r="H96" s="1">
        <v>0.02</v>
      </c>
      <c r="I96" s="8">
        <v>45131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340986.6</v>
      </c>
      <c r="AJ96" s="2">
        <v>101735</v>
      </c>
      <c r="AK96" s="2">
        <v>6089.04</v>
      </c>
      <c r="AL96" s="2">
        <v>1816.7</v>
      </c>
      <c r="AM96" s="5">
        <v>3952.88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13281.65</v>
      </c>
      <c r="AT96" s="12">
        <v>11858.619999999999</v>
      </c>
      <c r="AU96" s="2">
        <v>237.17</v>
      </c>
      <c r="AV96" s="5">
        <v>0</v>
      </c>
      <c r="AX96" s="2">
        <v>340986.6</v>
      </c>
      <c r="AY96" s="2">
        <v>101735</v>
      </c>
      <c r="AZ96" s="2">
        <v>6089.04</v>
      </c>
      <c r="BA96" s="2">
        <v>1816.7</v>
      </c>
      <c r="BB96" s="5">
        <v>3952.88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13281.65</v>
      </c>
      <c r="BI96" s="12">
        <v>11858.619999999999</v>
      </c>
      <c r="BJ96" s="2">
        <v>237.17</v>
      </c>
      <c r="BL96" s="1" t="s">
        <v>90</v>
      </c>
    </row>
    <row r="97" spans="1:64" x14ac:dyDescent="0.3">
      <c r="A97" t="s">
        <v>640</v>
      </c>
      <c r="B97" s="1" t="s">
        <v>640</v>
      </c>
      <c r="C97" s="9" t="s">
        <v>641</v>
      </c>
      <c r="D97" s="1" t="s">
        <v>43</v>
      </c>
      <c r="E97" s="1" t="s">
        <v>88</v>
      </c>
      <c r="F97" s="10" t="s">
        <v>639</v>
      </c>
      <c r="G97" s="1">
        <v>3.5000000000000003E-2</v>
      </c>
      <c r="H97" s="1">
        <v>0.02</v>
      </c>
      <c r="I97" s="8">
        <v>45143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463197</v>
      </c>
      <c r="AJ97" s="2">
        <v>74768</v>
      </c>
      <c r="AK97" s="2">
        <v>8271.3799999999992</v>
      </c>
      <c r="AL97" s="2">
        <v>1335.14</v>
      </c>
      <c r="AM97" s="5">
        <v>4803.26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16138.95</v>
      </c>
      <c r="AT97" s="12">
        <v>14409.779999999999</v>
      </c>
      <c r="AU97" s="2">
        <v>288.2</v>
      </c>
      <c r="AV97" s="5">
        <v>0</v>
      </c>
      <c r="AX97" s="2">
        <v>463197</v>
      </c>
      <c r="AY97" s="2">
        <v>74768</v>
      </c>
      <c r="AZ97" s="2">
        <v>8271.3799999999992</v>
      </c>
      <c r="BA97" s="2">
        <v>1335.14</v>
      </c>
      <c r="BB97" s="5">
        <v>4803.26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16138.95</v>
      </c>
      <c r="BI97" s="12">
        <v>14409.779999999999</v>
      </c>
      <c r="BJ97" s="2">
        <v>288.2</v>
      </c>
      <c r="BL97" s="1" t="s">
        <v>90</v>
      </c>
    </row>
    <row r="98" spans="1:64" x14ac:dyDescent="0.3">
      <c r="A98" t="s">
        <v>665</v>
      </c>
      <c r="B98" s="1" t="s">
        <v>665</v>
      </c>
      <c r="C98" s="9" t="s">
        <v>666</v>
      </c>
      <c r="D98" s="1" t="s">
        <v>43</v>
      </c>
      <c r="E98" s="1" t="s">
        <v>88</v>
      </c>
      <c r="F98" s="10" t="s">
        <v>639</v>
      </c>
      <c r="G98" s="1">
        <v>0</v>
      </c>
      <c r="H98" s="1">
        <v>0.02</v>
      </c>
      <c r="I98" s="8">
        <v>45434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257098</v>
      </c>
      <c r="AJ98" s="2">
        <v>83163.100000000006</v>
      </c>
      <c r="AK98" s="2">
        <v>4591.04</v>
      </c>
      <c r="AL98" s="2">
        <v>1485.05</v>
      </c>
      <c r="AM98" s="5">
        <v>3038.04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10207.83</v>
      </c>
      <c r="AT98" s="12">
        <v>9114.130000000001</v>
      </c>
      <c r="AU98" s="2">
        <v>182.28</v>
      </c>
      <c r="AV98" s="5">
        <v>0</v>
      </c>
      <c r="AX98" s="2">
        <v>257098</v>
      </c>
      <c r="AY98" s="2">
        <v>83163.100000000006</v>
      </c>
      <c r="AZ98" s="2">
        <v>4591.04</v>
      </c>
      <c r="BA98" s="2">
        <v>1485.05</v>
      </c>
      <c r="BB98" s="5">
        <v>3038.04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10207.83</v>
      </c>
      <c r="BI98" s="12">
        <v>9114.130000000001</v>
      </c>
      <c r="BJ98" s="2">
        <v>182.28</v>
      </c>
      <c r="BL98" s="1" t="s">
        <v>90</v>
      </c>
    </row>
    <row r="99" spans="1:64" x14ac:dyDescent="0.3">
      <c r="A99" t="s">
        <v>672</v>
      </c>
      <c r="B99" s="1" t="s">
        <v>672</v>
      </c>
      <c r="C99" s="9" t="s">
        <v>673</v>
      </c>
      <c r="D99" s="1" t="s">
        <v>43</v>
      </c>
      <c r="E99" s="1" t="s">
        <v>128</v>
      </c>
      <c r="F99" s="10" t="s">
        <v>385</v>
      </c>
      <c r="G99" s="1">
        <v>0</v>
      </c>
      <c r="H99" s="1">
        <v>0.02</v>
      </c>
      <c r="I99" s="8">
        <v>45607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336476</v>
      </c>
      <c r="AJ99" s="2">
        <v>47046</v>
      </c>
      <c r="AK99" s="2">
        <v>6008.5</v>
      </c>
      <c r="AL99" s="2">
        <v>840.11</v>
      </c>
      <c r="AM99" s="5">
        <v>3424.3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11505.66</v>
      </c>
      <c r="AT99" s="12">
        <v>10272.91</v>
      </c>
      <c r="AU99" s="2">
        <v>205.46</v>
      </c>
      <c r="AV99" s="5">
        <v>0</v>
      </c>
      <c r="AX99" s="2">
        <v>336476</v>
      </c>
      <c r="AY99" s="2">
        <v>47046</v>
      </c>
      <c r="AZ99" s="2">
        <v>6008.5</v>
      </c>
      <c r="BA99" s="2">
        <v>840.11</v>
      </c>
      <c r="BB99" s="5">
        <v>3424.3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11505.66</v>
      </c>
      <c r="BI99" s="12">
        <v>10272.91</v>
      </c>
      <c r="BJ99" s="2">
        <v>205.46</v>
      </c>
      <c r="BL99" s="1" t="s">
        <v>326</v>
      </c>
    </row>
    <row r="100" spans="1:64" x14ac:dyDescent="0.3">
      <c r="A100" t="s">
        <v>684</v>
      </c>
      <c r="B100" s="1" t="s">
        <v>684</v>
      </c>
      <c r="C100" s="9" t="s">
        <v>685</v>
      </c>
      <c r="D100" s="1" t="s">
        <v>43</v>
      </c>
      <c r="E100" s="1" t="s">
        <v>128</v>
      </c>
      <c r="F100" s="10" t="s">
        <v>385</v>
      </c>
      <c r="G100" s="1">
        <v>0</v>
      </c>
      <c r="H100" s="1">
        <v>0.02</v>
      </c>
      <c r="I100" s="8">
        <v>45575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271345.95</v>
      </c>
      <c r="AJ100" s="2">
        <v>26183.75</v>
      </c>
      <c r="AK100" s="2">
        <v>4845.46</v>
      </c>
      <c r="AL100" s="2">
        <v>467.56</v>
      </c>
      <c r="AM100" s="5">
        <v>2656.52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8925.8799999999992</v>
      </c>
      <c r="AT100" s="12">
        <v>7969.5400000000009</v>
      </c>
      <c r="AU100" s="2">
        <v>159.38999999999999</v>
      </c>
      <c r="AV100" s="5">
        <v>0</v>
      </c>
      <c r="AX100" s="2">
        <v>271345.95</v>
      </c>
      <c r="AY100" s="2">
        <v>26183.75</v>
      </c>
      <c r="AZ100" s="2">
        <v>4845.46</v>
      </c>
      <c r="BA100" s="2">
        <v>467.56</v>
      </c>
      <c r="BB100" s="5">
        <v>2656.52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8925.8799999999992</v>
      </c>
      <c r="BI100" s="12">
        <v>7969.5400000000009</v>
      </c>
      <c r="BJ100" s="2">
        <v>159.38999999999999</v>
      </c>
      <c r="BL100" s="1" t="s">
        <v>326</v>
      </c>
    </row>
    <row r="101" spans="1:64" x14ac:dyDescent="0.3">
      <c r="A101" t="s">
        <v>750</v>
      </c>
      <c r="B101" s="1" t="s">
        <v>750</v>
      </c>
      <c r="C101" s="9" t="s">
        <v>751</v>
      </c>
      <c r="D101" s="1" t="s">
        <v>43</v>
      </c>
      <c r="E101" s="1" t="s">
        <v>135</v>
      </c>
      <c r="F101" s="10" t="s">
        <v>752</v>
      </c>
      <c r="G101" s="1">
        <v>0</v>
      </c>
      <c r="H101" s="1">
        <v>0.02</v>
      </c>
      <c r="I101" s="8">
        <v>44511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677098.51</v>
      </c>
      <c r="AJ101" s="2">
        <v>57544.99</v>
      </c>
      <c r="AK101" s="2">
        <v>12091.04</v>
      </c>
      <c r="AL101" s="2">
        <v>1027.5899999999999</v>
      </c>
      <c r="AM101" s="5">
        <v>6559.32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22039.3</v>
      </c>
      <c r="AT101" s="12">
        <v>19677.949999999997</v>
      </c>
      <c r="AU101" s="2">
        <v>393.56</v>
      </c>
      <c r="AV101" s="5">
        <v>0</v>
      </c>
      <c r="AX101" s="2">
        <v>677098.51</v>
      </c>
      <c r="AY101" s="2">
        <v>57544.99</v>
      </c>
      <c r="AZ101" s="2">
        <v>12091.04</v>
      </c>
      <c r="BA101" s="2">
        <v>1027.5899999999999</v>
      </c>
      <c r="BB101" s="5">
        <v>6559.32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22039.3</v>
      </c>
      <c r="BI101" s="12">
        <v>19677.949999999997</v>
      </c>
      <c r="BJ101" s="2">
        <v>393.56</v>
      </c>
      <c r="BK101" s="5">
        <v>0</v>
      </c>
      <c r="BL101" s="1" t="s">
        <v>302</v>
      </c>
    </row>
    <row r="102" spans="1:64" x14ac:dyDescent="0.3">
      <c r="A102" t="s">
        <v>804</v>
      </c>
      <c r="B102" s="1" t="s">
        <v>804</v>
      </c>
      <c r="C102" s="9" t="s">
        <v>805</v>
      </c>
      <c r="D102" s="1" t="s">
        <v>43</v>
      </c>
      <c r="E102" s="1" t="s">
        <v>128</v>
      </c>
      <c r="F102" s="10" t="s">
        <v>385</v>
      </c>
      <c r="G102" s="1">
        <v>0</v>
      </c>
      <c r="H102" s="1">
        <v>0.02</v>
      </c>
      <c r="I102" s="8">
        <v>44831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466490</v>
      </c>
      <c r="AJ102" s="2">
        <v>63881</v>
      </c>
      <c r="AK102" s="2">
        <v>8330.18</v>
      </c>
      <c r="AL102" s="2">
        <v>1140.73</v>
      </c>
      <c r="AM102" s="5">
        <v>4735.46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15911.13</v>
      </c>
      <c r="AT102" s="12">
        <v>14206.369999999999</v>
      </c>
      <c r="AU102" s="2">
        <v>284.13</v>
      </c>
      <c r="AV102" s="5">
        <v>0</v>
      </c>
      <c r="AX102" s="2">
        <v>466490</v>
      </c>
      <c r="AY102" s="2">
        <v>63881</v>
      </c>
      <c r="AZ102" s="2">
        <v>8330.18</v>
      </c>
      <c r="BA102" s="2">
        <v>1140.73</v>
      </c>
      <c r="BB102" s="5">
        <v>4735.46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15911.13</v>
      </c>
      <c r="BI102" s="12">
        <v>14206.369999999999</v>
      </c>
      <c r="BJ102" s="2">
        <v>284.13</v>
      </c>
      <c r="BL102" s="1" t="s">
        <v>326</v>
      </c>
    </row>
    <row r="103" spans="1:64" x14ac:dyDescent="0.3">
      <c r="A103" t="s">
        <v>814</v>
      </c>
      <c r="B103" s="1" t="s">
        <v>814</v>
      </c>
      <c r="C103" s="9" t="s">
        <v>815</v>
      </c>
      <c r="D103" s="1" t="s">
        <v>43</v>
      </c>
      <c r="E103" s="1" t="s">
        <v>88</v>
      </c>
      <c r="F103" s="10" t="s">
        <v>639</v>
      </c>
      <c r="G103" s="1">
        <v>0</v>
      </c>
      <c r="H103" s="1">
        <v>0.02</v>
      </c>
      <c r="I103" s="8">
        <v>44985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347442.05</v>
      </c>
      <c r="AJ103" s="2">
        <v>71663</v>
      </c>
      <c r="AK103" s="2">
        <v>6204.32</v>
      </c>
      <c r="AL103" s="2">
        <v>1279.7</v>
      </c>
      <c r="AM103" s="5">
        <v>3742.01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12573.15</v>
      </c>
      <c r="AT103" s="12">
        <v>11226.029999999999</v>
      </c>
      <c r="AU103" s="2">
        <v>224.52</v>
      </c>
      <c r="AV103" s="5">
        <v>0</v>
      </c>
      <c r="AX103" s="2">
        <v>347442.05</v>
      </c>
      <c r="AY103" s="2">
        <v>71663</v>
      </c>
      <c r="AZ103" s="2">
        <v>6204.32</v>
      </c>
      <c r="BA103" s="2">
        <v>1279.7</v>
      </c>
      <c r="BB103" s="5">
        <v>3742.01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12573.15</v>
      </c>
      <c r="BI103" s="12">
        <v>11226.029999999999</v>
      </c>
      <c r="BJ103" s="2">
        <v>224.52</v>
      </c>
      <c r="BL103" s="1" t="s">
        <v>90</v>
      </c>
    </row>
    <row r="104" spans="1:64" x14ac:dyDescent="0.3">
      <c r="A104" t="s">
        <v>820</v>
      </c>
      <c r="B104" s="1" t="s">
        <v>820</v>
      </c>
      <c r="C104" s="9" t="s">
        <v>821</v>
      </c>
      <c r="D104" s="1" t="s">
        <v>43</v>
      </c>
      <c r="E104" s="1" t="s">
        <v>88</v>
      </c>
      <c r="F104" s="10" t="s">
        <v>639</v>
      </c>
      <c r="G104" s="1">
        <v>0</v>
      </c>
      <c r="H104" s="1">
        <v>0.02</v>
      </c>
      <c r="I104" s="8">
        <v>45209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155408</v>
      </c>
      <c r="AJ104" s="2">
        <v>30539</v>
      </c>
      <c r="AK104" s="2">
        <v>2775.14</v>
      </c>
      <c r="AL104" s="2">
        <v>545.34</v>
      </c>
      <c r="AM104" s="5">
        <v>1660.24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5578.41</v>
      </c>
      <c r="AT104" s="12">
        <v>4980.72</v>
      </c>
      <c r="AU104" s="2">
        <v>99.61</v>
      </c>
      <c r="AV104" s="5">
        <v>0</v>
      </c>
      <c r="AX104" s="2">
        <v>155408</v>
      </c>
      <c r="AY104" s="2">
        <v>30539</v>
      </c>
      <c r="AZ104" s="2">
        <v>2775.14</v>
      </c>
      <c r="BA104" s="2">
        <v>545.34</v>
      </c>
      <c r="BB104" s="5">
        <v>1660.24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5578.41</v>
      </c>
      <c r="BI104" s="12">
        <v>4980.72</v>
      </c>
      <c r="BJ104" s="2">
        <v>99.61</v>
      </c>
      <c r="BL104" s="1" t="s">
        <v>90</v>
      </c>
    </row>
    <row r="105" spans="1:64" x14ac:dyDescent="0.3">
      <c r="A105" t="s">
        <v>822</v>
      </c>
      <c r="B105" s="1" t="s">
        <v>822</v>
      </c>
      <c r="C105" s="9" t="s">
        <v>823</v>
      </c>
      <c r="D105" s="1" t="s">
        <v>43</v>
      </c>
      <c r="E105" s="1" t="s">
        <v>88</v>
      </c>
      <c r="F105" s="10" t="s">
        <v>639</v>
      </c>
      <c r="G105" s="1">
        <v>0</v>
      </c>
      <c r="H105" s="1">
        <v>0.02</v>
      </c>
      <c r="I105" s="8">
        <v>45198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123877.4</v>
      </c>
      <c r="AJ105" s="2">
        <v>65432</v>
      </c>
      <c r="AK105" s="2">
        <v>2212.1</v>
      </c>
      <c r="AL105" s="2">
        <v>1168.43</v>
      </c>
      <c r="AM105" s="5">
        <v>1690.26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5679.28</v>
      </c>
      <c r="AT105" s="12">
        <v>5070.79</v>
      </c>
      <c r="AU105" s="2">
        <v>101.42</v>
      </c>
      <c r="AV105" s="5">
        <v>0</v>
      </c>
      <c r="AX105" s="2">
        <v>123877.4</v>
      </c>
      <c r="AY105" s="2">
        <v>65432</v>
      </c>
      <c r="AZ105" s="2">
        <v>2212.1</v>
      </c>
      <c r="BA105" s="2">
        <v>1168.43</v>
      </c>
      <c r="BB105" s="5">
        <v>1690.26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5679.28</v>
      </c>
      <c r="BI105" s="12">
        <v>5070.79</v>
      </c>
      <c r="BJ105" s="2">
        <v>101.42</v>
      </c>
      <c r="BL105" s="1" t="s">
        <v>90</v>
      </c>
    </row>
    <row r="106" spans="1:64" x14ac:dyDescent="0.3">
      <c r="A106" t="s">
        <v>831</v>
      </c>
      <c r="B106" s="1" t="s">
        <v>831</v>
      </c>
      <c r="C106" s="9" t="s">
        <v>832</v>
      </c>
      <c r="D106" s="1" t="s">
        <v>43</v>
      </c>
      <c r="E106" s="1" t="s">
        <v>135</v>
      </c>
      <c r="F106" s="10" t="s">
        <v>752</v>
      </c>
      <c r="G106" s="1">
        <v>0</v>
      </c>
      <c r="H106" s="1">
        <v>0.02</v>
      </c>
      <c r="I106" s="8">
        <v>45429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421356.48000000004</v>
      </c>
      <c r="AJ106" s="2">
        <v>42123.42</v>
      </c>
      <c r="AK106" s="2">
        <v>7524.22</v>
      </c>
      <c r="AL106" s="2">
        <v>752.21</v>
      </c>
      <c r="AM106" s="5">
        <v>4138.21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13904.4</v>
      </c>
      <c r="AT106" s="12">
        <v>12414.64</v>
      </c>
      <c r="AU106" s="2">
        <v>248.29</v>
      </c>
      <c r="AV106" s="5">
        <v>0</v>
      </c>
      <c r="AX106" s="2">
        <v>421356.48000000004</v>
      </c>
      <c r="AY106" s="2">
        <v>42123.42</v>
      </c>
      <c r="AZ106" s="2">
        <v>7524.22</v>
      </c>
      <c r="BA106" s="2">
        <v>752.21</v>
      </c>
      <c r="BB106" s="5">
        <v>4138.21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13904.4</v>
      </c>
      <c r="BI106" s="12">
        <v>12414.64</v>
      </c>
      <c r="BJ106" s="2">
        <v>248.29</v>
      </c>
      <c r="BL106" s="1" t="s">
        <v>302</v>
      </c>
    </row>
    <row r="107" spans="1:64" x14ac:dyDescent="0.3">
      <c r="A107" t="s">
        <v>958</v>
      </c>
      <c r="B107" s="1" t="s">
        <v>958</v>
      </c>
      <c r="C107" s="9" t="s">
        <v>959</v>
      </c>
      <c r="D107" s="1" t="s">
        <v>43</v>
      </c>
      <c r="E107" s="1" t="s">
        <v>135</v>
      </c>
      <c r="F107" s="10" t="s">
        <v>583</v>
      </c>
      <c r="G107" s="1">
        <v>0</v>
      </c>
      <c r="H107" s="1">
        <v>0.02</v>
      </c>
      <c r="I107" s="8">
        <v>45706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254365</v>
      </c>
      <c r="AJ107" s="2">
        <v>58352</v>
      </c>
      <c r="AK107" s="2">
        <v>4542.2299999999996</v>
      </c>
      <c r="AL107" s="2">
        <v>1042</v>
      </c>
      <c r="AM107" s="5">
        <v>2792.12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9381.51</v>
      </c>
      <c r="AT107" s="12">
        <v>8376.3499999999985</v>
      </c>
      <c r="AU107" s="2">
        <v>167.53</v>
      </c>
      <c r="AV107" s="5">
        <v>0</v>
      </c>
      <c r="AX107" s="2">
        <v>254365</v>
      </c>
      <c r="AY107" s="2">
        <v>58352</v>
      </c>
      <c r="AZ107" s="2">
        <v>4542.2299999999996</v>
      </c>
      <c r="BA107" s="2">
        <v>1042</v>
      </c>
      <c r="BB107" s="5">
        <v>2792.12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9381.51</v>
      </c>
      <c r="BI107" s="12">
        <v>8376.3499999999985</v>
      </c>
      <c r="BJ107" s="2">
        <v>167.53</v>
      </c>
      <c r="BL107" s="1" t="s">
        <v>137</v>
      </c>
    </row>
    <row r="108" spans="1:64" x14ac:dyDescent="0.3">
      <c r="A108" t="s">
        <v>1019</v>
      </c>
      <c r="B108" s="1" t="s">
        <v>1019</v>
      </c>
      <c r="C108" s="9" t="s">
        <v>1020</v>
      </c>
      <c r="D108" s="1" t="s">
        <v>43</v>
      </c>
      <c r="E108" s="1" t="s">
        <v>135</v>
      </c>
      <c r="F108" s="10" t="s">
        <v>316</v>
      </c>
      <c r="G108" s="1">
        <v>0</v>
      </c>
      <c r="H108" s="1">
        <v>0.02</v>
      </c>
      <c r="I108" s="8">
        <v>44500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404811</v>
      </c>
      <c r="AJ108" s="2">
        <v>47047</v>
      </c>
      <c r="AK108" s="2">
        <v>7228.77</v>
      </c>
      <c r="AL108" s="2">
        <v>840.12</v>
      </c>
      <c r="AM108" s="5">
        <v>4034.45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13555.74</v>
      </c>
      <c r="AT108" s="12">
        <v>12103.34</v>
      </c>
      <c r="AU108" s="2">
        <v>242.07</v>
      </c>
      <c r="AV108" s="5">
        <v>0</v>
      </c>
      <c r="AX108" s="2">
        <v>404811</v>
      </c>
      <c r="AY108" s="2">
        <v>47047</v>
      </c>
      <c r="AZ108" s="2">
        <v>7228.77</v>
      </c>
      <c r="BA108" s="2">
        <v>840.12</v>
      </c>
      <c r="BB108" s="5">
        <v>4034.45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13555.74</v>
      </c>
      <c r="BI108" s="12">
        <v>12103.34</v>
      </c>
      <c r="BJ108" s="2">
        <v>242.07</v>
      </c>
      <c r="BL108" s="1" t="s">
        <v>302</v>
      </c>
    </row>
    <row r="109" spans="1:64" x14ac:dyDescent="0.3">
      <c r="A109" t="s">
        <v>1049</v>
      </c>
      <c r="B109" s="1" t="s">
        <v>1049</v>
      </c>
      <c r="C109" s="9" t="s">
        <v>1050</v>
      </c>
      <c r="D109" s="1" t="s">
        <v>43</v>
      </c>
      <c r="E109" s="1" t="s">
        <v>128</v>
      </c>
      <c r="F109" s="10" t="s">
        <v>385</v>
      </c>
      <c r="G109" s="1">
        <v>0</v>
      </c>
      <c r="H109" s="1">
        <v>0.02</v>
      </c>
      <c r="I109" s="8">
        <v>44548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276483</v>
      </c>
      <c r="AJ109" s="2">
        <v>28071</v>
      </c>
      <c r="AK109" s="2">
        <v>4937.2</v>
      </c>
      <c r="AL109" s="2">
        <v>501.27</v>
      </c>
      <c r="AM109" s="5">
        <v>2719.23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9136.6200000000008</v>
      </c>
      <c r="AT109" s="12">
        <v>8157.6999999999989</v>
      </c>
      <c r="AU109" s="2">
        <v>163.15</v>
      </c>
      <c r="AV109" s="5">
        <v>0</v>
      </c>
      <c r="AX109" s="2">
        <v>276483</v>
      </c>
      <c r="AY109" s="2">
        <v>28071</v>
      </c>
      <c r="AZ109" s="2">
        <v>4937.2</v>
      </c>
      <c r="BA109" s="2">
        <v>501.27</v>
      </c>
      <c r="BB109" s="5">
        <v>2719.23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9136.6200000000008</v>
      </c>
      <c r="BI109" s="12">
        <v>8157.6999999999989</v>
      </c>
      <c r="BJ109" s="2">
        <v>163.15</v>
      </c>
      <c r="BL109" s="1" t="s">
        <v>326</v>
      </c>
    </row>
    <row r="110" spans="1:64" x14ac:dyDescent="0.3">
      <c r="A110" t="s">
        <v>1053</v>
      </c>
      <c r="B110" s="1" t="s">
        <v>1053</v>
      </c>
      <c r="C110" s="9" t="s">
        <v>1054</v>
      </c>
      <c r="D110" s="1" t="s">
        <v>43</v>
      </c>
      <c r="E110" s="1" t="s">
        <v>128</v>
      </c>
      <c r="F110" s="10" t="s">
        <v>385</v>
      </c>
      <c r="G110" s="1">
        <v>0</v>
      </c>
      <c r="H110" s="1">
        <v>0.02</v>
      </c>
      <c r="I110" s="8">
        <v>44576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289543</v>
      </c>
      <c r="AJ110" s="2">
        <v>65857</v>
      </c>
      <c r="AK110" s="2">
        <v>5170.41</v>
      </c>
      <c r="AL110" s="2">
        <v>1176.02</v>
      </c>
      <c r="AM110" s="5">
        <v>3173.21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10662</v>
      </c>
      <c r="AT110" s="12">
        <v>9519.64</v>
      </c>
      <c r="AU110" s="2">
        <v>190.39</v>
      </c>
      <c r="AV110" s="5">
        <v>0</v>
      </c>
      <c r="AX110" s="2">
        <v>289543</v>
      </c>
      <c r="AY110" s="2">
        <v>65857</v>
      </c>
      <c r="AZ110" s="2">
        <v>5170.41</v>
      </c>
      <c r="BA110" s="2">
        <v>1176.02</v>
      </c>
      <c r="BB110" s="5">
        <v>3173.21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10662</v>
      </c>
      <c r="BI110" s="12">
        <v>9519.64</v>
      </c>
      <c r="BJ110" s="2">
        <v>190.39</v>
      </c>
      <c r="BL110" s="1" t="s">
        <v>326</v>
      </c>
    </row>
    <row r="111" spans="1:64" x14ac:dyDescent="0.3">
      <c r="A111" t="s">
        <v>1154</v>
      </c>
      <c r="B111" s="1" t="s">
        <v>1154</v>
      </c>
      <c r="C111" s="9" t="s">
        <v>1155</v>
      </c>
      <c r="D111" s="1" t="s">
        <v>43</v>
      </c>
      <c r="E111" s="1" t="s">
        <v>128</v>
      </c>
      <c r="F111" s="10" t="s">
        <v>385</v>
      </c>
      <c r="G111" s="1">
        <v>0</v>
      </c>
      <c r="H111" s="1">
        <v>0.02</v>
      </c>
      <c r="I111" s="8">
        <v>44897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619576.19999999995</v>
      </c>
      <c r="AJ111" s="2">
        <v>35852</v>
      </c>
      <c r="AK111" s="2">
        <v>11063.86</v>
      </c>
      <c r="AL111" s="2">
        <v>640.21</v>
      </c>
      <c r="AM111" s="5">
        <v>5852.04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19662.84</v>
      </c>
      <c r="AT111" s="12">
        <v>17556.11</v>
      </c>
      <c r="AU111" s="2">
        <v>351.12</v>
      </c>
      <c r="AV111" s="5">
        <v>0</v>
      </c>
      <c r="AX111" s="2">
        <v>619576.19999999995</v>
      </c>
      <c r="AY111" s="2">
        <v>35852</v>
      </c>
      <c r="AZ111" s="2">
        <v>11063.86</v>
      </c>
      <c r="BA111" s="2">
        <v>640.21</v>
      </c>
      <c r="BB111" s="5">
        <v>5852.04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19662.84</v>
      </c>
      <c r="BI111" s="12">
        <v>17556.11</v>
      </c>
      <c r="BJ111" s="2">
        <v>351.12</v>
      </c>
      <c r="BL111" s="1" t="s">
        <v>326</v>
      </c>
    </row>
    <row r="112" spans="1:64" x14ac:dyDescent="0.3">
      <c r="A112" t="s">
        <v>1233</v>
      </c>
      <c r="B112" s="1" t="s">
        <v>1234</v>
      </c>
      <c r="C112" s="9" t="s">
        <v>1235</v>
      </c>
      <c r="D112" s="1" t="s">
        <v>43</v>
      </c>
      <c r="E112" s="1" t="s">
        <v>128</v>
      </c>
      <c r="F112" s="10" t="s">
        <v>385</v>
      </c>
      <c r="G112" s="1">
        <v>0</v>
      </c>
      <c r="H112" s="1">
        <v>0.02</v>
      </c>
      <c r="I112" s="8">
        <v>45036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742140.3</v>
      </c>
      <c r="AJ112" s="2">
        <v>9034</v>
      </c>
      <c r="AK112" s="2">
        <v>13252.51</v>
      </c>
      <c r="AL112" s="2">
        <v>161.32</v>
      </c>
      <c r="AM112" s="5">
        <v>6706.91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22535.23</v>
      </c>
      <c r="AT112" s="12">
        <v>20120.740000000002</v>
      </c>
      <c r="AU112" s="2">
        <v>402.41000000000008</v>
      </c>
      <c r="AV112" s="5">
        <v>0</v>
      </c>
      <c r="AX112" s="2">
        <v>742140.3</v>
      </c>
      <c r="AY112" s="2">
        <v>9034</v>
      </c>
      <c r="AZ112" s="2">
        <v>13252.51</v>
      </c>
      <c r="BA112" s="2">
        <v>161.32</v>
      </c>
      <c r="BB112" s="5">
        <v>6706.91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22535.23</v>
      </c>
      <c r="BI112" s="12">
        <v>20120.740000000002</v>
      </c>
      <c r="BJ112" s="2">
        <v>402.41000000000008</v>
      </c>
      <c r="BK112" s="5">
        <v>0</v>
      </c>
      <c r="BL112" s="1" t="s">
        <v>326</v>
      </c>
    </row>
    <row r="113" spans="1:64" x14ac:dyDescent="0.3">
      <c r="A113" t="s">
        <v>1246</v>
      </c>
      <c r="B113" s="1" t="s">
        <v>1246</v>
      </c>
      <c r="C113" s="9" t="s">
        <v>1247</v>
      </c>
      <c r="D113" s="1" t="s">
        <v>43</v>
      </c>
      <c r="E113" s="1" t="s">
        <v>128</v>
      </c>
      <c r="F113" s="10" t="s">
        <v>385</v>
      </c>
      <c r="G113" s="1">
        <v>0</v>
      </c>
      <c r="H113" s="1">
        <v>0.02</v>
      </c>
      <c r="I113" s="8">
        <v>45152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853015.65</v>
      </c>
      <c r="AJ113" s="2">
        <v>45236</v>
      </c>
      <c r="AK113" s="2">
        <v>15232.43</v>
      </c>
      <c r="AL113" s="2">
        <v>807.79</v>
      </c>
      <c r="AM113" s="5">
        <v>8020.11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26947.57</v>
      </c>
      <c r="AT113" s="12">
        <v>24060.329999999998</v>
      </c>
      <c r="AU113" s="2">
        <v>481.19999999999993</v>
      </c>
      <c r="AV113" s="5">
        <v>0</v>
      </c>
      <c r="AX113" s="2">
        <v>853015.65</v>
      </c>
      <c r="AY113" s="2">
        <v>45236</v>
      </c>
      <c r="AZ113" s="2">
        <v>15232.43</v>
      </c>
      <c r="BA113" s="2">
        <v>807.79</v>
      </c>
      <c r="BB113" s="5">
        <v>8020.11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26947.57</v>
      </c>
      <c r="BI113" s="12">
        <v>24060.329999999998</v>
      </c>
      <c r="BJ113" s="2">
        <v>481.19999999999993</v>
      </c>
      <c r="BK113" s="5">
        <v>0</v>
      </c>
      <c r="BL113" s="1" t="s">
        <v>326</v>
      </c>
    </row>
    <row r="114" spans="1:64" x14ac:dyDescent="0.3">
      <c r="A114" t="s">
        <v>1252</v>
      </c>
      <c r="B114" s="1" t="s">
        <v>1252</v>
      </c>
      <c r="C114" s="9" t="s">
        <v>1253</v>
      </c>
      <c r="D114" s="1" t="s">
        <v>43</v>
      </c>
      <c r="E114" s="1" t="s">
        <v>128</v>
      </c>
      <c r="F114" s="10" t="s">
        <v>385</v>
      </c>
      <c r="G114" s="1">
        <v>0</v>
      </c>
      <c r="H114" s="1">
        <v>0.02</v>
      </c>
      <c r="I114" s="8">
        <v>45131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144426</v>
      </c>
      <c r="AJ114" s="2">
        <v>15686</v>
      </c>
      <c r="AK114" s="2">
        <v>2579.04</v>
      </c>
      <c r="AL114" s="2">
        <v>280.11</v>
      </c>
      <c r="AM114" s="5">
        <v>1429.57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4803.37</v>
      </c>
      <c r="AT114" s="12">
        <v>4288.72</v>
      </c>
      <c r="AU114" s="2">
        <v>85.77</v>
      </c>
      <c r="AV114" s="5">
        <v>0</v>
      </c>
      <c r="AX114" s="2">
        <v>144426</v>
      </c>
      <c r="AY114" s="2">
        <v>15686</v>
      </c>
      <c r="AZ114" s="2">
        <v>2579.04</v>
      </c>
      <c r="BA114" s="2">
        <v>280.11</v>
      </c>
      <c r="BB114" s="5">
        <v>1429.57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4803.37</v>
      </c>
      <c r="BI114" s="12">
        <v>4288.72</v>
      </c>
      <c r="BJ114" s="2">
        <v>85.77</v>
      </c>
      <c r="BL114" s="1" t="s">
        <v>326</v>
      </c>
    </row>
    <row r="115" spans="1:64" x14ac:dyDescent="0.3">
      <c r="A115" t="s">
        <v>1274</v>
      </c>
      <c r="B115" s="1" t="s">
        <v>1274</v>
      </c>
      <c r="C115" s="9" t="s">
        <v>1275</v>
      </c>
      <c r="D115" s="1" t="s">
        <v>43</v>
      </c>
      <c r="E115" s="1" t="s">
        <v>128</v>
      </c>
      <c r="F115" s="10" t="s">
        <v>385</v>
      </c>
      <c r="G115" s="1">
        <v>0</v>
      </c>
      <c r="H115" s="1">
        <v>0.02</v>
      </c>
      <c r="I115" s="8">
        <v>45283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397872</v>
      </c>
      <c r="AJ115" s="2">
        <v>13229</v>
      </c>
      <c r="AK115" s="2">
        <v>7104.86</v>
      </c>
      <c r="AL115" s="2">
        <v>236.23000000000002</v>
      </c>
      <c r="AM115" s="5">
        <v>3670.5499999999997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12333.04</v>
      </c>
      <c r="AT115" s="12">
        <v>11011.64</v>
      </c>
      <c r="AU115" s="2">
        <v>220.23000000000002</v>
      </c>
      <c r="AV115" s="5">
        <v>0</v>
      </c>
      <c r="AX115" s="2">
        <v>397872</v>
      </c>
      <c r="AY115" s="2">
        <v>13229</v>
      </c>
      <c r="AZ115" s="2">
        <v>7104.86</v>
      </c>
      <c r="BA115" s="2">
        <v>236.23000000000002</v>
      </c>
      <c r="BB115" s="5">
        <v>3670.5499999999997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12333.04</v>
      </c>
      <c r="BI115" s="12">
        <v>11011.64</v>
      </c>
      <c r="BJ115" s="2">
        <v>220.23000000000002</v>
      </c>
      <c r="BK115" s="5">
        <v>0</v>
      </c>
      <c r="BL115" s="1" t="s">
        <v>326</v>
      </c>
    </row>
    <row r="116" spans="1:64" x14ac:dyDescent="0.3">
      <c r="A116" t="s">
        <v>1300</v>
      </c>
      <c r="B116" s="1" t="s">
        <v>1300</v>
      </c>
      <c r="C116" s="9" t="s">
        <v>1301</v>
      </c>
      <c r="D116" s="1" t="s">
        <v>43</v>
      </c>
      <c r="E116" s="1" t="s">
        <v>88</v>
      </c>
      <c r="F116" s="10" t="s">
        <v>639</v>
      </c>
      <c r="G116" s="1">
        <v>0</v>
      </c>
      <c r="H116" s="1">
        <v>0.02</v>
      </c>
      <c r="I116" s="8">
        <v>45350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490332.21</v>
      </c>
      <c r="AJ116" s="2">
        <v>36596</v>
      </c>
      <c r="AK116" s="2">
        <v>8755.93</v>
      </c>
      <c r="AL116" s="2">
        <v>653.5</v>
      </c>
      <c r="AM116" s="5">
        <v>4704.72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15807.85</v>
      </c>
      <c r="AT116" s="12">
        <v>14114.15</v>
      </c>
      <c r="AU116" s="2">
        <v>282.28999999999996</v>
      </c>
      <c r="AV116" s="5">
        <v>0</v>
      </c>
      <c r="AX116" s="2">
        <v>490332.21</v>
      </c>
      <c r="AY116" s="2">
        <v>36596</v>
      </c>
      <c r="AZ116" s="2">
        <v>8755.93</v>
      </c>
      <c r="BA116" s="2">
        <v>653.5</v>
      </c>
      <c r="BB116" s="5">
        <v>4704.72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15807.85</v>
      </c>
      <c r="BI116" s="12">
        <v>14114.15</v>
      </c>
      <c r="BJ116" s="2">
        <v>282.28999999999996</v>
      </c>
      <c r="BK116" s="5">
        <v>0</v>
      </c>
      <c r="BL116" s="1" t="s">
        <v>90</v>
      </c>
    </row>
    <row r="117" spans="1:64" x14ac:dyDescent="0.3">
      <c r="A117" t="s">
        <v>1334</v>
      </c>
      <c r="B117" s="1" t="s">
        <v>1334</v>
      </c>
      <c r="C117" s="9" t="s">
        <v>1335</v>
      </c>
      <c r="D117" s="1" t="s">
        <v>43</v>
      </c>
      <c r="E117" s="1" t="s">
        <v>135</v>
      </c>
      <c r="F117" s="10" t="s">
        <v>144</v>
      </c>
      <c r="G117" s="1">
        <v>0</v>
      </c>
      <c r="H117" s="1">
        <v>0.02</v>
      </c>
      <c r="I117" s="8">
        <v>45252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306851</v>
      </c>
      <c r="AJ117" s="2">
        <v>54782</v>
      </c>
      <c r="AK117" s="2">
        <v>5479.48</v>
      </c>
      <c r="AL117" s="2">
        <v>978.25</v>
      </c>
      <c r="AM117" s="5">
        <v>3228.87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10848.99</v>
      </c>
      <c r="AT117" s="12">
        <v>9686.5999999999985</v>
      </c>
      <c r="AU117" s="2">
        <v>193.73</v>
      </c>
      <c r="AV117" s="5">
        <v>0</v>
      </c>
      <c r="AX117" s="2">
        <v>306851</v>
      </c>
      <c r="AY117" s="2">
        <v>54782</v>
      </c>
      <c r="AZ117" s="2">
        <v>5479.48</v>
      </c>
      <c r="BA117" s="2">
        <v>978.25</v>
      </c>
      <c r="BB117" s="5">
        <v>3228.87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10848.99</v>
      </c>
      <c r="BI117" s="12">
        <v>9686.5999999999985</v>
      </c>
      <c r="BJ117" s="2">
        <v>193.73</v>
      </c>
      <c r="BL117" s="1" t="s">
        <v>436</v>
      </c>
    </row>
    <row r="118" spans="1:64" x14ac:dyDescent="0.3">
      <c r="A118" t="s">
        <v>1336</v>
      </c>
      <c r="B118" s="1" t="s">
        <v>1336</v>
      </c>
      <c r="C118" s="9" t="s">
        <v>1337</v>
      </c>
      <c r="D118" s="1" t="s">
        <v>43</v>
      </c>
      <c r="E118" s="1" t="s">
        <v>135</v>
      </c>
      <c r="F118" s="10" t="s">
        <v>316</v>
      </c>
      <c r="G118" s="1">
        <v>0</v>
      </c>
      <c r="H118" s="1">
        <v>0.02</v>
      </c>
      <c r="I118" s="8">
        <v>45296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324816.23</v>
      </c>
      <c r="AJ118" s="2">
        <v>58650</v>
      </c>
      <c r="AK118" s="2">
        <v>5800.29</v>
      </c>
      <c r="AL118" s="2">
        <v>1047.32</v>
      </c>
      <c r="AM118" s="5">
        <v>3423.8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11503.98</v>
      </c>
      <c r="AT118" s="12">
        <v>10271.41</v>
      </c>
      <c r="AU118" s="2">
        <v>205.43</v>
      </c>
      <c r="AV118" s="5">
        <v>0</v>
      </c>
      <c r="AX118" s="2">
        <v>324816.23</v>
      </c>
      <c r="AY118" s="2">
        <v>58650</v>
      </c>
      <c r="AZ118" s="2">
        <v>5800.29</v>
      </c>
      <c r="BA118" s="2">
        <v>1047.32</v>
      </c>
      <c r="BB118" s="5">
        <v>3423.8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11503.98</v>
      </c>
      <c r="BI118" s="12">
        <v>10271.41</v>
      </c>
      <c r="BJ118" s="2">
        <v>205.43</v>
      </c>
      <c r="BL118" s="1" t="s">
        <v>302</v>
      </c>
    </row>
    <row r="119" spans="1:64" x14ac:dyDescent="0.3">
      <c r="A119" t="s">
        <v>1351</v>
      </c>
      <c r="B119" s="1" t="s">
        <v>1351</v>
      </c>
      <c r="C119" s="9" t="s">
        <v>1352</v>
      </c>
      <c r="D119" s="1" t="s">
        <v>43</v>
      </c>
      <c r="E119" s="1" t="s">
        <v>135</v>
      </c>
      <c r="F119" s="10" t="s">
        <v>144</v>
      </c>
      <c r="G119" s="1">
        <v>0</v>
      </c>
      <c r="H119" s="1">
        <v>0.02</v>
      </c>
      <c r="I119" s="8">
        <v>45311</v>
      </c>
      <c r="J119" s="6">
        <v>43972</v>
      </c>
      <c r="K119" s="6">
        <v>6882</v>
      </c>
      <c r="L119" s="6">
        <v>785.22000000000116</v>
      </c>
      <c r="M119" s="6">
        <v>122.88999999999987</v>
      </c>
      <c r="N119" s="7">
        <v>454.05000000000018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1525.62</v>
      </c>
      <c r="U119" s="6">
        <v>1362.1599999999999</v>
      </c>
      <c r="V119" s="6">
        <v>27.25</v>
      </c>
      <c r="W119" s="6">
        <v>0</v>
      </c>
      <c r="X119" s="46">
        <v>45815</v>
      </c>
      <c r="Y119" s="1">
        <v>25112156</v>
      </c>
      <c r="AC119" s="46">
        <v>45808</v>
      </c>
      <c r="AI119" s="2">
        <v>572074</v>
      </c>
      <c r="AJ119" s="2">
        <v>82506</v>
      </c>
      <c r="AK119" s="2">
        <v>10215.61</v>
      </c>
      <c r="AL119" s="2">
        <v>1473.32</v>
      </c>
      <c r="AM119" s="5">
        <v>5844.46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19637.400000000001</v>
      </c>
      <c r="AT119" s="12">
        <v>17533.39</v>
      </c>
      <c r="AU119" s="2">
        <v>350.67</v>
      </c>
      <c r="AV119" s="5">
        <v>0</v>
      </c>
      <c r="AX119" s="2">
        <v>528102</v>
      </c>
      <c r="AY119" s="2">
        <v>75624</v>
      </c>
      <c r="AZ119" s="2">
        <v>9430.39</v>
      </c>
      <c r="BA119" s="2">
        <v>1350.43</v>
      </c>
      <c r="BB119" s="5">
        <v>5390.41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18111.78</v>
      </c>
      <c r="BI119" s="12">
        <v>16171.23</v>
      </c>
      <c r="BJ119" s="2">
        <v>323.42</v>
      </c>
      <c r="BL119" s="1" t="s">
        <v>137</v>
      </c>
    </row>
    <row r="120" spans="1:64" x14ac:dyDescent="0.3">
      <c r="A120" t="s">
        <v>1353</v>
      </c>
      <c r="B120" s="1" t="s">
        <v>1353</v>
      </c>
      <c r="C120" s="9" t="s">
        <v>1354</v>
      </c>
      <c r="D120" s="1" t="s">
        <v>43</v>
      </c>
      <c r="E120" s="1" t="s">
        <v>135</v>
      </c>
      <c r="F120" s="10" t="s">
        <v>583</v>
      </c>
      <c r="G120" s="1">
        <v>0</v>
      </c>
      <c r="H120" s="1">
        <v>0.02</v>
      </c>
      <c r="I120" s="8">
        <v>45297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315610</v>
      </c>
      <c r="AJ120" s="2">
        <v>29305</v>
      </c>
      <c r="AK120" s="2">
        <v>5635.89</v>
      </c>
      <c r="AL120" s="2">
        <v>523.29999999999995</v>
      </c>
      <c r="AM120" s="5">
        <v>3079.6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10347.44</v>
      </c>
      <c r="AT120" s="12">
        <v>9238.7900000000009</v>
      </c>
      <c r="AU120" s="2">
        <v>184.78</v>
      </c>
      <c r="AV120" s="5">
        <v>0</v>
      </c>
      <c r="AX120" s="2">
        <v>315610</v>
      </c>
      <c r="AY120" s="2">
        <v>29305</v>
      </c>
      <c r="AZ120" s="2">
        <v>5635.89</v>
      </c>
      <c r="BA120" s="2">
        <v>523.29999999999995</v>
      </c>
      <c r="BB120" s="5">
        <v>3079.6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10347.44</v>
      </c>
      <c r="BI120" s="12">
        <v>9238.7900000000009</v>
      </c>
      <c r="BJ120" s="2">
        <v>184.78</v>
      </c>
      <c r="BL120" s="1" t="s">
        <v>137</v>
      </c>
    </row>
    <row r="121" spans="1:64" x14ac:dyDescent="0.3">
      <c r="A121" t="s">
        <v>1379</v>
      </c>
      <c r="B121" s="1" t="s">
        <v>1380</v>
      </c>
      <c r="C121" s="9" t="s">
        <v>1381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45198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1021467.8999999999</v>
      </c>
      <c r="AJ121" s="2">
        <v>90030</v>
      </c>
      <c r="AK121" s="2">
        <v>18240.5</v>
      </c>
      <c r="AL121" s="2">
        <v>1607.67</v>
      </c>
      <c r="AM121" s="5">
        <v>9924.09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33344.93</v>
      </c>
      <c r="AT121" s="12">
        <v>29772.260000000002</v>
      </c>
      <c r="AU121" s="2">
        <v>595.45000000000005</v>
      </c>
      <c r="AV121" s="5">
        <v>0</v>
      </c>
      <c r="AX121" s="2">
        <v>1021467.8999999999</v>
      </c>
      <c r="AY121" s="2">
        <v>90030</v>
      </c>
      <c r="AZ121" s="2">
        <v>18240.5</v>
      </c>
      <c r="BA121" s="2">
        <v>1607.67</v>
      </c>
      <c r="BB121" s="5">
        <v>9924.09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33344.93</v>
      </c>
      <c r="BI121" s="12">
        <v>29772.260000000002</v>
      </c>
      <c r="BJ121" s="2">
        <v>595.45000000000005</v>
      </c>
      <c r="BK121" s="5">
        <v>0</v>
      </c>
      <c r="BL121" s="1" t="s">
        <v>137</v>
      </c>
    </row>
    <row r="122" spans="1:64" x14ac:dyDescent="0.3">
      <c r="A122" t="s">
        <v>86</v>
      </c>
      <c r="B122" s="1" t="s">
        <v>86</v>
      </c>
      <c r="C122" s="9" t="s">
        <v>87</v>
      </c>
      <c r="D122" s="1" t="s">
        <v>44</v>
      </c>
      <c r="E122" s="1" t="s">
        <v>88</v>
      </c>
      <c r="F122" s="10" t="s">
        <v>89</v>
      </c>
      <c r="G122" s="1">
        <v>0</v>
      </c>
      <c r="H122" s="1">
        <v>0.02</v>
      </c>
      <c r="I122" s="8">
        <v>44328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686000.96</v>
      </c>
      <c r="AJ122" s="2">
        <v>137543</v>
      </c>
      <c r="AK122" s="2">
        <v>12250.02</v>
      </c>
      <c r="AL122" s="2">
        <v>2456.13</v>
      </c>
      <c r="AM122" s="5">
        <v>7353.07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24706.33</v>
      </c>
      <c r="AT122" s="12">
        <v>22059.22</v>
      </c>
      <c r="AU122" s="2">
        <v>441.18</v>
      </c>
      <c r="AV122" s="5">
        <v>0</v>
      </c>
      <c r="AX122" s="2">
        <v>686000.96</v>
      </c>
      <c r="AY122" s="2">
        <v>137543</v>
      </c>
      <c r="AZ122" s="2">
        <v>12250.02</v>
      </c>
      <c r="BA122" s="2">
        <v>2456.13</v>
      </c>
      <c r="BB122" s="5">
        <v>7353.07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24706.33</v>
      </c>
      <c r="BI122" s="12">
        <v>22059.22</v>
      </c>
      <c r="BJ122" s="2">
        <v>441.18</v>
      </c>
      <c r="BK122" s="5">
        <v>0</v>
      </c>
      <c r="BL122" s="1" t="s">
        <v>90</v>
      </c>
    </row>
    <row r="123" spans="1:64" x14ac:dyDescent="0.3">
      <c r="A123" t="s">
        <v>99</v>
      </c>
      <c r="B123" s="1" t="s">
        <v>99</v>
      </c>
      <c r="C123" s="9" t="s">
        <v>100</v>
      </c>
      <c r="D123" s="1" t="s">
        <v>44</v>
      </c>
      <c r="E123" s="1" t="s">
        <v>88</v>
      </c>
      <c r="F123" s="10" t="s">
        <v>101</v>
      </c>
      <c r="G123" s="1">
        <v>2.5000000000000001E-2</v>
      </c>
      <c r="H123" s="1">
        <v>0.02</v>
      </c>
      <c r="I123" s="8">
        <v>45725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0</v>
      </c>
      <c r="AJ123" s="2">
        <v>0</v>
      </c>
      <c r="AK123" s="2">
        <v>0</v>
      </c>
      <c r="AL123" s="2">
        <v>0</v>
      </c>
      <c r="AM123" s="5">
        <v>0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0</v>
      </c>
      <c r="AT123" s="12">
        <v>0</v>
      </c>
      <c r="AU123" s="2">
        <v>0</v>
      </c>
      <c r="AV123" s="5">
        <v>0</v>
      </c>
      <c r="AX123" s="2">
        <v>0</v>
      </c>
      <c r="AY123" s="2">
        <v>0</v>
      </c>
      <c r="AZ123" s="2">
        <v>0</v>
      </c>
      <c r="BA123" s="2">
        <v>0</v>
      </c>
      <c r="BB123" s="5">
        <v>0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0</v>
      </c>
      <c r="BI123" s="12">
        <v>0</v>
      </c>
      <c r="BJ123" s="2">
        <v>0</v>
      </c>
      <c r="BL123" s="1" t="s">
        <v>90</v>
      </c>
    </row>
    <row r="124" spans="1:64" x14ac:dyDescent="0.3">
      <c r="A124" t="s">
        <v>102</v>
      </c>
      <c r="B124" s="1" t="s">
        <v>102</v>
      </c>
      <c r="C124" s="9" t="s">
        <v>103</v>
      </c>
      <c r="D124" s="1" t="s">
        <v>44</v>
      </c>
      <c r="E124" s="1" t="s">
        <v>88</v>
      </c>
      <c r="F124" s="10" t="s">
        <v>104</v>
      </c>
      <c r="G124" s="1">
        <v>2.5000000000000001E-2</v>
      </c>
      <c r="H124" s="1">
        <v>0.02</v>
      </c>
      <c r="I124" s="8">
        <v>44009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501089</v>
      </c>
      <c r="AJ124" s="2">
        <v>147476</v>
      </c>
      <c r="AK124" s="2">
        <v>8948.02</v>
      </c>
      <c r="AL124" s="2">
        <v>2633.5</v>
      </c>
      <c r="AM124" s="5">
        <v>5790.76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19456.95</v>
      </c>
      <c r="AT124" s="12">
        <v>17372.28</v>
      </c>
      <c r="AU124" s="2">
        <v>347.45</v>
      </c>
      <c r="AV124" s="5">
        <v>0</v>
      </c>
      <c r="AX124" s="2">
        <v>501089</v>
      </c>
      <c r="AY124" s="2">
        <v>147476</v>
      </c>
      <c r="AZ124" s="2">
        <v>8948.02</v>
      </c>
      <c r="BA124" s="2">
        <v>2633.5</v>
      </c>
      <c r="BB124" s="5">
        <v>5790.76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19456.95</v>
      </c>
      <c r="BI124" s="12">
        <v>17372.28</v>
      </c>
      <c r="BJ124" s="2">
        <v>347.45</v>
      </c>
      <c r="BL124" s="1" t="s">
        <v>90</v>
      </c>
    </row>
    <row r="125" spans="1:64" x14ac:dyDescent="0.3">
      <c r="A125" t="s">
        <v>112</v>
      </c>
      <c r="B125" s="1" t="s">
        <v>112</v>
      </c>
      <c r="C125" s="9" t="s">
        <v>113</v>
      </c>
      <c r="D125" s="1" t="s">
        <v>44</v>
      </c>
      <c r="E125" s="1" t="s">
        <v>88</v>
      </c>
      <c r="F125" s="10" t="s">
        <v>114</v>
      </c>
      <c r="G125" s="1">
        <v>2.5000000000000001E-2</v>
      </c>
      <c r="H125" s="1">
        <v>0.02</v>
      </c>
      <c r="I125" s="8">
        <v>45657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492066.38</v>
      </c>
      <c r="AJ125" s="2">
        <v>122615.23</v>
      </c>
      <c r="AK125" s="2">
        <v>8786.9</v>
      </c>
      <c r="AL125" s="2">
        <v>2189.5500000000002</v>
      </c>
      <c r="AM125" s="5">
        <v>5488.23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18440.439999999999</v>
      </c>
      <c r="AT125" s="12">
        <v>16464.68</v>
      </c>
      <c r="AU125" s="2">
        <v>329.29</v>
      </c>
      <c r="AV125" s="5">
        <v>0</v>
      </c>
      <c r="AX125" s="2">
        <v>492066.38</v>
      </c>
      <c r="AY125" s="2">
        <v>122615.23</v>
      </c>
      <c r="AZ125" s="2">
        <v>8786.9</v>
      </c>
      <c r="BA125" s="2">
        <v>2189.5500000000002</v>
      </c>
      <c r="BB125" s="5">
        <v>5488.23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18440.439999999999</v>
      </c>
      <c r="BI125" s="12">
        <v>16464.68</v>
      </c>
      <c r="BJ125" s="2">
        <v>329.29</v>
      </c>
      <c r="BL125" s="1" t="s">
        <v>90</v>
      </c>
    </row>
    <row r="126" spans="1:64" x14ac:dyDescent="0.3">
      <c r="A126" t="s">
        <v>118</v>
      </c>
      <c r="B126" s="1" t="s">
        <v>118</v>
      </c>
      <c r="C126" s="9" t="s">
        <v>119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44009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738405.79</v>
      </c>
      <c r="AJ126" s="2">
        <v>151545</v>
      </c>
      <c r="AK126" s="2">
        <v>13185.82</v>
      </c>
      <c r="AL126" s="2">
        <v>2706.16</v>
      </c>
      <c r="AM126" s="5">
        <v>7945.99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26698.53</v>
      </c>
      <c r="AT126" s="12">
        <v>23837.97</v>
      </c>
      <c r="AU126" s="2">
        <v>476.76</v>
      </c>
      <c r="AV126" s="5">
        <v>0</v>
      </c>
      <c r="AX126" s="2">
        <v>738405.79</v>
      </c>
      <c r="AY126" s="2">
        <v>151545</v>
      </c>
      <c r="AZ126" s="2">
        <v>13185.82</v>
      </c>
      <c r="BA126" s="2">
        <v>2706.16</v>
      </c>
      <c r="BB126" s="5">
        <v>7945.99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26698.53</v>
      </c>
      <c r="BI126" s="12">
        <v>23837.97</v>
      </c>
      <c r="BJ126" s="2">
        <v>476.76</v>
      </c>
      <c r="BL126" s="1" t="s">
        <v>90</v>
      </c>
    </row>
    <row r="127" spans="1:64" x14ac:dyDescent="0.3">
      <c r="A127" t="s">
        <v>156</v>
      </c>
      <c r="B127" s="1" t="s">
        <v>156</v>
      </c>
      <c r="C127" s="9" t="s">
        <v>157</v>
      </c>
      <c r="D127" s="1" t="s">
        <v>44</v>
      </c>
      <c r="E127" s="1" t="s">
        <v>88</v>
      </c>
      <c r="F127" s="10" t="s">
        <v>101</v>
      </c>
      <c r="G127" s="1">
        <v>2.5000000000000001E-2</v>
      </c>
      <c r="H127" s="1">
        <v>0.02</v>
      </c>
      <c r="I127" s="8">
        <v>45716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257922.99000000002</v>
      </c>
      <c r="AJ127" s="2">
        <v>90327.91</v>
      </c>
      <c r="AK127" s="2">
        <v>4605.7700000000004</v>
      </c>
      <c r="AL127" s="2">
        <v>1613</v>
      </c>
      <c r="AM127" s="5">
        <v>3109.38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10447.530000000001</v>
      </c>
      <c r="AT127" s="12">
        <v>9328.1500000000015</v>
      </c>
      <c r="AU127" s="2">
        <v>186.56</v>
      </c>
      <c r="AV127" s="5">
        <v>0</v>
      </c>
      <c r="AX127" s="2">
        <v>257922.99000000002</v>
      </c>
      <c r="AY127" s="2">
        <v>90327.91</v>
      </c>
      <c r="AZ127" s="2">
        <v>4605.7700000000004</v>
      </c>
      <c r="BA127" s="2">
        <v>1613</v>
      </c>
      <c r="BB127" s="5">
        <v>3109.38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10447.530000000001</v>
      </c>
      <c r="BI127" s="12">
        <v>9328.1500000000015</v>
      </c>
      <c r="BJ127" s="2">
        <v>186.56</v>
      </c>
      <c r="BL127" s="1" t="s">
        <v>90</v>
      </c>
    </row>
    <row r="128" spans="1:64" x14ac:dyDescent="0.3">
      <c r="A128" t="s">
        <v>164</v>
      </c>
      <c r="B128" s="1" t="s">
        <v>164</v>
      </c>
      <c r="C128" s="9" t="s">
        <v>165</v>
      </c>
      <c r="D128" s="1" t="s">
        <v>44</v>
      </c>
      <c r="E128" s="1" t="s">
        <v>88</v>
      </c>
      <c r="F128" s="10" t="s">
        <v>89</v>
      </c>
      <c r="G128" s="1">
        <v>2.5000000000000001E-2</v>
      </c>
      <c r="H128" s="1">
        <v>0.02</v>
      </c>
      <c r="I128" s="8">
        <v>45657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1147589</v>
      </c>
      <c r="AJ128" s="2">
        <v>292489</v>
      </c>
      <c r="AK128" s="2">
        <v>20492.66</v>
      </c>
      <c r="AL128" s="2">
        <v>5223.0200000000004</v>
      </c>
      <c r="AM128" s="5">
        <v>12857.84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43202.34</v>
      </c>
      <c r="AT128" s="12">
        <v>38573.520000000004</v>
      </c>
      <c r="AU128" s="2">
        <v>771.47</v>
      </c>
      <c r="AV128" s="5">
        <v>0</v>
      </c>
      <c r="AX128" s="2">
        <v>1147589</v>
      </c>
      <c r="AY128" s="2">
        <v>292489</v>
      </c>
      <c r="AZ128" s="2">
        <v>20492.66</v>
      </c>
      <c r="BA128" s="2">
        <v>5223.0200000000004</v>
      </c>
      <c r="BB128" s="5">
        <v>12857.84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43202.34</v>
      </c>
      <c r="BI128" s="12">
        <v>38573.520000000004</v>
      </c>
      <c r="BJ128" s="2">
        <v>771.47</v>
      </c>
      <c r="BK128" s="5">
        <v>0</v>
      </c>
      <c r="BL128" s="1" t="s">
        <v>90</v>
      </c>
    </row>
    <row r="129" spans="1:64" x14ac:dyDescent="0.3">
      <c r="A129" t="s">
        <v>170</v>
      </c>
      <c r="B129" s="1" t="s">
        <v>170</v>
      </c>
      <c r="C129" s="9" t="s">
        <v>171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464474.52999999997</v>
      </c>
      <c r="AJ129" s="2">
        <v>142256.16999999998</v>
      </c>
      <c r="AK129" s="2">
        <v>8294.19</v>
      </c>
      <c r="AL129" s="2">
        <v>2540.2799999999997</v>
      </c>
      <c r="AM129" s="5">
        <v>5417.24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18201.919999999998</v>
      </c>
      <c r="AT129" s="12">
        <v>16251.71</v>
      </c>
      <c r="AU129" s="2">
        <v>325.02999999999997</v>
      </c>
      <c r="AV129" s="5">
        <v>0</v>
      </c>
      <c r="AX129" s="2">
        <v>464474.52999999997</v>
      </c>
      <c r="AY129" s="2">
        <v>142256.16999999998</v>
      </c>
      <c r="AZ129" s="2">
        <v>8294.19</v>
      </c>
      <c r="BA129" s="2">
        <v>2540.2799999999997</v>
      </c>
      <c r="BB129" s="5">
        <v>5417.24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18201.919999999998</v>
      </c>
      <c r="BI129" s="12">
        <v>16251.71</v>
      </c>
      <c r="BJ129" s="2">
        <v>325.02999999999997</v>
      </c>
      <c r="BK129" s="5">
        <v>0</v>
      </c>
      <c r="BL129" s="1" t="s">
        <v>90</v>
      </c>
    </row>
    <row r="130" spans="1:64" x14ac:dyDescent="0.3">
      <c r="A130" t="s">
        <v>174</v>
      </c>
      <c r="B130" s="1" t="s">
        <v>174</v>
      </c>
      <c r="C130" s="9" t="s">
        <v>175</v>
      </c>
      <c r="D130" s="1" t="s">
        <v>44</v>
      </c>
      <c r="E130" s="1" t="s">
        <v>88</v>
      </c>
      <c r="F130" s="10" t="s">
        <v>104</v>
      </c>
      <c r="G130" s="1">
        <v>2.5000000000000001E-2</v>
      </c>
      <c r="H130" s="1">
        <v>0.02</v>
      </c>
      <c r="I130" s="8">
        <v>44051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584693</v>
      </c>
      <c r="AJ130" s="2">
        <v>153868.75</v>
      </c>
      <c r="AK130" s="2">
        <v>10440.950000000001</v>
      </c>
      <c r="AL130" s="2">
        <v>2747.66</v>
      </c>
      <c r="AM130" s="5">
        <v>6594.3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22156.86</v>
      </c>
      <c r="AT130" s="12">
        <v>19782.91</v>
      </c>
      <c r="AU130" s="2">
        <v>395.66</v>
      </c>
      <c r="AV130" s="5">
        <v>0</v>
      </c>
      <c r="AX130" s="2">
        <v>584693</v>
      </c>
      <c r="AY130" s="2">
        <v>153868.75</v>
      </c>
      <c r="AZ130" s="2">
        <v>10440.950000000001</v>
      </c>
      <c r="BA130" s="2">
        <v>2747.66</v>
      </c>
      <c r="BB130" s="5">
        <v>6594.3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22156.86</v>
      </c>
      <c r="BI130" s="12">
        <v>19782.91</v>
      </c>
      <c r="BJ130" s="2">
        <v>395.66</v>
      </c>
      <c r="BL130" s="1" t="s">
        <v>90</v>
      </c>
    </row>
    <row r="131" spans="1:64" x14ac:dyDescent="0.3">
      <c r="A131" t="s">
        <v>176</v>
      </c>
      <c r="B131" s="1" t="s">
        <v>176</v>
      </c>
      <c r="C131" s="9" t="s">
        <v>177</v>
      </c>
      <c r="D131" s="1" t="s">
        <v>44</v>
      </c>
      <c r="E131" s="1" t="s">
        <v>88</v>
      </c>
      <c r="F131" s="10" t="s">
        <v>178</v>
      </c>
      <c r="G131" s="1">
        <v>2.5000000000000001E-2</v>
      </c>
      <c r="H131" s="1">
        <v>0.02</v>
      </c>
      <c r="I131" s="8">
        <v>44358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506334.08</v>
      </c>
      <c r="AJ131" s="2">
        <v>98633.97</v>
      </c>
      <c r="AK131" s="2">
        <v>9041.68</v>
      </c>
      <c r="AL131" s="2">
        <v>1761.32</v>
      </c>
      <c r="AM131" s="5">
        <v>5401.5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18149.04</v>
      </c>
      <c r="AT131" s="12">
        <v>16204.5</v>
      </c>
      <c r="AU131" s="2">
        <v>324.08999999999997</v>
      </c>
      <c r="AV131" s="5">
        <v>0</v>
      </c>
      <c r="AX131" s="2">
        <v>506334.08</v>
      </c>
      <c r="AY131" s="2">
        <v>98633.97</v>
      </c>
      <c r="AZ131" s="2">
        <v>9041.68</v>
      </c>
      <c r="BA131" s="2">
        <v>1761.32</v>
      </c>
      <c r="BB131" s="5">
        <v>5401.5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18149.04</v>
      </c>
      <c r="BI131" s="12">
        <v>16204.5</v>
      </c>
      <c r="BJ131" s="2">
        <v>324.08999999999997</v>
      </c>
      <c r="BL131" s="1" t="s">
        <v>90</v>
      </c>
    </row>
    <row r="132" spans="1:64" x14ac:dyDescent="0.3">
      <c r="A132" t="s">
        <v>179</v>
      </c>
      <c r="B132" s="1" t="s">
        <v>179</v>
      </c>
      <c r="C132" s="9" t="s">
        <v>180</v>
      </c>
      <c r="D132" s="1" t="s">
        <v>44</v>
      </c>
      <c r="E132" s="1" t="s">
        <v>88</v>
      </c>
      <c r="F132" s="10" t="s">
        <v>181</v>
      </c>
      <c r="G132" s="1">
        <v>2.5000000000000001E-2</v>
      </c>
      <c r="H132" s="1">
        <v>0.02</v>
      </c>
      <c r="I132" s="8">
        <v>45657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561775.25</v>
      </c>
      <c r="AJ132" s="2">
        <v>211818</v>
      </c>
      <c r="AK132" s="2">
        <v>10031.69</v>
      </c>
      <c r="AL132" s="2">
        <v>3782.46</v>
      </c>
      <c r="AM132" s="5">
        <v>6907.0700000000006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23207.77</v>
      </c>
      <c r="AT132" s="12">
        <v>20721.22</v>
      </c>
      <c r="AU132" s="2">
        <v>414.42</v>
      </c>
      <c r="AV132" s="5">
        <v>0</v>
      </c>
      <c r="AX132" s="2">
        <v>561775.25</v>
      </c>
      <c r="AY132" s="2">
        <v>211818</v>
      </c>
      <c r="AZ132" s="2">
        <v>10031.69</v>
      </c>
      <c r="BA132" s="2">
        <v>3782.46</v>
      </c>
      <c r="BB132" s="5">
        <v>6907.0700000000006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23207.77</v>
      </c>
      <c r="BI132" s="12">
        <v>20721.22</v>
      </c>
      <c r="BJ132" s="2">
        <v>414.42</v>
      </c>
      <c r="BK132" s="5">
        <v>0</v>
      </c>
      <c r="BL132" s="1" t="s">
        <v>90</v>
      </c>
    </row>
    <row r="133" spans="1:64" x14ac:dyDescent="0.3">
      <c r="A133" t="s">
        <v>186</v>
      </c>
      <c r="B133" s="1" t="s">
        <v>186</v>
      </c>
      <c r="C133" s="9" t="s">
        <v>187</v>
      </c>
      <c r="D133" s="1" t="s">
        <v>44</v>
      </c>
      <c r="E133" s="1" t="s">
        <v>88</v>
      </c>
      <c r="F133" s="10" t="s">
        <v>188</v>
      </c>
      <c r="G133" s="1">
        <v>2.5000000000000001E-2</v>
      </c>
      <c r="H133" s="1">
        <v>0.02</v>
      </c>
      <c r="I133" s="8">
        <v>44396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690102.66999999993</v>
      </c>
      <c r="AJ133" s="2">
        <v>147713.5</v>
      </c>
      <c r="AK133" s="2">
        <v>12323.26</v>
      </c>
      <c r="AL133" s="2">
        <v>2637.75</v>
      </c>
      <c r="AM133" s="5">
        <v>7480.51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25134.5</v>
      </c>
      <c r="AT133" s="12">
        <v>22441.52</v>
      </c>
      <c r="AU133" s="2">
        <v>448.83000000000004</v>
      </c>
      <c r="AV133" s="5">
        <v>0</v>
      </c>
      <c r="AX133" s="2">
        <v>690102.66999999993</v>
      </c>
      <c r="AY133" s="2">
        <v>147713.5</v>
      </c>
      <c r="AZ133" s="2">
        <v>12323.26</v>
      </c>
      <c r="BA133" s="2">
        <v>2637.75</v>
      </c>
      <c r="BB133" s="5">
        <v>7480.51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25134.5</v>
      </c>
      <c r="BI133" s="12">
        <v>22441.52</v>
      </c>
      <c r="BJ133" s="2">
        <v>448.83000000000004</v>
      </c>
      <c r="BK133" s="5">
        <v>0</v>
      </c>
      <c r="BL133" s="1" t="s">
        <v>90</v>
      </c>
    </row>
    <row r="134" spans="1:64" x14ac:dyDescent="0.3">
      <c r="A134" t="s">
        <v>204</v>
      </c>
      <c r="B134" s="1" t="s">
        <v>204</v>
      </c>
      <c r="C134" s="9" t="s">
        <v>205</v>
      </c>
      <c r="D134" s="1" t="s">
        <v>44</v>
      </c>
      <c r="E134" s="1" t="s">
        <v>88</v>
      </c>
      <c r="F134" s="10" t="s">
        <v>181</v>
      </c>
      <c r="G134" s="1">
        <v>2.5000000000000001E-2</v>
      </c>
      <c r="H134" s="1">
        <v>0.02</v>
      </c>
      <c r="I134" s="8">
        <v>45657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690511.8</v>
      </c>
      <c r="AJ134" s="2">
        <v>184692</v>
      </c>
      <c r="AK134" s="2">
        <v>12330.57</v>
      </c>
      <c r="AL134" s="2">
        <v>3298.08</v>
      </c>
      <c r="AM134" s="5">
        <v>7814.32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26256.13</v>
      </c>
      <c r="AT134" s="12">
        <v>23442.97</v>
      </c>
      <c r="AU134" s="2">
        <v>468.86</v>
      </c>
      <c r="AV134" s="5">
        <v>0</v>
      </c>
      <c r="AX134" s="2">
        <v>690511.8</v>
      </c>
      <c r="AY134" s="2">
        <v>184692</v>
      </c>
      <c r="AZ134" s="2">
        <v>12330.57</v>
      </c>
      <c r="BA134" s="2">
        <v>3298.08</v>
      </c>
      <c r="BB134" s="5">
        <v>7814.32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26256.13</v>
      </c>
      <c r="BI134" s="12">
        <v>23442.97</v>
      </c>
      <c r="BJ134" s="2">
        <v>468.86</v>
      </c>
      <c r="BK134" s="5">
        <v>0</v>
      </c>
      <c r="BL134" s="1" t="s">
        <v>90</v>
      </c>
    </row>
    <row r="135" spans="1:64" x14ac:dyDescent="0.3">
      <c r="A135" t="s">
        <v>208</v>
      </c>
      <c r="B135" s="1" t="s">
        <v>208</v>
      </c>
      <c r="C135" s="9" t="s">
        <v>209</v>
      </c>
      <c r="D135" s="1" t="s">
        <v>44</v>
      </c>
      <c r="E135" s="1" t="s">
        <v>88</v>
      </c>
      <c r="F135" s="10" t="s">
        <v>181</v>
      </c>
      <c r="G135" s="1">
        <v>2.5000000000000001E-2</v>
      </c>
      <c r="H135" s="1">
        <v>0.02</v>
      </c>
      <c r="I135" s="8">
        <v>45752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562197.15</v>
      </c>
      <c r="AJ135" s="2">
        <v>155127</v>
      </c>
      <c r="AK135" s="2">
        <v>10319.27</v>
      </c>
      <c r="AL135" s="2">
        <v>2841.77</v>
      </c>
      <c r="AM135" s="5">
        <v>6404.6799999999994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21913.61</v>
      </c>
      <c r="AT135" s="12">
        <v>19565.72</v>
      </c>
      <c r="AU135" s="2">
        <v>391.30999999999995</v>
      </c>
      <c r="AV135" s="5">
        <v>0</v>
      </c>
      <c r="AX135" s="2">
        <v>562197.15</v>
      </c>
      <c r="AY135" s="2">
        <v>155127</v>
      </c>
      <c r="AZ135" s="2">
        <v>10319.27</v>
      </c>
      <c r="BA135" s="2">
        <v>2841.77</v>
      </c>
      <c r="BB135" s="5">
        <v>6404.6799999999994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21913.61</v>
      </c>
      <c r="BI135" s="12">
        <v>19565.72</v>
      </c>
      <c r="BJ135" s="2">
        <v>391.30999999999995</v>
      </c>
      <c r="BK135" s="5">
        <v>0</v>
      </c>
      <c r="BL135" s="1" t="s">
        <v>90</v>
      </c>
    </row>
    <row r="136" spans="1:64" x14ac:dyDescent="0.3">
      <c r="A136" t="s">
        <v>214</v>
      </c>
      <c r="B136" s="1" t="s">
        <v>214</v>
      </c>
      <c r="C136" s="9" t="s">
        <v>215</v>
      </c>
      <c r="D136" s="1" t="s">
        <v>44</v>
      </c>
      <c r="E136" s="1" t="s">
        <v>88</v>
      </c>
      <c r="F136" s="10" t="s">
        <v>104</v>
      </c>
      <c r="G136" s="1">
        <v>2.5000000000000001E-2</v>
      </c>
      <c r="H136" s="1">
        <v>0.02</v>
      </c>
      <c r="I136" s="8">
        <v>44009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590822</v>
      </c>
      <c r="AJ136" s="2">
        <v>165050</v>
      </c>
      <c r="AK136" s="2">
        <v>10550.39</v>
      </c>
      <c r="AL136" s="2">
        <v>2947.32</v>
      </c>
      <c r="AM136" s="5">
        <v>6748.86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22676.16</v>
      </c>
      <c r="AT136" s="12">
        <v>20246.57</v>
      </c>
      <c r="AU136" s="2">
        <v>404.93</v>
      </c>
      <c r="AV136" s="5">
        <v>0</v>
      </c>
      <c r="AX136" s="2">
        <v>590822</v>
      </c>
      <c r="AY136" s="2">
        <v>165050</v>
      </c>
      <c r="AZ136" s="2">
        <v>10550.39</v>
      </c>
      <c r="BA136" s="2">
        <v>2947.32</v>
      </c>
      <c r="BB136" s="5">
        <v>6748.86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22676.16</v>
      </c>
      <c r="BI136" s="12">
        <v>20246.57</v>
      </c>
      <c r="BJ136" s="2">
        <v>404.93</v>
      </c>
      <c r="BL136" s="1" t="s">
        <v>90</v>
      </c>
    </row>
    <row r="137" spans="1:64" x14ac:dyDescent="0.3">
      <c r="A137" t="s">
        <v>229</v>
      </c>
      <c r="B137" s="1" t="s">
        <v>229</v>
      </c>
      <c r="C137" s="9" t="s">
        <v>230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688493.75000000012</v>
      </c>
      <c r="AJ137" s="2">
        <v>154765</v>
      </c>
      <c r="AK137" s="2">
        <v>12294.54</v>
      </c>
      <c r="AL137" s="2">
        <v>2763.66</v>
      </c>
      <c r="AM137" s="5">
        <v>7529.1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25297.78</v>
      </c>
      <c r="AT137" s="12">
        <v>22587.300000000003</v>
      </c>
      <c r="AU137" s="2">
        <v>451.75</v>
      </c>
      <c r="AV137" s="5">
        <v>0</v>
      </c>
      <c r="AX137" s="2">
        <v>688493.75000000012</v>
      </c>
      <c r="AY137" s="2">
        <v>154765</v>
      </c>
      <c r="AZ137" s="2">
        <v>12294.54</v>
      </c>
      <c r="BA137" s="2">
        <v>2763.66</v>
      </c>
      <c r="BB137" s="5">
        <v>7529.1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25297.78</v>
      </c>
      <c r="BI137" s="12">
        <v>22587.300000000003</v>
      </c>
      <c r="BJ137" s="2">
        <v>451.75</v>
      </c>
      <c r="BL137" s="1" t="s">
        <v>90</v>
      </c>
    </row>
    <row r="138" spans="1:64" x14ac:dyDescent="0.3">
      <c r="A138" t="s">
        <v>231</v>
      </c>
      <c r="B138" s="1" t="s">
        <v>231</v>
      </c>
      <c r="C138" s="9" t="s">
        <v>232</v>
      </c>
      <c r="D138" s="1" t="s">
        <v>44</v>
      </c>
      <c r="E138" s="1" t="s">
        <v>88</v>
      </c>
      <c r="F138" s="10" t="s">
        <v>188</v>
      </c>
      <c r="G138" s="1">
        <v>2.5000000000000001E-2</v>
      </c>
      <c r="H138" s="1">
        <v>0.02</v>
      </c>
      <c r="I138" s="8">
        <v>45657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707584.81</v>
      </c>
      <c r="AJ138" s="2">
        <v>222189.41000000003</v>
      </c>
      <c r="AK138" s="2">
        <v>12635.45</v>
      </c>
      <c r="AL138" s="2">
        <v>3967.67</v>
      </c>
      <c r="AM138" s="5">
        <v>8301.5499999999993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27893.23</v>
      </c>
      <c r="AT138" s="12">
        <v>24904.670000000002</v>
      </c>
      <c r="AU138" s="2">
        <v>498.09</v>
      </c>
      <c r="AV138" s="5">
        <v>0</v>
      </c>
      <c r="AX138" s="2">
        <v>707584.81</v>
      </c>
      <c r="AY138" s="2">
        <v>222189.41000000003</v>
      </c>
      <c r="AZ138" s="2">
        <v>12635.45</v>
      </c>
      <c r="BA138" s="2">
        <v>3967.67</v>
      </c>
      <c r="BB138" s="5">
        <v>8301.5499999999993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27893.23</v>
      </c>
      <c r="BI138" s="12">
        <v>24904.670000000002</v>
      </c>
      <c r="BJ138" s="2">
        <v>498.09</v>
      </c>
      <c r="BL138" s="1" t="s">
        <v>90</v>
      </c>
    </row>
    <row r="139" spans="1:64" x14ac:dyDescent="0.3">
      <c r="A139" t="s">
        <v>233</v>
      </c>
      <c r="B139" s="1" t="s">
        <v>233</v>
      </c>
      <c r="C139" s="9" t="s">
        <v>234</v>
      </c>
      <c r="D139" s="1" t="s">
        <v>44</v>
      </c>
      <c r="E139" s="1" t="s">
        <v>88</v>
      </c>
      <c r="F139" s="10" t="s">
        <v>101</v>
      </c>
      <c r="G139" s="1">
        <v>2.5000000000000001E-2</v>
      </c>
      <c r="H139" s="1">
        <v>0.02</v>
      </c>
      <c r="I139" s="8">
        <v>44204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418567</v>
      </c>
      <c r="AJ139" s="2">
        <v>66592</v>
      </c>
      <c r="AK139" s="2">
        <v>7474.41</v>
      </c>
      <c r="AL139" s="2">
        <v>1189.1400000000001</v>
      </c>
      <c r="AM139" s="5">
        <v>4331.78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14554.77</v>
      </c>
      <c r="AT139" s="12">
        <v>12995.329999999998</v>
      </c>
      <c r="AU139" s="2">
        <v>259.91000000000003</v>
      </c>
      <c r="AV139" s="5">
        <v>0</v>
      </c>
      <c r="AX139" s="2">
        <v>418567</v>
      </c>
      <c r="AY139" s="2">
        <v>66592</v>
      </c>
      <c r="AZ139" s="2">
        <v>7474.41</v>
      </c>
      <c r="BA139" s="2">
        <v>1189.1400000000001</v>
      </c>
      <c r="BB139" s="5">
        <v>4331.78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14554.77</v>
      </c>
      <c r="BI139" s="12">
        <v>12995.329999999998</v>
      </c>
      <c r="BJ139" s="2">
        <v>259.91000000000003</v>
      </c>
      <c r="BL139" s="1" t="s">
        <v>90</v>
      </c>
    </row>
    <row r="140" spans="1:64" x14ac:dyDescent="0.3">
      <c r="A140" t="s">
        <v>235</v>
      </c>
      <c r="B140" s="1" t="s">
        <v>235</v>
      </c>
      <c r="C140" s="9" t="s">
        <v>236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44009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239293.2</v>
      </c>
      <c r="AJ140" s="2">
        <v>173480</v>
      </c>
      <c r="AK140" s="2">
        <v>4273.09</v>
      </c>
      <c r="AL140" s="2">
        <v>3097.86</v>
      </c>
      <c r="AM140" s="5">
        <v>3685.47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12383.19</v>
      </c>
      <c r="AT140" s="12">
        <v>11056.42</v>
      </c>
      <c r="AU140" s="2">
        <v>221.13</v>
      </c>
      <c r="AV140" s="5">
        <v>0</v>
      </c>
      <c r="AX140" s="2">
        <v>239293.2</v>
      </c>
      <c r="AY140" s="2">
        <v>173480</v>
      </c>
      <c r="AZ140" s="2">
        <v>4273.09</v>
      </c>
      <c r="BA140" s="2">
        <v>3097.86</v>
      </c>
      <c r="BB140" s="5">
        <v>3685.47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12383.19</v>
      </c>
      <c r="BI140" s="12">
        <v>11056.42</v>
      </c>
      <c r="BJ140" s="2">
        <v>221.13</v>
      </c>
      <c r="BL140" s="1" t="s">
        <v>90</v>
      </c>
    </row>
    <row r="141" spans="1:64" x14ac:dyDescent="0.3">
      <c r="A141" t="s">
        <v>247</v>
      </c>
      <c r="B141" s="1" t="s">
        <v>247</v>
      </c>
      <c r="C141" s="9" t="s">
        <v>248</v>
      </c>
      <c r="D141" s="1" t="s">
        <v>44</v>
      </c>
      <c r="E141" s="1" t="s">
        <v>88</v>
      </c>
      <c r="F141" s="10" t="s">
        <v>114</v>
      </c>
      <c r="G141" s="1">
        <v>2.5000000000000001E-2</v>
      </c>
      <c r="H141" s="1">
        <v>0.02</v>
      </c>
      <c r="I141" s="8">
        <v>45657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600128.78</v>
      </c>
      <c r="AJ141" s="2">
        <v>141990.66</v>
      </c>
      <c r="AK141" s="2">
        <v>10716.59</v>
      </c>
      <c r="AL141" s="2">
        <v>2535.54</v>
      </c>
      <c r="AM141" s="5">
        <v>6626.06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22263.57</v>
      </c>
      <c r="AT141" s="12">
        <v>19878.190000000002</v>
      </c>
      <c r="AU141" s="2">
        <v>397.56</v>
      </c>
      <c r="AV141" s="5">
        <v>0</v>
      </c>
      <c r="AX141" s="2">
        <v>600128.78</v>
      </c>
      <c r="AY141" s="2">
        <v>141990.66</v>
      </c>
      <c r="AZ141" s="2">
        <v>10716.59</v>
      </c>
      <c r="BA141" s="2">
        <v>2535.54</v>
      </c>
      <c r="BB141" s="5">
        <v>6626.06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22263.57</v>
      </c>
      <c r="BI141" s="12">
        <v>19878.190000000002</v>
      </c>
      <c r="BJ141" s="2">
        <v>397.56</v>
      </c>
      <c r="BL141" s="1" t="s">
        <v>90</v>
      </c>
    </row>
    <row r="142" spans="1:64" x14ac:dyDescent="0.3">
      <c r="A142" t="s">
        <v>253</v>
      </c>
      <c r="B142" s="1" t="s">
        <v>253</v>
      </c>
      <c r="C142" s="9" t="s">
        <v>254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534136</v>
      </c>
      <c r="AJ142" s="2">
        <v>98312</v>
      </c>
      <c r="AK142" s="2">
        <v>9538.14</v>
      </c>
      <c r="AL142" s="2">
        <v>1755.57</v>
      </c>
      <c r="AM142" s="5">
        <v>5646.86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18973.439999999999</v>
      </c>
      <c r="AT142" s="12">
        <v>16940.57</v>
      </c>
      <c r="AU142" s="2">
        <v>338.81</v>
      </c>
      <c r="AV142" s="5">
        <v>0</v>
      </c>
      <c r="AX142" s="2">
        <v>534136</v>
      </c>
      <c r="AY142" s="2">
        <v>98312</v>
      </c>
      <c r="AZ142" s="2">
        <v>9538.14</v>
      </c>
      <c r="BA142" s="2">
        <v>1755.57</v>
      </c>
      <c r="BB142" s="5">
        <v>5646.86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18973.439999999999</v>
      </c>
      <c r="BI142" s="12">
        <v>16940.57</v>
      </c>
      <c r="BJ142" s="2">
        <v>338.81</v>
      </c>
      <c r="BL142" s="1" t="s">
        <v>90</v>
      </c>
    </row>
    <row r="143" spans="1:64" x14ac:dyDescent="0.3">
      <c r="A143" t="s">
        <v>270</v>
      </c>
      <c r="B143" s="1" t="s">
        <v>270</v>
      </c>
      <c r="C143" s="9" t="s">
        <v>271</v>
      </c>
      <c r="D143" s="1" t="s">
        <v>44</v>
      </c>
      <c r="E143" s="1" t="s">
        <v>88</v>
      </c>
      <c r="F143" s="10" t="s">
        <v>104</v>
      </c>
      <c r="G143" s="1">
        <v>2.5000000000000001E-2</v>
      </c>
      <c r="H143" s="1">
        <v>0.02</v>
      </c>
      <c r="I143" s="8">
        <v>45585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421276</v>
      </c>
      <c r="AJ143" s="2">
        <v>136211</v>
      </c>
      <c r="AK143" s="2">
        <v>7522.79</v>
      </c>
      <c r="AL143" s="2">
        <v>2432.34</v>
      </c>
      <c r="AM143" s="5">
        <v>4977.5600000000004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16724.61</v>
      </c>
      <c r="AT143" s="12">
        <v>14932.690000000002</v>
      </c>
      <c r="AU143" s="2">
        <v>298.64999999999998</v>
      </c>
      <c r="AV143" s="5">
        <v>0</v>
      </c>
      <c r="AX143" s="2">
        <v>421276</v>
      </c>
      <c r="AY143" s="2">
        <v>136211</v>
      </c>
      <c r="AZ143" s="2">
        <v>7522.79</v>
      </c>
      <c r="BA143" s="2">
        <v>2432.34</v>
      </c>
      <c r="BB143" s="5">
        <v>4977.5600000000004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16724.61</v>
      </c>
      <c r="BI143" s="12">
        <v>14932.690000000002</v>
      </c>
      <c r="BJ143" s="2">
        <v>298.64999999999998</v>
      </c>
      <c r="BL143" s="1" t="s">
        <v>90</v>
      </c>
    </row>
    <row r="144" spans="1:64" x14ac:dyDescent="0.3">
      <c r="A144" t="s">
        <v>272</v>
      </c>
      <c r="B144" s="1" t="s">
        <v>272</v>
      </c>
      <c r="C144" s="9" t="s">
        <v>273</v>
      </c>
      <c r="D144" s="1" t="s">
        <v>44</v>
      </c>
      <c r="E144" s="1" t="s">
        <v>88</v>
      </c>
      <c r="F144" s="10" t="s">
        <v>101</v>
      </c>
      <c r="G144" s="1">
        <v>2.5000000000000001E-2</v>
      </c>
      <c r="H144" s="1">
        <v>0.02</v>
      </c>
      <c r="I144" s="8">
        <v>44416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325750.5</v>
      </c>
      <c r="AJ144" s="2">
        <v>99924.75</v>
      </c>
      <c r="AK144" s="2">
        <v>5816.97</v>
      </c>
      <c r="AL144" s="2">
        <v>1784.37</v>
      </c>
      <c r="AM144" s="5">
        <v>3800.67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12770.25</v>
      </c>
      <c r="AT144" s="12">
        <v>11402.01</v>
      </c>
      <c r="AU144" s="2">
        <v>228.04</v>
      </c>
      <c r="AV144" s="5">
        <v>0</v>
      </c>
      <c r="AX144" s="2">
        <v>325750.5</v>
      </c>
      <c r="AY144" s="2">
        <v>99924.75</v>
      </c>
      <c r="AZ144" s="2">
        <v>5816.97</v>
      </c>
      <c r="BA144" s="2">
        <v>1784.37</v>
      </c>
      <c r="BB144" s="5">
        <v>3800.67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12770.25</v>
      </c>
      <c r="BI144" s="12">
        <v>11402.01</v>
      </c>
      <c r="BJ144" s="2">
        <v>228.04</v>
      </c>
      <c r="BL144" s="1" t="s">
        <v>90</v>
      </c>
    </row>
    <row r="145" spans="1:64" x14ac:dyDescent="0.3">
      <c r="A145" t="s">
        <v>280</v>
      </c>
      <c r="B145" s="1" t="s">
        <v>280</v>
      </c>
      <c r="C145" s="9" t="s">
        <v>281</v>
      </c>
      <c r="D145" s="1" t="s">
        <v>44</v>
      </c>
      <c r="E145" s="1" t="s">
        <v>88</v>
      </c>
      <c r="F145" s="10" t="s">
        <v>188</v>
      </c>
      <c r="G145" s="1">
        <v>2.5000000000000001E-2</v>
      </c>
      <c r="H145" s="1">
        <v>0.02</v>
      </c>
      <c r="I145" s="8">
        <v>45657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776203.63</v>
      </c>
      <c r="AJ145" s="2">
        <v>177157.52000000002</v>
      </c>
      <c r="AK145" s="2">
        <v>13860.78</v>
      </c>
      <c r="AL145" s="2">
        <v>3163.53</v>
      </c>
      <c r="AM145" s="5">
        <v>8512.15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28600.84</v>
      </c>
      <c r="AT145" s="12">
        <v>25536.46</v>
      </c>
      <c r="AU145" s="2">
        <v>510.73</v>
      </c>
      <c r="AV145" s="5">
        <v>0</v>
      </c>
      <c r="AX145" s="2">
        <v>776203.63</v>
      </c>
      <c r="AY145" s="2">
        <v>177157.52000000002</v>
      </c>
      <c r="AZ145" s="2">
        <v>13860.78</v>
      </c>
      <c r="BA145" s="2">
        <v>3163.53</v>
      </c>
      <c r="BB145" s="5">
        <v>8512.15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28600.84</v>
      </c>
      <c r="BI145" s="12">
        <v>25536.46</v>
      </c>
      <c r="BJ145" s="2">
        <v>510.73</v>
      </c>
      <c r="BL145" s="1" t="s">
        <v>90</v>
      </c>
    </row>
    <row r="146" spans="1:64" x14ac:dyDescent="0.3">
      <c r="A146" t="s">
        <v>288</v>
      </c>
      <c r="B146" s="1" t="s">
        <v>288</v>
      </c>
      <c r="C146" s="9" t="s">
        <v>289</v>
      </c>
      <c r="D146" s="1" t="s">
        <v>44</v>
      </c>
      <c r="E146" s="1" t="s">
        <v>88</v>
      </c>
      <c r="F146" s="10" t="s">
        <v>114</v>
      </c>
      <c r="G146" s="1">
        <v>2.5000000000000001E-2</v>
      </c>
      <c r="H146" s="1">
        <v>0.02</v>
      </c>
      <c r="I146" s="8">
        <v>45657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382259</v>
      </c>
      <c r="AJ146" s="2">
        <v>53362</v>
      </c>
      <c r="AK146" s="2">
        <v>6826.05</v>
      </c>
      <c r="AL146" s="2">
        <v>952.89</v>
      </c>
      <c r="AM146" s="5">
        <v>3889.47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13068.62</v>
      </c>
      <c r="AT146" s="12">
        <v>11668.41</v>
      </c>
      <c r="AU146" s="2">
        <v>233.37</v>
      </c>
      <c r="AV146" s="5">
        <v>0</v>
      </c>
      <c r="AX146" s="2">
        <v>382259</v>
      </c>
      <c r="AY146" s="2">
        <v>53362</v>
      </c>
      <c r="AZ146" s="2">
        <v>6826.05</v>
      </c>
      <c r="BA146" s="2">
        <v>952.89</v>
      </c>
      <c r="BB146" s="5">
        <v>3889.47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13068.62</v>
      </c>
      <c r="BI146" s="12">
        <v>11668.41</v>
      </c>
      <c r="BJ146" s="2">
        <v>233.37</v>
      </c>
      <c r="BL146" s="1" t="s">
        <v>90</v>
      </c>
    </row>
    <row r="147" spans="1:64" x14ac:dyDescent="0.3">
      <c r="A147" t="s">
        <v>290</v>
      </c>
      <c r="B147" s="1" t="s">
        <v>290</v>
      </c>
      <c r="C147" s="9" t="s">
        <v>291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44487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391689.95</v>
      </c>
      <c r="AJ147" s="2">
        <v>90521</v>
      </c>
      <c r="AK147" s="2">
        <v>6994.46</v>
      </c>
      <c r="AL147" s="2">
        <v>1616.45</v>
      </c>
      <c r="AM147" s="5">
        <v>4305.46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14466.33</v>
      </c>
      <c r="AT147" s="12">
        <v>12916.369999999999</v>
      </c>
      <c r="AU147" s="2">
        <v>258.33</v>
      </c>
      <c r="AV147" s="5">
        <v>0</v>
      </c>
      <c r="AX147" s="2">
        <v>391689.95</v>
      </c>
      <c r="AY147" s="2">
        <v>90521</v>
      </c>
      <c r="AZ147" s="2">
        <v>6994.46</v>
      </c>
      <c r="BA147" s="2">
        <v>1616.45</v>
      </c>
      <c r="BB147" s="5">
        <v>4305.46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14466.33</v>
      </c>
      <c r="BI147" s="12">
        <v>12916.369999999999</v>
      </c>
      <c r="BJ147" s="2">
        <v>258.33</v>
      </c>
      <c r="BL147" s="1" t="s">
        <v>90</v>
      </c>
    </row>
    <row r="148" spans="1:64" x14ac:dyDescent="0.3">
      <c r="A148" t="s">
        <v>312</v>
      </c>
      <c r="B148" s="1" t="s">
        <v>312</v>
      </c>
      <c r="C148" s="9" t="s">
        <v>313</v>
      </c>
      <c r="D148" s="1" t="s">
        <v>44</v>
      </c>
      <c r="E148" s="1" t="s">
        <v>88</v>
      </c>
      <c r="F148" s="10" t="s">
        <v>178</v>
      </c>
      <c r="G148" s="1">
        <v>2.5000000000000001E-2</v>
      </c>
      <c r="H148" s="1">
        <v>0.02</v>
      </c>
      <c r="I148" s="8">
        <v>44068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247151</v>
      </c>
      <c r="AJ148" s="2">
        <v>65736</v>
      </c>
      <c r="AK148" s="2">
        <v>4413.41</v>
      </c>
      <c r="AL148" s="2">
        <v>1173.8599999999999</v>
      </c>
      <c r="AM148" s="5">
        <v>2793.63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9386.61</v>
      </c>
      <c r="AT148" s="12">
        <v>8380.9</v>
      </c>
      <c r="AU148" s="2">
        <v>167.62</v>
      </c>
      <c r="AV148" s="5">
        <v>0</v>
      </c>
      <c r="AX148" s="2">
        <v>247151</v>
      </c>
      <c r="AY148" s="2">
        <v>65736</v>
      </c>
      <c r="AZ148" s="2">
        <v>4413.41</v>
      </c>
      <c r="BA148" s="2">
        <v>1173.8599999999999</v>
      </c>
      <c r="BB148" s="5">
        <v>2793.63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9386.61</v>
      </c>
      <c r="BI148" s="12">
        <v>8380.9</v>
      </c>
      <c r="BJ148" s="2">
        <v>167.62</v>
      </c>
      <c r="BL148" s="1" t="s">
        <v>90</v>
      </c>
    </row>
    <row r="149" spans="1:64" x14ac:dyDescent="0.3">
      <c r="A149" t="s">
        <v>319</v>
      </c>
      <c r="B149" s="1" t="s">
        <v>319</v>
      </c>
      <c r="C149" s="9" t="s">
        <v>320</v>
      </c>
      <c r="D149" s="1" t="s">
        <v>44</v>
      </c>
      <c r="E149" s="1" t="s">
        <v>88</v>
      </c>
      <c r="F149" s="10" t="s">
        <v>188</v>
      </c>
      <c r="G149" s="1">
        <v>2.5000000000000001E-2</v>
      </c>
      <c r="H149" s="1">
        <v>0.02</v>
      </c>
      <c r="I149" s="8">
        <v>45657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1006260.4700000001</v>
      </c>
      <c r="AJ149" s="2">
        <v>190696.29</v>
      </c>
      <c r="AK149" s="2">
        <v>17968.93</v>
      </c>
      <c r="AL149" s="2">
        <v>3405.29</v>
      </c>
      <c r="AM149" s="5">
        <v>10687.12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35908.699999999997</v>
      </c>
      <c r="AT149" s="12">
        <v>32061.34</v>
      </c>
      <c r="AU149" s="2">
        <v>641.23</v>
      </c>
      <c r="AV149" s="5">
        <v>0</v>
      </c>
      <c r="AX149" s="2">
        <v>1006260.4700000001</v>
      </c>
      <c r="AY149" s="2">
        <v>190696.29</v>
      </c>
      <c r="AZ149" s="2">
        <v>17968.93</v>
      </c>
      <c r="BA149" s="2">
        <v>3405.29</v>
      </c>
      <c r="BB149" s="5">
        <v>10687.12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35908.699999999997</v>
      </c>
      <c r="BI149" s="12">
        <v>32061.34</v>
      </c>
      <c r="BJ149" s="2">
        <v>641.23</v>
      </c>
      <c r="BK149" s="5">
        <v>0</v>
      </c>
      <c r="BL149" s="1" t="s">
        <v>90</v>
      </c>
    </row>
    <row r="150" spans="1:64" x14ac:dyDescent="0.3">
      <c r="A150" t="s">
        <v>327</v>
      </c>
      <c r="B150" s="1" t="s">
        <v>327</v>
      </c>
      <c r="C150" s="9" t="s">
        <v>328</v>
      </c>
      <c r="D150" s="1" t="s">
        <v>44</v>
      </c>
      <c r="E150" s="1" t="s">
        <v>88</v>
      </c>
      <c r="F150" s="10" t="s">
        <v>178</v>
      </c>
      <c r="G150" s="1">
        <v>2.5000000000000001E-2</v>
      </c>
      <c r="H150" s="1">
        <v>0.02</v>
      </c>
      <c r="I150" s="8">
        <v>44499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369056.69</v>
      </c>
      <c r="AJ150" s="2">
        <v>108115.41</v>
      </c>
      <c r="AK150" s="2">
        <v>6590.29</v>
      </c>
      <c r="AL150" s="2">
        <v>1930.63</v>
      </c>
      <c r="AM150" s="5">
        <v>4260.46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14315.15</v>
      </c>
      <c r="AT150" s="12">
        <v>12781.380000000001</v>
      </c>
      <c r="AU150" s="2">
        <v>255.63</v>
      </c>
      <c r="AV150" s="5">
        <v>0</v>
      </c>
      <c r="AX150" s="2">
        <v>369056.69</v>
      </c>
      <c r="AY150" s="2">
        <v>108115.41</v>
      </c>
      <c r="AZ150" s="2">
        <v>6590.29</v>
      </c>
      <c r="BA150" s="2">
        <v>1930.63</v>
      </c>
      <c r="BB150" s="5">
        <v>4260.46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14315.15</v>
      </c>
      <c r="BI150" s="12">
        <v>12781.380000000001</v>
      </c>
      <c r="BJ150" s="2">
        <v>255.63</v>
      </c>
      <c r="BL150" s="1" t="s">
        <v>90</v>
      </c>
    </row>
    <row r="151" spans="1:64" x14ac:dyDescent="0.3">
      <c r="A151" t="s">
        <v>334</v>
      </c>
      <c r="B151" s="1" t="s">
        <v>334</v>
      </c>
      <c r="C151" s="9" t="s">
        <v>335</v>
      </c>
      <c r="D151" s="1" t="s">
        <v>44</v>
      </c>
      <c r="E151" s="1" t="s">
        <v>88</v>
      </c>
      <c r="F151" s="10" t="s">
        <v>188</v>
      </c>
      <c r="G151" s="1">
        <v>3.5000000000000003E-2</v>
      </c>
      <c r="H151" s="1">
        <v>0.02</v>
      </c>
      <c r="I151" s="8">
        <v>44607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1320922.71</v>
      </c>
      <c r="AJ151" s="2">
        <v>288785.71999999997</v>
      </c>
      <c r="AK151" s="2">
        <v>23587.899999999998</v>
      </c>
      <c r="AL151" s="2">
        <v>5156.8900000000003</v>
      </c>
      <c r="AM151" s="5">
        <v>14372.4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48291.25</v>
      </c>
      <c r="AT151" s="12">
        <v>43117.189999999995</v>
      </c>
      <c r="AU151" s="2">
        <v>862.35</v>
      </c>
      <c r="AV151" s="5">
        <v>0</v>
      </c>
      <c r="AX151" s="2">
        <v>1320922.71</v>
      </c>
      <c r="AY151" s="2">
        <v>288785.71999999997</v>
      </c>
      <c r="AZ151" s="2">
        <v>23587.899999999998</v>
      </c>
      <c r="BA151" s="2">
        <v>5156.8900000000003</v>
      </c>
      <c r="BB151" s="5">
        <v>14372.4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48291.25</v>
      </c>
      <c r="BI151" s="12">
        <v>43117.189999999995</v>
      </c>
      <c r="BJ151" s="2">
        <v>862.35</v>
      </c>
      <c r="BK151" s="5">
        <v>0</v>
      </c>
      <c r="BL151" s="1" t="s">
        <v>90</v>
      </c>
    </row>
    <row r="152" spans="1:64" x14ac:dyDescent="0.3">
      <c r="A152" t="s">
        <v>351</v>
      </c>
      <c r="B152" s="1" t="s">
        <v>351</v>
      </c>
      <c r="C152" s="9" t="s">
        <v>352</v>
      </c>
      <c r="D152" s="1" t="s">
        <v>44</v>
      </c>
      <c r="E152" s="1" t="s">
        <v>88</v>
      </c>
      <c r="F152" s="10" t="s">
        <v>178</v>
      </c>
      <c r="G152" s="1">
        <v>3.5000000000000003E-2</v>
      </c>
      <c r="H152" s="1">
        <v>0.02</v>
      </c>
      <c r="I152" s="8">
        <v>44661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312349.7</v>
      </c>
      <c r="AJ152" s="2">
        <v>51157.75</v>
      </c>
      <c r="AK152" s="2">
        <v>5577.67</v>
      </c>
      <c r="AL152" s="2">
        <v>913.54</v>
      </c>
      <c r="AM152" s="5">
        <v>3245.6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10905.23</v>
      </c>
      <c r="AT152" s="12">
        <v>9736.81</v>
      </c>
      <c r="AU152" s="2">
        <v>194.74</v>
      </c>
      <c r="AV152" s="5">
        <v>0</v>
      </c>
      <c r="AX152" s="2">
        <v>312349.7</v>
      </c>
      <c r="AY152" s="2">
        <v>51157.75</v>
      </c>
      <c r="AZ152" s="2">
        <v>5577.67</v>
      </c>
      <c r="BA152" s="2">
        <v>913.54</v>
      </c>
      <c r="BB152" s="5">
        <v>3245.6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10905.23</v>
      </c>
      <c r="BI152" s="12">
        <v>9736.81</v>
      </c>
      <c r="BJ152" s="2">
        <v>194.74</v>
      </c>
      <c r="BL152" s="1" t="s">
        <v>90</v>
      </c>
    </row>
    <row r="153" spans="1:64" x14ac:dyDescent="0.3">
      <c r="A153" t="s">
        <v>379</v>
      </c>
      <c r="B153" s="1" t="s">
        <v>379</v>
      </c>
      <c r="C153" s="9" t="s">
        <v>380</v>
      </c>
      <c r="D153" s="1" t="s">
        <v>44</v>
      </c>
      <c r="E153" s="1" t="s">
        <v>88</v>
      </c>
      <c r="F153" s="10" t="s">
        <v>188</v>
      </c>
      <c r="G153" s="1">
        <v>3.5000000000000003E-2</v>
      </c>
      <c r="H153" s="1">
        <v>0.02</v>
      </c>
      <c r="I153" s="8">
        <v>44755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1037753.61</v>
      </c>
      <c r="AJ153" s="2">
        <v>202004.13999999996</v>
      </c>
      <c r="AK153" s="2">
        <v>18531.310000000001</v>
      </c>
      <c r="AL153" s="2">
        <v>3607.21</v>
      </c>
      <c r="AM153" s="5">
        <v>11069.27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37192.720000000001</v>
      </c>
      <c r="AT153" s="12">
        <v>33207.79</v>
      </c>
      <c r="AU153" s="2">
        <v>664.16</v>
      </c>
      <c r="AV153" s="5">
        <v>0</v>
      </c>
      <c r="AX153" s="2">
        <v>1037753.61</v>
      </c>
      <c r="AY153" s="2">
        <v>202004.13999999996</v>
      </c>
      <c r="AZ153" s="2">
        <v>18531.310000000001</v>
      </c>
      <c r="BA153" s="2">
        <v>3607.21</v>
      </c>
      <c r="BB153" s="5">
        <v>11069.27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37192.720000000001</v>
      </c>
      <c r="BI153" s="12">
        <v>33207.79</v>
      </c>
      <c r="BJ153" s="2">
        <v>664.16</v>
      </c>
      <c r="BL153" s="1" t="s">
        <v>90</v>
      </c>
    </row>
    <row r="154" spans="1:64" x14ac:dyDescent="0.3">
      <c r="A154" t="s">
        <v>381</v>
      </c>
      <c r="B154" s="1" t="s">
        <v>381</v>
      </c>
      <c r="C154" s="9" t="s">
        <v>382</v>
      </c>
      <c r="D154" s="1" t="s">
        <v>44</v>
      </c>
      <c r="E154" s="1" t="s">
        <v>88</v>
      </c>
      <c r="F154" s="10" t="s">
        <v>114</v>
      </c>
      <c r="G154" s="1">
        <v>3.5000000000000003E-2</v>
      </c>
      <c r="H154" s="1">
        <v>0.02</v>
      </c>
      <c r="I154" s="8">
        <v>44885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830878.42</v>
      </c>
      <c r="AJ154" s="2">
        <v>128764.01999999999</v>
      </c>
      <c r="AK154" s="2">
        <v>14837.12</v>
      </c>
      <c r="AL154" s="2">
        <v>2299.36</v>
      </c>
      <c r="AM154" s="5">
        <v>8568.23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28789.279999999999</v>
      </c>
      <c r="AT154" s="12">
        <v>25704.71</v>
      </c>
      <c r="AU154" s="2">
        <v>514.09</v>
      </c>
      <c r="AV154" s="5">
        <v>0</v>
      </c>
      <c r="AX154" s="2">
        <v>830878.42</v>
      </c>
      <c r="AY154" s="2">
        <v>128764.01999999999</v>
      </c>
      <c r="AZ154" s="2">
        <v>14837.12</v>
      </c>
      <c r="BA154" s="2">
        <v>2299.36</v>
      </c>
      <c r="BB154" s="5">
        <v>8568.23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28789.279999999999</v>
      </c>
      <c r="BI154" s="12">
        <v>25704.71</v>
      </c>
      <c r="BJ154" s="2">
        <v>514.09</v>
      </c>
      <c r="BL154" s="1" t="s">
        <v>90</v>
      </c>
    </row>
    <row r="155" spans="1:64" x14ac:dyDescent="0.3">
      <c r="A155" t="s">
        <v>418</v>
      </c>
      <c r="B155" s="1" t="s">
        <v>418</v>
      </c>
      <c r="C155" s="9" t="s">
        <v>419</v>
      </c>
      <c r="D155" s="1" t="s">
        <v>44</v>
      </c>
      <c r="E155" s="1" t="s">
        <v>88</v>
      </c>
      <c r="F155" s="10" t="s">
        <v>188</v>
      </c>
      <c r="G155" s="1">
        <v>2.5000000000000001E-2</v>
      </c>
      <c r="H155" s="1">
        <v>0.02</v>
      </c>
      <c r="I155" s="8">
        <v>45440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680955.74</v>
      </c>
      <c r="AJ155" s="2">
        <v>254268.41</v>
      </c>
      <c r="AK155" s="2">
        <v>12159.91</v>
      </c>
      <c r="AL155" s="2">
        <v>4540.51</v>
      </c>
      <c r="AM155" s="5">
        <v>8350.2100000000009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28056.71</v>
      </c>
      <c r="AT155" s="12">
        <v>25050.63</v>
      </c>
      <c r="AU155" s="2">
        <v>501.01</v>
      </c>
      <c r="AV155" s="5">
        <v>0</v>
      </c>
      <c r="AX155" s="2">
        <v>680955.74</v>
      </c>
      <c r="AY155" s="2">
        <v>254268.41</v>
      </c>
      <c r="AZ155" s="2">
        <v>12159.91</v>
      </c>
      <c r="BA155" s="2">
        <v>4540.51</v>
      </c>
      <c r="BB155" s="5">
        <v>8350.2100000000009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28056.71</v>
      </c>
      <c r="BI155" s="12">
        <v>25050.63</v>
      </c>
      <c r="BJ155" s="2">
        <v>501.01</v>
      </c>
      <c r="BK155" s="5">
        <v>0</v>
      </c>
      <c r="BL155" s="1" t="s">
        <v>90</v>
      </c>
    </row>
    <row r="156" spans="1:64" x14ac:dyDescent="0.3">
      <c r="A156" t="s">
        <v>446</v>
      </c>
      <c r="B156" s="1" t="s">
        <v>446</v>
      </c>
      <c r="C156" s="9" t="s">
        <v>447</v>
      </c>
      <c r="D156" s="1" t="s">
        <v>44</v>
      </c>
      <c r="E156" s="1" t="s">
        <v>88</v>
      </c>
      <c r="F156" s="10" t="s">
        <v>178</v>
      </c>
      <c r="G156" s="1">
        <v>2.5000000000000001E-2</v>
      </c>
      <c r="H156" s="1">
        <v>0.02</v>
      </c>
      <c r="I156" s="8">
        <v>44092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366391.82999999996</v>
      </c>
      <c r="AJ156" s="2">
        <v>79584.97</v>
      </c>
      <c r="AK156" s="2">
        <v>6542.71</v>
      </c>
      <c r="AL156" s="2">
        <v>1421.16</v>
      </c>
      <c r="AM156" s="5">
        <v>3981.94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13379.31</v>
      </c>
      <c r="AT156" s="12">
        <v>11945.81</v>
      </c>
      <c r="AU156" s="2">
        <v>238.92</v>
      </c>
      <c r="AV156" s="5">
        <v>0</v>
      </c>
      <c r="AX156" s="2">
        <v>366391.82999999996</v>
      </c>
      <c r="AY156" s="2">
        <v>79584.97</v>
      </c>
      <c r="AZ156" s="2">
        <v>6542.71</v>
      </c>
      <c r="BA156" s="2">
        <v>1421.16</v>
      </c>
      <c r="BB156" s="5">
        <v>3981.94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13379.31</v>
      </c>
      <c r="BI156" s="12">
        <v>11945.81</v>
      </c>
      <c r="BJ156" s="2">
        <v>238.92</v>
      </c>
      <c r="BL156" s="1" t="s">
        <v>90</v>
      </c>
    </row>
    <row r="157" spans="1:64" x14ac:dyDescent="0.3">
      <c r="A157" t="s">
        <v>454</v>
      </c>
      <c r="B157" s="1" t="s">
        <v>454</v>
      </c>
      <c r="C157" s="9" t="s">
        <v>455</v>
      </c>
      <c r="D157" s="1" t="s">
        <v>44</v>
      </c>
      <c r="E157" s="1" t="s">
        <v>88</v>
      </c>
      <c r="F157" s="10" t="s">
        <v>188</v>
      </c>
      <c r="G157" s="1">
        <v>2.5000000000000001E-2</v>
      </c>
      <c r="H157" s="1">
        <v>0.02</v>
      </c>
      <c r="I157" s="8">
        <v>44272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517205.25000000006</v>
      </c>
      <c r="AJ157" s="2">
        <v>114750</v>
      </c>
      <c r="AK157" s="2">
        <v>9235.81</v>
      </c>
      <c r="AL157" s="2">
        <v>2049.1</v>
      </c>
      <c r="AM157" s="5">
        <v>5642.45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18958.64</v>
      </c>
      <c r="AT157" s="12">
        <v>16927.36</v>
      </c>
      <c r="AU157" s="2">
        <v>338.54</v>
      </c>
      <c r="AV157" s="5">
        <v>0</v>
      </c>
      <c r="AX157" s="2">
        <v>517205.25000000006</v>
      </c>
      <c r="AY157" s="2">
        <v>114750</v>
      </c>
      <c r="AZ157" s="2">
        <v>9235.81</v>
      </c>
      <c r="BA157" s="2">
        <v>2049.1</v>
      </c>
      <c r="BB157" s="5">
        <v>5642.45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18958.64</v>
      </c>
      <c r="BI157" s="12">
        <v>16927.36</v>
      </c>
      <c r="BJ157" s="2">
        <v>338.54</v>
      </c>
      <c r="BK157" s="5">
        <v>0</v>
      </c>
      <c r="BL157" s="1" t="s">
        <v>90</v>
      </c>
    </row>
    <row r="158" spans="1:64" x14ac:dyDescent="0.3">
      <c r="A158" t="s">
        <v>498</v>
      </c>
      <c r="B158" s="1" t="s">
        <v>498</v>
      </c>
      <c r="C158" s="9" t="s">
        <v>499</v>
      </c>
      <c r="D158" s="1" t="s">
        <v>44</v>
      </c>
      <c r="E158" s="1" t="s">
        <v>88</v>
      </c>
      <c r="F158" s="10" t="s">
        <v>178</v>
      </c>
      <c r="G158" s="1">
        <v>3.5000000000000003E-2</v>
      </c>
      <c r="H158" s="1">
        <v>0.02</v>
      </c>
      <c r="I158" s="8">
        <v>45069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391286</v>
      </c>
      <c r="AJ158" s="2">
        <v>78281</v>
      </c>
      <c r="AK158" s="2">
        <v>6987.25</v>
      </c>
      <c r="AL158" s="2">
        <v>1397.87</v>
      </c>
      <c r="AM158" s="5">
        <v>4192.5600000000004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14087</v>
      </c>
      <c r="AT158" s="12">
        <v>12577.68</v>
      </c>
      <c r="AU158" s="2">
        <v>251.55</v>
      </c>
      <c r="AV158" s="5">
        <v>0</v>
      </c>
      <c r="AX158" s="2">
        <v>391286</v>
      </c>
      <c r="AY158" s="2">
        <v>78281</v>
      </c>
      <c r="AZ158" s="2">
        <v>6987.25</v>
      </c>
      <c r="BA158" s="2">
        <v>1397.87</v>
      </c>
      <c r="BB158" s="5">
        <v>4192.5600000000004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14087</v>
      </c>
      <c r="BI158" s="12">
        <v>12577.68</v>
      </c>
      <c r="BJ158" s="2">
        <v>251.55</v>
      </c>
      <c r="BL158" s="1" t="s">
        <v>90</v>
      </c>
    </row>
    <row r="159" spans="1:64" x14ac:dyDescent="0.3">
      <c r="A159" t="s">
        <v>518</v>
      </c>
      <c r="B159" s="1" t="s">
        <v>518</v>
      </c>
      <c r="C159" s="9" t="s">
        <v>519</v>
      </c>
      <c r="D159" s="1" t="s">
        <v>44</v>
      </c>
      <c r="E159" s="1" t="s">
        <v>88</v>
      </c>
      <c r="F159" s="10" t="s">
        <v>89</v>
      </c>
      <c r="G159" s="1">
        <v>2.5000000000000001E-2</v>
      </c>
      <c r="H159" s="1">
        <v>0.02</v>
      </c>
      <c r="I159" s="8">
        <v>45437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561280</v>
      </c>
      <c r="AJ159" s="2">
        <v>160537</v>
      </c>
      <c r="AK159" s="2">
        <v>10022.869999999999</v>
      </c>
      <c r="AL159" s="2">
        <v>2866.72</v>
      </c>
      <c r="AM159" s="5">
        <v>6444.79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21654.51</v>
      </c>
      <c r="AT159" s="12">
        <v>19334.379999999997</v>
      </c>
      <c r="AU159" s="2">
        <v>386.69</v>
      </c>
      <c r="AV159" s="5">
        <v>0</v>
      </c>
      <c r="AX159" s="2">
        <v>561280</v>
      </c>
      <c r="AY159" s="2">
        <v>160537</v>
      </c>
      <c r="AZ159" s="2">
        <v>10022.869999999999</v>
      </c>
      <c r="BA159" s="2">
        <v>2866.72</v>
      </c>
      <c r="BB159" s="5">
        <v>6444.79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21654.51</v>
      </c>
      <c r="BI159" s="12">
        <v>19334.379999999997</v>
      </c>
      <c r="BJ159" s="2">
        <v>386.69</v>
      </c>
      <c r="BK159" s="5">
        <v>0</v>
      </c>
      <c r="BL159" s="1" t="s">
        <v>90</v>
      </c>
    </row>
    <row r="160" spans="1:64" x14ac:dyDescent="0.3">
      <c r="A160" t="s">
        <v>569</v>
      </c>
      <c r="B160" s="1" t="s">
        <v>569</v>
      </c>
      <c r="C160" s="9" t="s">
        <v>570</v>
      </c>
      <c r="D160" s="1" t="s">
        <v>44</v>
      </c>
      <c r="E160" s="1" t="s">
        <v>88</v>
      </c>
      <c r="F160" s="10" t="s">
        <v>104</v>
      </c>
      <c r="G160" s="1">
        <v>2.5000000000000001E-2</v>
      </c>
      <c r="H160" s="1">
        <v>0.02</v>
      </c>
      <c r="I160" s="8">
        <v>44228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1143488</v>
      </c>
      <c r="AJ160" s="2">
        <v>267557.25</v>
      </c>
      <c r="AK160" s="2">
        <v>20419.43</v>
      </c>
      <c r="AL160" s="2">
        <v>4777.8</v>
      </c>
      <c r="AM160" s="5">
        <v>12598.62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42331.35</v>
      </c>
      <c r="AT160" s="12">
        <v>37795.85</v>
      </c>
      <c r="AU160" s="2">
        <v>755.92</v>
      </c>
      <c r="AV160" s="5">
        <v>0</v>
      </c>
      <c r="AX160" s="2">
        <v>1143488</v>
      </c>
      <c r="AY160" s="2">
        <v>267557.25</v>
      </c>
      <c r="AZ160" s="2">
        <v>20419.43</v>
      </c>
      <c r="BA160" s="2">
        <v>4777.8</v>
      </c>
      <c r="BB160" s="5">
        <v>12598.62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42331.35</v>
      </c>
      <c r="BI160" s="12">
        <v>37795.85</v>
      </c>
      <c r="BJ160" s="2">
        <v>755.92</v>
      </c>
      <c r="BL160" s="1" t="s">
        <v>90</v>
      </c>
    </row>
    <row r="161" spans="1:64" x14ac:dyDescent="0.3">
      <c r="A161" t="s">
        <v>586</v>
      </c>
      <c r="B161" s="1" t="s">
        <v>586</v>
      </c>
      <c r="C161" s="9" t="s">
        <v>587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44520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716839.05</v>
      </c>
      <c r="AJ161" s="2">
        <v>286641.05</v>
      </c>
      <c r="AK161" s="2">
        <v>12800.7</v>
      </c>
      <c r="AL161" s="2">
        <v>5118.59</v>
      </c>
      <c r="AM161" s="5">
        <v>8959.64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30104.400000000001</v>
      </c>
      <c r="AT161" s="12">
        <v>26878.93</v>
      </c>
      <c r="AU161" s="2">
        <v>537.58000000000004</v>
      </c>
      <c r="AV161" s="5">
        <v>0</v>
      </c>
      <c r="AX161" s="2">
        <v>716839.05</v>
      </c>
      <c r="AY161" s="2">
        <v>286641.05</v>
      </c>
      <c r="AZ161" s="2">
        <v>12800.7</v>
      </c>
      <c r="BA161" s="2">
        <v>5118.59</v>
      </c>
      <c r="BB161" s="5">
        <v>8959.64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30104.400000000001</v>
      </c>
      <c r="BI161" s="12">
        <v>26878.93</v>
      </c>
      <c r="BJ161" s="2">
        <v>537.58000000000004</v>
      </c>
      <c r="BL161" s="1" t="s">
        <v>90</v>
      </c>
    </row>
    <row r="162" spans="1:64" x14ac:dyDescent="0.3">
      <c r="A162" t="s">
        <v>624</v>
      </c>
      <c r="B162" s="1" t="s">
        <v>625</v>
      </c>
      <c r="C162" s="9" t="s">
        <v>626</v>
      </c>
      <c r="D162" s="1" t="s">
        <v>44</v>
      </c>
      <c r="E162" s="1" t="s">
        <v>88</v>
      </c>
      <c r="F162" s="10" t="s">
        <v>181</v>
      </c>
      <c r="G162" s="1">
        <v>3.5000000000000003E-2</v>
      </c>
      <c r="H162" s="1">
        <v>0.02</v>
      </c>
      <c r="I162" s="8">
        <v>44805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0</v>
      </c>
      <c r="AJ162" s="2">
        <v>0</v>
      </c>
      <c r="AK162" s="2">
        <v>0</v>
      </c>
      <c r="AL162" s="2">
        <v>0</v>
      </c>
      <c r="AM162" s="5">
        <v>0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0</v>
      </c>
      <c r="AT162" s="12">
        <v>0</v>
      </c>
      <c r="AU162" s="2">
        <v>0</v>
      </c>
      <c r="AV162" s="5">
        <v>0</v>
      </c>
      <c r="AX162" s="2">
        <v>0</v>
      </c>
      <c r="AY162" s="2">
        <v>0</v>
      </c>
      <c r="AZ162" s="2">
        <v>0</v>
      </c>
      <c r="BA162" s="2">
        <v>0</v>
      </c>
      <c r="BB162" s="5">
        <v>0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0</v>
      </c>
      <c r="BI162" s="12">
        <v>0</v>
      </c>
      <c r="BJ162" s="2">
        <v>0</v>
      </c>
      <c r="BL162" s="1" t="s">
        <v>90</v>
      </c>
    </row>
    <row r="163" spans="1:64" x14ac:dyDescent="0.3">
      <c r="A163" t="s">
        <v>629</v>
      </c>
      <c r="B163" s="1" t="s">
        <v>629</v>
      </c>
      <c r="C163" s="9" t="s">
        <v>630</v>
      </c>
      <c r="D163" s="1" t="s">
        <v>44</v>
      </c>
      <c r="E163" s="1" t="s">
        <v>88</v>
      </c>
      <c r="F163" s="10" t="s">
        <v>89</v>
      </c>
      <c r="G163" s="1">
        <v>3.5000000000000003E-2</v>
      </c>
      <c r="H163" s="1">
        <v>0.02</v>
      </c>
      <c r="I163" s="8">
        <v>45046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684421.55</v>
      </c>
      <c r="AJ163" s="2">
        <v>153191.1</v>
      </c>
      <c r="AK163" s="2">
        <v>12221.82</v>
      </c>
      <c r="AL163" s="2">
        <v>2735.56</v>
      </c>
      <c r="AM163" s="5">
        <v>7478.6900000000005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25128.400000000001</v>
      </c>
      <c r="AT163" s="12">
        <v>22436.07</v>
      </c>
      <c r="AU163" s="2">
        <v>448.73000000000008</v>
      </c>
      <c r="AV163" s="5">
        <v>0</v>
      </c>
      <c r="AX163" s="2">
        <v>684421.55</v>
      </c>
      <c r="AY163" s="2">
        <v>153191.1</v>
      </c>
      <c r="AZ163" s="2">
        <v>12221.82</v>
      </c>
      <c r="BA163" s="2">
        <v>2735.56</v>
      </c>
      <c r="BB163" s="5">
        <v>7478.6900000000005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25128.400000000001</v>
      </c>
      <c r="BI163" s="12">
        <v>22436.07</v>
      </c>
      <c r="BJ163" s="2">
        <v>448.73000000000008</v>
      </c>
      <c r="BK163" s="5">
        <v>0</v>
      </c>
      <c r="BL163" s="1" t="s">
        <v>90</v>
      </c>
    </row>
    <row r="164" spans="1:64" x14ac:dyDescent="0.3">
      <c r="A164" t="s">
        <v>644</v>
      </c>
      <c r="B164" s="1" t="s">
        <v>644</v>
      </c>
      <c r="C164" s="9" t="s">
        <v>645</v>
      </c>
      <c r="D164" s="1" t="s">
        <v>44</v>
      </c>
      <c r="E164" s="1" t="s">
        <v>88</v>
      </c>
      <c r="F164" s="10" t="s">
        <v>188</v>
      </c>
      <c r="G164" s="1">
        <v>0</v>
      </c>
      <c r="H164" s="1">
        <v>0.02</v>
      </c>
      <c r="I164" s="8">
        <v>45153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678838.97</v>
      </c>
      <c r="AJ164" s="2">
        <v>137015.37</v>
      </c>
      <c r="AK164" s="2">
        <v>12122.119999999999</v>
      </c>
      <c r="AL164" s="2">
        <v>2446.71</v>
      </c>
      <c r="AM164" s="5">
        <v>7284.42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24475.64</v>
      </c>
      <c r="AT164" s="12">
        <v>21853.249999999996</v>
      </c>
      <c r="AU164" s="2">
        <v>437.07</v>
      </c>
      <c r="AV164" s="5">
        <v>0</v>
      </c>
      <c r="AX164" s="2">
        <v>678838.97</v>
      </c>
      <c r="AY164" s="2">
        <v>137015.37</v>
      </c>
      <c r="AZ164" s="2">
        <v>12122.119999999999</v>
      </c>
      <c r="BA164" s="2">
        <v>2446.71</v>
      </c>
      <c r="BB164" s="5">
        <v>7284.42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24475.64</v>
      </c>
      <c r="BI164" s="12">
        <v>21853.249999999996</v>
      </c>
      <c r="BJ164" s="2">
        <v>437.07</v>
      </c>
      <c r="BK164" s="5">
        <v>0</v>
      </c>
      <c r="BL164" s="1" t="s">
        <v>90</v>
      </c>
    </row>
    <row r="165" spans="1:64" x14ac:dyDescent="0.3">
      <c r="A165" t="s">
        <v>648</v>
      </c>
      <c r="B165" s="1" t="s">
        <v>648</v>
      </c>
      <c r="C165" s="9" t="s">
        <v>649</v>
      </c>
      <c r="D165" s="1" t="s">
        <v>44</v>
      </c>
      <c r="E165" s="1" t="s">
        <v>88</v>
      </c>
      <c r="F165" s="10" t="s">
        <v>178</v>
      </c>
      <c r="G165" s="1">
        <v>3.5000000000000003E-2</v>
      </c>
      <c r="H165" s="1">
        <v>0.02</v>
      </c>
      <c r="I165" s="8">
        <v>45201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215305</v>
      </c>
      <c r="AJ165" s="2">
        <v>42509</v>
      </c>
      <c r="AK165" s="2">
        <v>3844.73</v>
      </c>
      <c r="AL165" s="2">
        <v>759.09</v>
      </c>
      <c r="AM165" s="5">
        <v>2301.91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7734.42</v>
      </c>
      <c r="AT165" s="12">
        <v>6905.73</v>
      </c>
      <c r="AU165" s="2">
        <v>138.11000000000001</v>
      </c>
      <c r="AV165" s="5">
        <v>0</v>
      </c>
      <c r="AX165" s="2">
        <v>215305</v>
      </c>
      <c r="AY165" s="2">
        <v>42509</v>
      </c>
      <c r="AZ165" s="2">
        <v>3844.73</v>
      </c>
      <c r="BA165" s="2">
        <v>759.09</v>
      </c>
      <c r="BB165" s="5">
        <v>2301.91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7734.42</v>
      </c>
      <c r="BI165" s="12">
        <v>6905.73</v>
      </c>
      <c r="BJ165" s="2">
        <v>138.11000000000001</v>
      </c>
      <c r="BL165" s="1" t="s">
        <v>90</v>
      </c>
    </row>
    <row r="166" spans="1:64" x14ac:dyDescent="0.3">
      <c r="A166" t="s">
        <v>702</v>
      </c>
      <c r="B166" s="1" t="s">
        <v>702</v>
      </c>
      <c r="C166" s="9" t="s">
        <v>703</v>
      </c>
      <c r="D166" s="1" t="s">
        <v>44</v>
      </c>
      <c r="E166" s="1" t="s">
        <v>88</v>
      </c>
      <c r="F166" s="10" t="s">
        <v>104</v>
      </c>
      <c r="G166" s="1">
        <v>0</v>
      </c>
      <c r="H166" s="1">
        <v>0.02</v>
      </c>
      <c r="I166" s="8">
        <v>45777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302085.55000000005</v>
      </c>
      <c r="AJ166" s="2">
        <v>119694.75</v>
      </c>
      <c r="AK166" s="2">
        <v>179.81</v>
      </c>
      <c r="AL166" s="2">
        <v>71.25</v>
      </c>
      <c r="AM166" s="5">
        <v>3765.89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4498.9799999999996</v>
      </c>
      <c r="AT166" s="12">
        <v>4016.95</v>
      </c>
      <c r="AU166" s="2">
        <v>80.34</v>
      </c>
      <c r="AV166" s="5">
        <v>0</v>
      </c>
      <c r="AX166" s="2">
        <v>302085.55000000005</v>
      </c>
      <c r="AY166" s="2">
        <v>119694.75</v>
      </c>
      <c r="AZ166" s="2">
        <v>179.81</v>
      </c>
      <c r="BA166" s="2">
        <v>71.25</v>
      </c>
      <c r="BB166" s="5">
        <v>3765.89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4498.9799999999996</v>
      </c>
      <c r="BI166" s="12">
        <v>4016.95</v>
      </c>
      <c r="BJ166" s="2">
        <v>80.34</v>
      </c>
      <c r="BL166" s="1" t="s">
        <v>90</v>
      </c>
    </row>
    <row r="167" spans="1:64" x14ac:dyDescent="0.3">
      <c r="A167" t="s">
        <v>740</v>
      </c>
      <c r="B167" s="1" t="s">
        <v>740</v>
      </c>
      <c r="C167" s="9" t="s">
        <v>741</v>
      </c>
      <c r="D167" s="1" t="s">
        <v>44</v>
      </c>
      <c r="E167" s="1" t="s">
        <v>88</v>
      </c>
      <c r="F167" s="10" t="s">
        <v>101</v>
      </c>
      <c r="G167" s="1">
        <v>0</v>
      </c>
      <c r="H167" s="1">
        <v>0.02</v>
      </c>
      <c r="I167" s="8">
        <v>44009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298424.75000000006</v>
      </c>
      <c r="AJ167" s="2">
        <v>73293.850000000006</v>
      </c>
      <c r="AK167" s="2">
        <v>5329.02</v>
      </c>
      <c r="AL167" s="2">
        <v>1308.82</v>
      </c>
      <c r="AM167" s="5">
        <v>3318.92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11151.57</v>
      </c>
      <c r="AT167" s="12">
        <v>9956.76</v>
      </c>
      <c r="AU167" s="2">
        <v>199.14</v>
      </c>
      <c r="AV167" s="5">
        <v>0</v>
      </c>
      <c r="AX167" s="2">
        <v>298424.75000000006</v>
      </c>
      <c r="AY167" s="2">
        <v>73293.850000000006</v>
      </c>
      <c r="AZ167" s="2">
        <v>5329.02</v>
      </c>
      <c r="BA167" s="2">
        <v>1308.82</v>
      </c>
      <c r="BB167" s="5">
        <v>3318.92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11151.57</v>
      </c>
      <c r="BI167" s="12">
        <v>9956.76</v>
      </c>
      <c r="BJ167" s="2">
        <v>199.14</v>
      </c>
      <c r="BL167" s="1" t="s">
        <v>90</v>
      </c>
    </row>
    <row r="168" spans="1:64" x14ac:dyDescent="0.3">
      <c r="A168" t="s">
        <v>742</v>
      </c>
      <c r="B168" s="1" t="s">
        <v>742</v>
      </c>
      <c r="C168" s="9" t="s">
        <v>743</v>
      </c>
      <c r="D168" s="1" t="s">
        <v>44</v>
      </c>
      <c r="E168" s="1" t="s">
        <v>88</v>
      </c>
      <c r="F168" s="10" t="s">
        <v>114</v>
      </c>
      <c r="G168" s="1">
        <v>3.5000000000000003E-2</v>
      </c>
      <c r="H168" s="1">
        <v>0.02</v>
      </c>
      <c r="I168" s="8">
        <v>45083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353621.69</v>
      </c>
      <c r="AJ168" s="2">
        <v>106777.74</v>
      </c>
      <c r="AK168" s="2">
        <v>6314.67</v>
      </c>
      <c r="AL168" s="2">
        <v>1906.74</v>
      </c>
      <c r="AM168" s="5">
        <v>4110.71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13811.97</v>
      </c>
      <c r="AT168" s="12">
        <v>12332.119999999999</v>
      </c>
      <c r="AU168" s="2">
        <v>246.64</v>
      </c>
      <c r="AV168" s="5">
        <v>0</v>
      </c>
      <c r="AX168" s="2">
        <v>353621.69</v>
      </c>
      <c r="AY168" s="2">
        <v>106777.74</v>
      </c>
      <c r="AZ168" s="2">
        <v>6314.67</v>
      </c>
      <c r="BA168" s="2">
        <v>1906.74</v>
      </c>
      <c r="BB168" s="5">
        <v>4110.71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13811.97</v>
      </c>
      <c r="BI168" s="12">
        <v>12332.119999999999</v>
      </c>
      <c r="BJ168" s="2">
        <v>246.64</v>
      </c>
      <c r="BL168" s="1" t="s">
        <v>90</v>
      </c>
    </row>
    <row r="169" spans="1:64" x14ac:dyDescent="0.3">
      <c r="A169" t="s">
        <v>755</v>
      </c>
      <c r="B169" s="1" t="s">
        <v>755</v>
      </c>
      <c r="C169" s="9" t="s">
        <v>756</v>
      </c>
      <c r="D169" s="1" t="s">
        <v>44</v>
      </c>
      <c r="E169" s="1" t="s">
        <v>88</v>
      </c>
      <c r="F169" s="10" t="s">
        <v>104</v>
      </c>
      <c r="G169" s="1">
        <v>0</v>
      </c>
      <c r="H169" s="1">
        <v>0.02</v>
      </c>
      <c r="I169" s="8">
        <v>44612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498460</v>
      </c>
      <c r="AJ169" s="2">
        <v>130457</v>
      </c>
      <c r="AK169" s="2">
        <v>8901.07</v>
      </c>
      <c r="AL169" s="2">
        <v>2329.59</v>
      </c>
      <c r="AM169" s="5">
        <v>5615.33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18867.509999999998</v>
      </c>
      <c r="AT169" s="12">
        <v>16845.989999999998</v>
      </c>
      <c r="AU169" s="2">
        <v>336.92</v>
      </c>
      <c r="AV169" s="5">
        <v>0</v>
      </c>
      <c r="AX169" s="2">
        <v>498460</v>
      </c>
      <c r="AY169" s="2">
        <v>130457</v>
      </c>
      <c r="AZ169" s="2">
        <v>8901.07</v>
      </c>
      <c r="BA169" s="2">
        <v>2329.59</v>
      </c>
      <c r="BB169" s="5">
        <v>5615.33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18867.509999999998</v>
      </c>
      <c r="BI169" s="12">
        <v>16845.989999999998</v>
      </c>
      <c r="BJ169" s="2">
        <v>336.92</v>
      </c>
      <c r="BL169" s="1" t="s">
        <v>90</v>
      </c>
    </row>
    <row r="170" spans="1:64" x14ac:dyDescent="0.3">
      <c r="A170" t="s">
        <v>765</v>
      </c>
      <c r="B170" s="1" t="s">
        <v>765</v>
      </c>
      <c r="C170" s="9" t="s">
        <v>766</v>
      </c>
      <c r="D170" s="1" t="s">
        <v>44</v>
      </c>
      <c r="E170" s="1" t="s">
        <v>88</v>
      </c>
      <c r="F170" s="10" t="s">
        <v>101</v>
      </c>
      <c r="G170" s="1">
        <v>3.5000000000000003E-2</v>
      </c>
      <c r="H170" s="1">
        <v>0.02</v>
      </c>
      <c r="I170" s="8">
        <v>45003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1047475</v>
      </c>
      <c r="AJ170" s="2">
        <v>227286.31</v>
      </c>
      <c r="AK170" s="2">
        <v>18704.91</v>
      </c>
      <c r="AL170" s="2">
        <v>4058.69</v>
      </c>
      <c r="AM170" s="5">
        <v>11381.79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38242.839999999997</v>
      </c>
      <c r="AT170" s="12">
        <v>34145.39</v>
      </c>
      <c r="AU170" s="2">
        <v>682.91</v>
      </c>
      <c r="AV170" s="5">
        <v>0</v>
      </c>
      <c r="AX170" s="2">
        <v>1047475</v>
      </c>
      <c r="AY170" s="2">
        <v>227286.31</v>
      </c>
      <c r="AZ170" s="2">
        <v>18704.91</v>
      </c>
      <c r="BA170" s="2">
        <v>4058.69</v>
      </c>
      <c r="BB170" s="5">
        <v>11381.79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38242.839999999997</v>
      </c>
      <c r="BI170" s="12">
        <v>34145.39</v>
      </c>
      <c r="BJ170" s="2">
        <v>682.91</v>
      </c>
      <c r="BL170" s="1" t="s">
        <v>90</v>
      </c>
    </row>
    <row r="171" spans="1:64" x14ac:dyDescent="0.3">
      <c r="A171" t="s">
        <v>810</v>
      </c>
      <c r="B171" s="1" t="s">
        <v>810</v>
      </c>
      <c r="C171" s="9" t="s">
        <v>811</v>
      </c>
      <c r="D171" s="1" t="s">
        <v>44</v>
      </c>
      <c r="E171" s="1" t="s">
        <v>88</v>
      </c>
      <c r="F171" s="10" t="s">
        <v>104</v>
      </c>
      <c r="G171" s="1">
        <v>0</v>
      </c>
      <c r="H171" s="1">
        <v>0.02</v>
      </c>
      <c r="I171" s="8">
        <v>44936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165579</v>
      </c>
      <c r="AJ171" s="2">
        <v>56670</v>
      </c>
      <c r="AK171" s="2">
        <v>2956.77</v>
      </c>
      <c r="AL171" s="2">
        <v>1011.96</v>
      </c>
      <c r="AM171" s="5">
        <v>1984.37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6667.47</v>
      </c>
      <c r="AT171" s="12">
        <v>5953.1</v>
      </c>
      <c r="AU171" s="2">
        <v>119.06</v>
      </c>
      <c r="AV171" s="5">
        <v>0</v>
      </c>
      <c r="AX171" s="2">
        <v>165579</v>
      </c>
      <c r="AY171" s="2">
        <v>56670</v>
      </c>
      <c r="AZ171" s="2">
        <v>2956.77</v>
      </c>
      <c r="BA171" s="2">
        <v>1011.96</v>
      </c>
      <c r="BB171" s="5">
        <v>1984.37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6667.47</v>
      </c>
      <c r="BI171" s="12">
        <v>5953.1</v>
      </c>
      <c r="BJ171" s="2">
        <v>119.06</v>
      </c>
      <c r="BL171" s="1" t="s">
        <v>90</v>
      </c>
    </row>
    <row r="172" spans="1:64" x14ac:dyDescent="0.3">
      <c r="A172" t="s">
        <v>836</v>
      </c>
      <c r="B172" s="1" t="s">
        <v>836</v>
      </c>
      <c r="C172" s="9" t="s">
        <v>837</v>
      </c>
      <c r="D172" s="1" t="s">
        <v>44</v>
      </c>
      <c r="E172" s="1" t="s">
        <v>88</v>
      </c>
      <c r="F172" s="10" t="s">
        <v>181</v>
      </c>
      <c r="G172" s="1">
        <v>0</v>
      </c>
      <c r="H172" s="1">
        <v>0.02</v>
      </c>
      <c r="I172" s="8">
        <v>45641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871946.15</v>
      </c>
      <c r="AJ172" s="2">
        <v>213006</v>
      </c>
      <c r="AK172" s="2">
        <v>15570.47</v>
      </c>
      <c r="AL172" s="2">
        <v>3803.69</v>
      </c>
      <c r="AM172" s="5">
        <v>9687.07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32548.58</v>
      </c>
      <c r="AT172" s="12">
        <v>29061.23</v>
      </c>
      <c r="AU172" s="2">
        <v>581.23</v>
      </c>
      <c r="AV172" s="5">
        <v>0</v>
      </c>
      <c r="AX172" s="2">
        <v>871946.15</v>
      </c>
      <c r="AY172" s="2">
        <v>213006</v>
      </c>
      <c r="AZ172" s="2">
        <v>15570.47</v>
      </c>
      <c r="BA172" s="2">
        <v>3803.69</v>
      </c>
      <c r="BB172" s="5">
        <v>9687.07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32548.58</v>
      </c>
      <c r="BI172" s="12">
        <v>29061.23</v>
      </c>
      <c r="BJ172" s="2">
        <v>581.23</v>
      </c>
      <c r="BK172" s="5">
        <v>0</v>
      </c>
      <c r="BL172" s="1" t="s">
        <v>90</v>
      </c>
    </row>
    <row r="173" spans="1:64" x14ac:dyDescent="0.3">
      <c r="A173" t="s">
        <v>842</v>
      </c>
      <c r="B173" s="1" t="s">
        <v>842</v>
      </c>
      <c r="C173" s="9" t="s">
        <v>843</v>
      </c>
      <c r="D173" s="1" t="s">
        <v>44</v>
      </c>
      <c r="E173" s="1" t="s">
        <v>88</v>
      </c>
      <c r="F173" s="10" t="s">
        <v>178</v>
      </c>
      <c r="G173" s="1">
        <v>0</v>
      </c>
      <c r="H173" s="1">
        <v>0.02</v>
      </c>
      <c r="I173" s="8">
        <v>44878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403820.5</v>
      </c>
      <c r="AJ173" s="2">
        <v>116760</v>
      </c>
      <c r="AK173" s="2">
        <v>7211.08</v>
      </c>
      <c r="AL173" s="2">
        <v>2085</v>
      </c>
      <c r="AM173" s="5">
        <v>4648.04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15617.41</v>
      </c>
      <c r="AT173" s="12">
        <v>13944.119999999999</v>
      </c>
      <c r="AU173" s="2">
        <v>278.88</v>
      </c>
      <c r="AV173" s="5">
        <v>0</v>
      </c>
      <c r="AX173" s="2">
        <v>403820.5</v>
      </c>
      <c r="AY173" s="2">
        <v>116760</v>
      </c>
      <c r="AZ173" s="2">
        <v>7211.08</v>
      </c>
      <c r="BA173" s="2">
        <v>2085</v>
      </c>
      <c r="BB173" s="5">
        <v>4648.04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15617.41</v>
      </c>
      <c r="BI173" s="12">
        <v>13944.119999999999</v>
      </c>
      <c r="BJ173" s="2">
        <v>278.88</v>
      </c>
      <c r="BL173" s="1" t="s">
        <v>90</v>
      </c>
    </row>
    <row r="174" spans="1:64" x14ac:dyDescent="0.3">
      <c r="A174" t="s">
        <v>846</v>
      </c>
      <c r="B174" s="1" t="s">
        <v>846</v>
      </c>
      <c r="C174" s="9" t="s">
        <v>847</v>
      </c>
      <c r="D174" s="1" t="s">
        <v>44</v>
      </c>
      <c r="E174" s="1" t="s">
        <v>88</v>
      </c>
      <c r="F174" s="10" t="s">
        <v>848</v>
      </c>
      <c r="G174" s="1">
        <v>0</v>
      </c>
      <c r="H174" s="1">
        <v>0.02</v>
      </c>
      <c r="I174" s="8">
        <v>44009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212544</v>
      </c>
      <c r="AJ174" s="2">
        <v>42314</v>
      </c>
      <c r="AK174" s="2">
        <v>3795.43</v>
      </c>
      <c r="AL174" s="2">
        <v>755.61</v>
      </c>
      <c r="AM174" s="5">
        <v>2275.52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7645.75</v>
      </c>
      <c r="AT174" s="12">
        <v>6826.5599999999995</v>
      </c>
      <c r="AU174" s="2">
        <v>136.53</v>
      </c>
      <c r="AV174" s="5">
        <v>0</v>
      </c>
      <c r="AX174" s="2">
        <v>212544</v>
      </c>
      <c r="AY174" s="2">
        <v>42314</v>
      </c>
      <c r="AZ174" s="2">
        <v>3795.43</v>
      </c>
      <c r="BA174" s="2">
        <v>755.61</v>
      </c>
      <c r="BB174" s="5">
        <v>2275.52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7645.75</v>
      </c>
      <c r="BI174" s="12">
        <v>6826.5599999999995</v>
      </c>
      <c r="BJ174" s="2">
        <v>136.53</v>
      </c>
      <c r="BL174" s="1" t="s">
        <v>90</v>
      </c>
    </row>
    <row r="175" spans="1:64" x14ac:dyDescent="0.3">
      <c r="A175" t="s">
        <v>851</v>
      </c>
      <c r="B175" s="1" t="s">
        <v>851</v>
      </c>
      <c r="C175" s="9" t="s">
        <v>852</v>
      </c>
      <c r="D175" s="1" t="s">
        <v>44</v>
      </c>
      <c r="E175" s="1" t="s">
        <v>88</v>
      </c>
      <c r="F175" s="10" t="s">
        <v>853</v>
      </c>
      <c r="G175" s="1">
        <v>2.5000000000000001E-2</v>
      </c>
      <c r="H175" s="1">
        <v>0.02</v>
      </c>
      <c r="I175" s="8">
        <v>45716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215923.45</v>
      </c>
      <c r="AJ175" s="2">
        <v>93971</v>
      </c>
      <c r="AK175" s="2">
        <v>3855.78</v>
      </c>
      <c r="AL175" s="2">
        <v>1678.05</v>
      </c>
      <c r="AM175" s="5">
        <v>2766.91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9296.83</v>
      </c>
      <c r="AT175" s="12">
        <v>8300.74</v>
      </c>
      <c r="AU175" s="2">
        <v>166.01</v>
      </c>
      <c r="AV175" s="5">
        <v>0</v>
      </c>
      <c r="AX175" s="2">
        <v>215923.45</v>
      </c>
      <c r="AY175" s="2">
        <v>93971</v>
      </c>
      <c r="AZ175" s="2">
        <v>3855.78</v>
      </c>
      <c r="BA175" s="2">
        <v>1678.05</v>
      </c>
      <c r="BB175" s="5">
        <v>2766.91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9296.83</v>
      </c>
      <c r="BI175" s="12">
        <v>8300.74</v>
      </c>
      <c r="BJ175" s="2">
        <v>166.01</v>
      </c>
      <c r="BL175" s="1" t="s">
        <v>90</v>
      </c>
    </row>
    <row r="176" spans="1:64" x14ac:dyDescent="0.3">
      <c r="A176" t="s">
        <v>854</v>
      </c>
      <c r="B176" s="1" t="s">
        <v>854</v>
      </c>
      <c r="C176" s="9" t="s">
        <v>855</v>
      </c>
      <c r="D176" s="1" t="s">
        <v>44</v>
      </c>
      <c r="E176" s="1" t="s">
        <v>88</v>
      </c>
      <c r="F176" s="10" t="s">
        <v>853</v>
      </c>
      <c r="G176" s="1">
        <v>0</v>
      </c>
      <c r="H176" s="1">
        <v>0.02</v>
      </c>
      <c r="I176" s="8">
        <v>45716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164324</v>
      </c>
      <c r="AJ176" s="2">
        <v>41491</v>
      </c>
      <c r="AK176" s="2">
        <v>2934.36</v>
      </c>
      <c r="AL176" s="2">
        <v>740.91</v>
      </c>
      <c r="AM176" s="5">
        <v>1837.63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6174.45</v>
      </c>
      <c r="AT176" s="12">
        <v>5512.9</v>
      </c>
      <c r="AU176" s="2">
        <v>110.26</v>
      </c>
      <c r="AV176" s="5">
        <v>0</v>
      </c>
      <c r="AX176" s="2">
        <v>164324</v>
      </c>
      <c r="AY176" s="2">
        <v>41491</v>
      </c>
      <c r="AZ176" s="2">
        <v>2934.36</v>
      </c>
      <c r="BA176" s="2">
        <v>740.91</v>
      </c>
      <c r="BB176" s="5">
        <v>1837.63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6174.45</v>
      </c>
      <c r="BI176" s="12">
        <v>5512.9</v>
      </c>
      <c r="BJ176" s="2">
        <v>110.26</v>
      </c>
      <c r="BL176" s="1" t="s">
        <v>90</v>
      </c>
    </row>
    <row r="177" spans="1:64" x14ac:dyDescent="0.3">
      <c r="A177" t="s">
        <v>856</v>
      </c>
      <c r="B177" s="1" t="s">
        <v>856</v>
      </c>
      <c r="C177" s="9" t="s">
        <v>857</v>
      </c>
      <c r="D177" s="1" t="s">
        <v>44</v>
      </c>
      <c r="E177" s="1" t="s">
        <v>88</v>
      </c>
      <c r="F177" s="10" t="s">
        <v>848</v>
      </c>
      <c r="G177" s="1">
        <v>2.5000000000000001E-2</v>
      </c>
      <c r="H177" s="1">
        <v>0.02</v>
      </c>
      <c r="I177" s="8">
        <v>44051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224683</v>
      </c>
      <c r="AJ177" s="2">
        <v>94243</v>
      </c>
      <c r="AK177" s="2">
        <v>4012.2</v>
      </c>
      <c r="AL177" s="2">
        <v>1682.91</v>
      </c>
      <c r="AM177" s="5">
        <v>2847.55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9567.7800000000007</v>
      </c>
      <c r="AT177" s="12">
        <v>8542.66</v>
      </c>
      <c r="AU177" s="2">
        <v>170.85</v>
      </c>
      <c r="AV177" s="5">
        <v>0</v>
      </c>
      <c r="AX177" s="2">
        <v>224683</v>
      </c>
      <c r="AY177" s="2">
        <v>94243</v>
      </c>
      <c r="AZ177" s="2">
        <v>4012.2</v>
      </c>
      <c r="BA177" s="2">
        <v>1682.91</v>
      </c>
      <c r="BB177" s="5">
        <v>2847.55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9567.7800000000007</v>
      </c>
      <c r="BI177" s="12">
        <v>8542.66</v>
      </c>
      <c r="BJ177" s="2">
        <v>170.85</v>
      </c>
      <c r="BL177" s="1" t="s">
        <v>90</v>
      </c>
    </row>
    <row r="178" spans="1:64" x14ac:dyDescent="0.3">
      <c r="A178" t="s">
        <v>858</v>
      </c>
      <c r="B178" s="1" t="s">
        <v>858</v>
      </c>
      <c r="C178" s="9" t="s">
        <v>859</v>
      </c>
      <c r="D178" s="1" t="s">
        <v>44</v>
      </c>
      <c r="E178" s="1" t="s">
        <v>88</v>
      </c>
      <c r="F178" s="10" t="s">
        <v>848</v>
      </c>
      <c r="G178" s="1">
        <v>2.5000000000000001E-2</v>
      </c>
      <c r="H178" s="1">
        <v>0.02</v>
      </c>
      <c r="I178" s="8">
        <v>44054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235271</v>
      </c>
      <c r="AJ178" s="2">
        <v>38111</v>
      </c>
      <c r="AK178" s="2">
        <v>4201.2700000000004</v>
      </c>
      <c r="AL178" s="2">
        <v>680.55</v>
      </c>
      <c r="AM178" s="5">
        <v>2440.91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8201.4599999999991</v>
      </c>
      <c r="AT178" s="12">
        <v>7322.7300000000005</v>
      </c>
      <c r="AU178" s="2">
        <v>146.44999999999999</v>
      </c>
      <c r="AV178" s="5">
        <v>0</v>
      </c>
      <c r="AX178" s="2">
        <v>235271</v>
      </c>
      <c r="AY178" s="2">
        <v>38111</v>
      </c>
      <c r="AZ178" s="2">
        <v>4201.2700000000004</v>
      </c>
      <c r="BA178" s="2">
        <v>680.55</v>
      </c>
      <c r="BB178" s="5">
        <v>2440.91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8201.4599999999991</v>
      </c>
      <c r="BI178" s="12">
        <v>7322.7300000000005</v>
      </c>
      <c r="BJ178" s="2">
        <v>146.44999999999999</v>
      </c>
      <c r="BL178" s="1" t="s">
        <v>90</v>
      </c>
    </row>
    <row r="179" spans="1:64" x14ac:dyDescent="0.3">
      <c r="A179" t="s">
        <v>862</v>
      </c>
      <c r="B179" s="1" t="s">
        <v>862</v>
      </c>
      <c r="C179" s="9" t="s">
        <v>863</v>
      </c>
      <c r="D179" s="1" t="s">
        <v>44</v>
      </c>
      <c r="E179" s="1" t="s">
        <v>88</v>
      </c>
      <c r="F179" s="10" t="s">
        <v>848</v>
      </c>
      <c r="G179" s="1">
        <v>3.5000000000000003E-2</v>
      </c>
      <c r="H179" s="1">
        <v>0.02</v>
      </c>
      <c r="I179" s="8">
        <v>44009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147857</v>
      </c>
      <c r="AJ179" s="2">
        <v>29520</v>
      </c>
      <c r="AK179" s="2">
        <v>2640.3</v>
      </c>
      <c r="AL179" s="2">
        <v>527.14</v>
      </c>
      <c r="AM179" s="5">
        <v>1583.72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5321.3</v>
      </c>
      <c r="AT179" s="12">
        <v>4751.16</v>
      </c>
      <c r="AU179" s="2">
        <v>95.02</v>
      </c>
      <c r="AV179" s="5">
        <v>0</v>
      </c>
      <c r="AX179" s="2">
        <v>147857</v>
      </c>
      <c r="AY179" s="2">
        <v>29520</v>
      </c>
      <c r="AZ179" s="2">
        <v>2640.3</v>
      </c>
      <c r="BA179" s="2">
        <v>527.14</v>
      </c>
      <c r="BB179" s="5">
        <v>1583.72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5321.3</v>
      </c>
      <c r="BI179" s="12">
        <v>4751.16</v>
      </c>
      <c r="BJ179" s="2">
        <v>95.02</v>
      </c>
      <c r="BL179" s="1" t="s">
        <v>90</v>
      </c>
    </row>
    <row r="180" spans="1:64" x14ac:dyDescent="0.3">
      <c r="A180" t="s">
        <v>864</v>
      </c>
      <c r="B180" s="1" t="s">
        <v>864</v>
      </c>
      <c r="C180" s="9" t="s">
        <v>865</v>
      </c>
      <c r="D180" s="1" t="s">
        <v>44</v>
      </c>
      <c r="E180" s="1" t="s">
        <v>88</v>
      </c>
      <c r="F180" s="10" t="s">
        <v>853</v>
      </c>
      <c r="G180" s="1">
        <v>2.5000000000000001E-2</v>
      </c>
      <c r="H180" s="1">
        <v>0.02</v>
      </c>
      <c r="I180" s="8">
        <v>44204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125180</v>
      </c>
      <c r="AJ180" s="2">
        <v>54345</v>
      </c>
      <c r="AK180" s="2">
        <v>2235.36</v>
      </c>
      <c r="AL180" s="2">
        <v>970.45</v>
      </c>
      <c r="AM180" s="5">
        <v>1602.9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5385.76</v>
      </c>
      <c r="AT180" s="12">
        <v>4808.7100000000009</v>
      </c>
      <c r="AU180" s="2">
        <v>96.17</v>
      </c>
      <c r="AV180" s="5">
        <v>0</v>
      </c>
      <c r="AX180" s="2">
        <v>125180</v>
      </c>
      <c r="AY180" s="2">
        <v>54345</v>
      </c>
      <c r="AZ180" s="2">
        <v>2235.36</v>
      </c>
      <c r="BA180" s="2">
        <v>970.45</v>
      </c>
      <c r="BB180" s="5">
        <v>1602.9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5385.76</v>
      </c>
      <c r="BI180" s="12">
        <v>4808.7100000000009</v>
      </c>
      <c r="BJ180" s="2">
        <v>96.17</v>
      </c>
      <c r="BL180" s="1" t="s">
        <v>90</v>
      </c>
    </row>
    <row r="181" spans="1:64" x14ac:dyDescent="0.3">
      <c r="A181" t="s">
        <v>866</v>
      </c>
      <c r="B181" s="1" t="s">
        <v>866</v>
      </c>
      <c r="C181" s="9" t="s">
        <v>867</v>
      </c>
      <c r="D181" s="1" t="s">
        <v>44</v>
      </c>
      <c r="E181" s="1" t="s">
        <v>88</v>
      </c>
      <c r="F181" s="10" t="s">
        <v>853</v>
      </c>
      <c r="G181" s="1">
        <v>3.5000000000000003E-2</v>
      </c>
      <c r="H181" s="1">
        <v>0.02</v>
      </c>
      <c r="I181" s="8">
        <v>44661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153512</v>
      </c>
      <c r="AJ181" s="2">
        <v>41524</v>
      </c>
      <c r="AK181" s="2">
        <v>2741.29</v>
      </c>
      <c r="AL181" s="2">
        <v>741.5</v>
      </c>
      <c r="AM181" s="5">
        <v>1741.39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5851.08</v>
      </c>
      <c r="AT181" s="12">
        <v>5224.18</v>
      </c>
      <c r="AU181" s="2">
        <v>104.48</v>
      </c>
      <c r="AV181" s="5">
        <v>0</v>
      </c>
      <c r="AX181" s="2">
        <v>153512</v>
      </c>
      <c r="AY181" s="2">
        <v>41524</v>
      </c>
      <c r="AZ181" s="2">
        <v>2741.29</v>
      </c>
      <c r="BA181" s="2">
        <v>741.5</v>
      </c>
      <c r="BB181" s="5">
        <v>1741.39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5851.08</v>
      </c>
      <c r="BI181" s="12">
        <v>5224.18</v>
      </c>
      <c r="BJ181" s="2">
        <v>104.48</v>
      </c>
      <c r="BL181" s="1" t="s">
        <v>90</v>
      </c>
    </row>
    <row r="182" spans="1:64" x14ac:dyDescent="0.3">
      <c r="A182" t="s">
        <v>868</v>
      </c>
      <c r="B182" s="1" t="s">
        <v>868</v>
      </c>
      <c r="C182" s="9" t="s">
        <v>869</v>
      </c>
      <c r="D182" s="1" t="s">
        <v>44</v>
      </c>
      <c r="E182" s="1" t="s">
        <v>88</v>
      </c>
      <c r="F182" s="10" t="s">
        <v>188</v>
      </c>
      <c r="G182" s="1">
        <v>3.5000000000000003E-2</v>
      </c>
      <c r="H182" s="1">
        <v>0.02</v>
      </c>
      <c r="I182" s="8">
        <v>44755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124538</v>
      </c>
      <c r="AJ182" s="2">
        <v>52325</v>
      </c>
      <c r="AK182" s="2">
        <v>2223.89</v>
      </c>
      <c r="AL182" s="2">
        <v>934.37</v>
      </c>
      <c r="AM182" s="5">
        <v>1579.13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5305.88</v>
      </c>
      <c r="AT182" s="12">
        <v>4737.3899999999994</v>
      </c>
      <c r="AU182" s="2">
        <v>94.75</v>
      </c>
      <c r="AV182" s="5">
        <v>0</v>
      </c>
      <c r="AX182" s="2">
        <v>124538</v>
      </c>
      <c r="AY182" s="2">
        <v>52325</v>
      </c>
      <c r="AZ182" s="2">
        <v>2223.89</v>
      </c>
      <c r="BA182" s="2">
        <v>934.37</v>
      </c>
      <c r="BB182" s="5">
        <v>1579.13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5305.88</v>
      </c>
      <c r="BI182" s="12">
        <v>4737.3899999999994</v>
      </c>
      <c r="BJ182" s="2">
        <v>94.75</v>
      </c>
      <c r="BL182" s="1" t="s">
        <v>90</v>
      </c>
    </row>
    <row r="183" spans="1:64" x14ac:dyDescent="0.3">
      <c r="A183" t="s">
        <v>870</v>
      </c>
      <c r="B183" s="1" t="s">
        <v>870</v>
      </c>
      <c r="C183" s="9" t="s">
        <v>871</v>
      </c>
      <c r="D183" s="1" t="s">
        <v>44</v>
      </c>
      <c r="E183" s="1" t="s">
        <v>88</v>
      </c>
      <c r="F183" s="10" t="s">
        <v>101</v>
      </c>
      <c r="G183" s="1">
        <v>3.5000000000000003E-2</v>
      </c>
      <c r="H183" s="1">
        <v>0.02</v>
      </c>
      <c r="I183" s="8">
        <v>45003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595481.09</v>
      </c>
      <c r="AJ183" s="2">
        <v>94861</v>
      </c>
      <c r="AK183" s="2">
        <v>10633.59</v>
      </c>
      <c r="AL183" s="2">
        <v>1693.95</v>
      </c>
      <c r="AM183" s="5">
        <v>6163.77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20710.27</v>
      </c>
      <c r="AT183" s="12">
        <v>18491.310000000001</v>
      </c>
      <c r="AU183" s="2">
        <v>369.83</v>
      </c>
      <c r="AV183" s="5">
        <v>0</v>
      </c>
      <c r="AX183" s="2">
        <v>595481.09</v>
      </c>
      <c r="AY183" s="2">
        <v>94861</v>
      </c>
      <c r="AZ183" s="2">
        <v>10633.59</v>
      </c>
      <c r="BA183" s="2">
        <v>1693.95</v>
      </c>
      <c r="BB183" s="5">
        <v>6163.77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20710.27</v>
      </c>
      <c r="BI183" s="12">
        <v>18491.310000000001</v>
      </c>
      <c r="BJ183" s="2">
        <v>369.83</v>
      </c>
      <c r="BL183" s="1" t="s">
        <v>90</v>
      </c>
    </row>
    <row r="184" spans="1:64" x14ac:dyDescent="0.3">
      <c r="A184" t="s">
        <v>872</v>
      </c>
      <c r="B184" s="1" t="s">
        <v>872</v>
      </c>
      <c r="C184" s="9" t="s">
        <v>873</v>
      </c>
      <c r="D184" s="1" t="s">
        <v>44</v>
      </c>
      <c r="E184" s="1" t="s">
        <v>88</v>
      </c>
      <c r="F184" s="10" t="s">
        <v>89</v>
      </c>
      <c r="G184" s="1">
        <v>2.5000000000000001E-2</v>
      </c>
      <c r="H184" s="1">
        <v>0.02</v>
      </c>
      <c r="I184" s="8">
        <v>44424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702455.85</v>
      </c>
      <c r="AJ184" s="2">
        <v>350747.75</v>
      </c>
      <c r="AK184" s="2">
        <v>12543.86</v>
      </c>
      <c r="AL184" s="2">
        <v>6263.3600000000006</v>
      </c>
      <c r="AM184" s="5">
        <v>9403.61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31596.13</v>
      </c>
      <c r="AT184" s="12">
        <v>28210.83</v>
      </c>
      <c r="AU184" s="2">
        <v>564.22</v>
      </c>
      <c r="AV184" s="5">
        <v>0</v>
      </c>
      <c r="AX184" s="2">
        <v>702455.85</v>
      </c>
      <c r="AY184" s="2">
        <v>350747.75</v>
      </c>
      <c r="AZ184" s="2">
        <v>12543.86</v>
      </c>
      <c r="BA184" s="2">
        <v>6263.3600000000006</v>
      </c>
      <c r="BB184" s="5">
        <v>9403.61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31596.13</v>
      </c>
      <c r="BI184" s="12">
        <v>28210.83</v>
      </c>
      <c r="BJ184" s="2">
        <v>564.22</v>
      </c>
      <c r="BK184" s="5">
        <v>0</v>
      </c>
      <c r="BL184" s="1" t="s">
        <v>90</v>
      </c>
    </row>
    <row r="185" spans="1:64" x14ac:dyDescent="0.3">
      <c r="A185" t="s">
        <v>878</v>
      </c>
      <c r="B185" s="1" t="s">
        <v>878</v>
      </c>
      <c r="C185" s="9" t="s">
        <v>879</v>
      </c>
      <c r="D185" s="1" t="s">
        <v>44</v>
      </c>
      <c r="E185" s="1" t="s">
        <v>88</v>
      </c>
      <c r="F185" s="10" t="s">
        <v>848</v>
      </c>
      <c r="G185" s="1">
        <v>2.5000000000000001E-2</v>
      </c>
      <c r="H185" s="1">
        <v>0.02</v>
      </c>
      <c r="I185" s="8">
        <v>44228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261356</v>
      </c>
      <c r="AJ185" s="2">
        <v>115373</v>
      </c>
      <c r="AK185" s="2">
        <v>4667.07</v>
      </c>
      <c r="AL185" s="2">
        <v>2060.23</v>
      </c>
      <c r="AM185" s="5">
        <v>3363.65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11301.86</v>
      </c>
      <c r="AT185" s="12">
        <v>10090.949999999999</v>
      </c>
      <c r="AU185" s="2">
        <v>201.82</v>
      </c>
      <c r="AV185" s="5">
        <v>0</v>
      </c>
      <c r="AX185" s="2">
        <v>261356</v>
      </c>
      <c r="AY185" s="2">
        <v>115373</v>
      </c>
      <c r="AZ185" s="2">
        <v>4667.07</v>
      </c>
      <c r="BA185" s="2">
        <v>2060.23</v>
      </c>
      <c r="BB185" s="5">
        <v>3363.65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11301.86</v>
      </c>
      <c r="BI185" s="12">
        <v>10090.949999999999</v>
      </c>
      <c r="BJ185" s="2">
        <v>201.82</v>
      </c>
      <c r="BL185" s="1" t="s">
        <v>90</v>
      </c>
    </row>
    <row r="186" spans="1:64" x14ac:dyDescent="0.3">
      <c r="A186" t="s">
        <v>880</v>
      </c>
      <c r="B186" s="1" t="s">
        <v>880</v>
      </c>
      <c r="C186" s="9" t="s">
        <v>881</v>
      </c>
      <c r="D186" s="1" t="s">
        <v>44</v>
      </c>
      <c r="E186" s="1" t="s">
        <v>88</v>
      </c>
      <c r="F186" s="10" t="s">
        <v>848</v>
      </c>
      <c r="G186" s="1">
        <v>3.5000000000000003E-2</v>
      </c>
      <c r="H186" s="1">
        <v>0.02</v>
      </c>
      <c r="I186" s="8">
        <v>45777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236471</v>
      </c>
      <c r="AJ186" s="2">
        <v>62328</v>
      </c>
      <c r="AK186" s="2">
        <v>7284.15</v>
      </c>
      <c r="AL186" s="2">
        <v>1919.92</v>
      </c>
      <c r="AM186" s="5">
        <v>2667.85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13296.55</v>
      </c>
      <c r="AT186" s="12">
        <v>11871.92</v>
      </c>
      <c r="AU186" s="2">
        <v>237.44</v>
      </c>
      <c r="AV186" s="5">
        <v>0</v>
      </c>
      <c r="AX186" s="2">
        <v>236471</v>
      </c>
      <c r="AY186" s="2">
        <v>62328</v>
      </c>
      <c r="AZ186" s="2">
        <v>7284.15</v>
      </c>
      <c r="BA186" s="2">
        <v>1919.92</v>
      </c>
      <c r="BB186" s="5">
        <v>2667.85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13296.55</v>
      </c>
      <c r="BI186" s="12">
        <v>11871.92</v>
      </c>
      <c r="BJ186" s="2">
        <v>237.44</v>
      </c>
      <c r="BL186" s="1" t="s">
        <v>90</v>
      </c>
    </row>
    <row r="187" spans="1:64" x14ac:dyDescent="0.3">
      <c r="A187" t="s">
        <v>882</v>
      </c>
      <c r="B187" s="1" t="s">
        <v>882</v>
      </c>
      <c r="C187" s="9" t="s">
        <v>883</v>
      </c>
      <c r="D187" s="1" t="s">
        <v>44</v>
      </c>
      <c r="E187" s="1" t="s">
        <v>88</v>
      </c>
      <c r="F187" s="10" t="s">
        <v>853</v>
      </c>
      <c r="G187" s="1">
        <v>0</v>
      </c>
      <c r="H187" s="1">
        <v>0.02</v>
      </c>
      <c r="I187" s="8">
        <v>44009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154804</v>
      </c>
      <c r="AJ187" s="2">
        <v>54859</v>
      </c>
      <c r="AK187" s="2">
        <v>2764.36</v>
      </c>
      <c r="AL187" s="2">
        <v>979.62</v>
      </c>
      <c r="AM187" s="5">
        <v>1871.99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6289.89</v>
      </c>
      <c r="AT187" s="12">
        <v>5615.97</v>
      </c>
      <c r="AU187" s="2">
        <v>112.32</v>
      </c>
      <c r="AV187" s="5">
        <v>0</v>
      </c>
      <c r="AX187" s="2">
        <v>154804</v>
      </c>
      <c r="AY187" s="2">
        <v>54859</v>
      </c>
      <c r="AZ187" s="2">
        <v>2764.36</v>
      </c>
      <c r="BA187" s="2">
        <v>979.62</v>
      </c>
      <c r="BB187" s="5">
        <v>1871.99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6289.89</v>
      </c>
      <c r="BI187" s="12">
        <v>5615.97</v>
      </c>
      <c r="BJ187" s="2">
        <v>112.32</v>
      </c>
      <c r="BL187" s="1" t="s">
        <v>90</v>
      </c>
    </row>
    <row r="188" spans="1:64" x14ac:dyDescent="0.3">
      <c r="A188" t="s">
        <v>884</v>
      </c>
      <c r="B188" s="1" t="s">
        <v>884</v>
      </c>
      <c r="C188" s="9" t="s">
        <v>885</v>
      </c>
      <c r="D188" s="1" t="s">
        <v>44</v>
      </c>
      <c r="E188" s="1" t="s">
        <v>88</v>
      </c>
      <c r="F188" s="10" t="s">
        <v>853</v>
      </c>
      <c r="G188" s="1">
        <v>0</v>
      </c>
      <c r="H188" s="1">
        <v>0.02</v>
      </c>
      <c r="I188" s="8">
        <v>44903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196481</v>
      </c>
      <c r="AJ188" s="2">
        <v>79371</v>
      </c>
      <c r="AK188" s="2">
        <v>3508.59</v>
      </c>
      <c r="AL188" s="2">
        <v>1417.34</v>
      </c>
      <c r="AM188" s="5">
        <v>2462.96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8275.56</v>
      </c>
      <c r="AT188" s="12">
        <v>7388.89</v>
      </c>
      <c r="AU188" s="2">
        <v>147.78</v>
      </c>
      <c r="AV188" s="5">
        <v>0</v>
      </c>
      <c r="AX188" s="2">
        <v>196481</v>
      </c>
      <c r="AY188" s="2">
        <v>79371</v>
      </c>
      <c r="AZ188" s="2">
        <v>3508.59</v>
      </c>
      <c r="BA188" s="2">
        <v>1417.34</v>
      </c>
      <c r="BB188" s="5">
        <v>2462.96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8275.56</v>
      </c>
      <c r="BI188" s="12">
        <v>7388.89</v>
      </c>
      <c r="BJ188" s="2">
        <v>147.78</v>
      </c>
      <c r="BL188" s="1" t="s">
        <v>90</v>
      </c>
    </row>
    <row r="189" spans="1:64" x14ac:dyDescent="0.3">
      <c r="A189" t="s">
        <v>904</v>
      </c>
      <c r="B189" s="1" t="s">
        <v>904</v>
      </c>
      <c r="C189" s="9" t="s">
        <v>905</v>
      </c>
      <c r="D189" s="1" t="s">
        <v>44</v>
      </c>
      <c r="E189" s="1" t="s">
        <v>88</v>
      </c>
      <c r="F189" s="10" t="s">
        <v>853</v>
      </c>
      <c r="G189" s="1">
        <v>0</v>
      </c>
      <c r="H189" s="1">
        <v>0.02</v>
      </c>
      <c r="I189" s="8">
        <v>44903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76289</v>
      </c>
      <c r="AJ189" s="2">
        <v>25242</v>
      </c>
      <c r="AK189" s="2">
        <v>1362.3</v>
      </c>
      <c r="AL189" s="2">
        <v>450.75</v>
      </c>
      <c r="AM189" s="5">
        <v>906.53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3045.93</v>
      </c>
      <c r="AT189" s="12">
        <v>2719.58</v>
      </c>
      <c r="AU189" s="2">
        <v>54.39</v>
      </c>
      <c r="AV189" s="5">
        <v>0</v>
      </c>
      <c r="AX189" s="2">
        <v>76289</v>
      </c>
      <c r="AY189" s="2">
        <v>25242</v>
      </c>
      <c r="AZ189" s="2">
        <v>1362.3</v>
      </c>
      <c r="BA189" s="2">
        <v>450.75</v>
      </c>
      <c r="BB189" s="5">
        <v>906.53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3045.93</v>
      </c>
      <c r="BI189" s="12">
        <v>2719.58</v>
      </c>
      <c r="BJ189" s="2">
        <v>54.39</v>
      </c>
      <c r="BL189" s="1" t="s">
        <v>90</v>
      </c>
    </row>
    <row r="190" spans="1:64" x14ac:dyDescent="0.3">
      <c r="A190" t="s">
        <v>906</v>
      </c>
      <c r="B190" s="1" t="s">
        <v>906</v>
      </c>
      <c r="C190" s="9" t="s">
        <v>907</v>
      </c>
      <c r="D190" s="1" t="s">
        <v>44</v>
      </c>
      <c r="E190" s="1" t="s">
        <v>88</v>
      </c>
      <c r="F190" s="10" t="s">
        <v>178</v>
      </c>
      <c r="G190" s="1">
        <v>0</v>
      </c>
      <c r="H190" s="1">
        <v>0.02</v>
      </c>
      <c r="I190" s="8">
        <v>45638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405390</v>
      </c>
      <c r="AJ190" s="2">
        <v>126670</v>
      </c>
      <c r="AK190" s="2">
        <v>7239.11</v>
      </c>
      <c r="AL190" s="2">
        <v>2261.96</v>
      </c>
      <c r="AM190" s="5">
        <v>4750.54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15961.8</v>
      </c>
      <c r="AT190" s="12">
        <v>14251.61</v>
      </c>
      <c r="AU190" s="2">
        <v>285.02999999999997</v>
      </c>
      <c r="AV190" s="5">
        <v>0</v>
      </c>
      <c r="AX190" s="2">
        <v>405390</v>
      </c>
      <c r="AY190" s="2">
        <v>126670</v>
      </c>
      <c r="AZ190" s="2">
        <v>7239.11</v>
      </c>
      <c r="BA190" s="2">
        <v>2261.96</v>
      </c>
      <c r="BB190" s="5">
        <v>4750.54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15961.8</v>
      </c>
      <c r="BI190" s="12">
        <v>14251.61</v>
      </c>
      <c r="BJ190" s="2">
        <v>285.02999999999997</v>
      </c>
      <c r="BL190" s="1" t="s">
        <v>90</v>
      </c>
    </row>
    <row r="191" spans="1:64" x14ac:dyDescent="0.3">
      <c r="A191" t="s">
        <v>910</v>
      </c>
      <c r="B191" s="1" t="s">
        <v>910</v>
      </c>
      <c r="C191" s="9" t="s">
        <v>911</v>
      </c>
      <c r="D191" s="1" t="s">
        <v>44</v>
      </c>
      <c r="E191" s="1" t="s">
        <v>88</v>
      </c>
      <c r="F191" s="10" t="s">
        <v>848</v>
      </c>
      <c r="G191" s="1">
        <v>0</v>
      </c>
      <c r="H191" s="1">
        <v>0.02</v>
      </c>
      <c r="I191" s="8">
        <v>45561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132086</v>
      </c>
      <c r="AJ191" s="2">
        <v>65255</v>
      </c>
      <c r="AK191" s="2">
        <v>2358.6799999999998</v>
      </c>
      <c r="AL191" s="2">
        <v>1165.27</v>
      </c>
      <c r="AM191" s="5">
        <v>1761.97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5920.23</v>
      </c>
      <c r="AT191" s="12">
        <v>5285.92</v>
      </c>
      <c r="AU191" s="2">
        <v>105.72</v>
      </c>
      <c r="AV191" s="5">
        <v>0</v>
      </c>
      <c r="AX191" s="2">
        <v>132086</v>
      </c>
      <c r="AY191" s="2">
        <v>65255</v>
      </c>
      <c r="AZ191" s="2">
        <v>2358.6799999999998</v>
      </c>
      <c r="BA191" s="2">
        <v>1165.27</v>
      </c>
      <c r="BB191" s="5">
        <v>1761.97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5920.23</v>
      </c>
      <c r="BI191" s="12">
        <v>5285.92</v>
      </c>
      <c r="BJ191" s="2">
        <v>105.72</v>
      </c>
      <c r="BL191" s="1" t="s">
        <v>90</v>
      </c>
    </row>
    <row r="192" spans="1:64" x14ac:dyDescent="0.3">
      <c r="A192" t="s">
        <v>936</v>
      </c>
      <c r="B192" s="1" t="s">
        <v>936</v>
      </c>
      <c r="C192" s="9" t="s">
        <v>937</v>
      </c>
      <c r="D192" s="1" t="s">
        <v>44</v>
      </c>
      <c r="E192" s="1" t="s">
        <v>88</v>
      </c>
      <c r="F192" s="10" t="s">
        <v>848</v>
      </c>
      <c r="G192" s="1">
        <v>0</v>
      </c>
      <c r="H192" s="1">
        <v>0.02</v>
      </c>
      <c r="I192" s="8">
        <v>44009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152886</v>
      </c>
      <c r="AJ192" s="2">
        <v>54710</v>
      </c>
      <c r="AK192" s="2">
        <v>2730.11</v>
      </c>
      <c r="AL192" s="2">
        <v>976.96</v>
      </c>
      <c r="AM192" s="5">
        <v>1853.54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6227.88</v>
      </c>
      <c r="AT192" s="12">
        <v>5560.6100000000006</v>
      </c>
      <c r="AU192" s="2">
        <v>111.21</v>
      </c>
      <c r="AV192" s="5">
        <v>0</v>
      </c>
      <c r="AX192" s="2">
        <v>152886</v>
      </c>
      <c r="AY192" s="2">
        <v>54710</v>
      </c>
      <c r="AZ192" s="2">
        <v>2730.11</v>
      </c>
      <c r="BA192" s="2">
        <v>976.96</v>
      </c>
      <c r="BB192" s="5">
        <v>1853.54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6227.88</v>
      </c>
      <c r="BI192" s="12">
        <v>5560.6100000000006</v>
      </c>
      <c r="BJ192" s="2">
        <v>111.21</v>
      </c>
      <c r="BL192" s="1" t="s">
        <v>90</v>
      </c>
    </row>
    <row r="193" spans="1:64" x14ac:dyDescent="0.3">
      <c r="A193" t="s">
        <v>956</v>
      </c>
      <c r="B193" s="1" t="s">
        <v>956</v>
      </c>
      <c r="C193" s="9" t="s">
        <v>957</v>
      </c>
      <c r="D193" s="1" t="s">
        <v>44</v>
      </c>
      <c r="E193" s="1" t="s">
        <v>88</v>
      </c>
      <c r="F193" s="10" t="s">
        <v>848</v>
      </c>
      <c r="G193" s="1">
        <v>0</v>
      </c>
      <c r="H193" s="1">
        <v>0.02</v>
      </c>
      <c r="I193" s="8">
        <v>44520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205767</v>
      </c>
      <c r="AJ193" s="2">
        <v>53272</v>
      </c>
      <c r="AK193" s="2">
        <v>3674.41</v>
      </c>
      <c r="AL193" s="2">
        <v>951.29</v>
      </c>
      <c r="AM193" s="5">
        <v>2312.85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7771.18</v>
      </c>
      <c r="AT193" s="12">
        <v>6938.5499999999993</v>
      </c>
      <c r="AU193" s="2">
        <v>138.77000000000001</v>
      </c>
      <c r="AV193" s="5">
        <v>0</v>
      </c>
      <c r="AX193" s="2">
        <v>205767</v>
      </c>
      <c r="AY193" s="2">
        <v>53272</v>
      </c>
      <c r="AZ193" s="2">
        <v>3674.41</v>
      </c>
      <c r="BA193" s="2">
        <v>951.29</v>
      </c>
      <c r="BB193" s="5">
        <v>2312.85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7771.18</v>
      </c>
      <c r="BI193" s="12">
        <v>6938.5499999999993</v>
      </c>
      <c r="BJ193" s="2">
        <v>138.77000000000001</v>
      </c>
      <c r="BL193" s="1" t="s">
        <v>90</v>
      </c>
    </row>
    <row r="194" spans="1:64" x14ac:dyDescent="0.3">
      <c r="A194" t="s">
        <v>962</v>
      </c>
      <c r="B194" s="1" t="s">
        <v>962</v>
      </c>
      <c r="C194" s="9" t="s">
        <v>963</v>
      </c>
      <c r="D194" s="1" t="s">
        <v>44</v>
      </c>
      <c r="E194" s="1" t="s">
        <v>88</v>
      </c>
      <c r="F194" s="10" t="s">
        <v>101</v>
      </c>
      <c r="G194" s="1">
        <v>0</v>
      </c>
      <c r="H194" s="1">
        <v>0.02</v>
      </c>
      <c r="I194" s="8">
        <v>44075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396818.57999999996</v>
      </c>
      <c r="AJ194" s="2">
        <v>81389.759999999995</v>
      </c>
      <c r="AK194" s="2">
        <v>7086.04</v>
      </c>
      <c r="AL194" s="2">
        <v>1453.39</v>
      </c>
      <c r="AM194" s="5">
        <v>4269.71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14346.24</v>
      </c>
      <c r="AT194" s="12">
        <v>12809.14</v>
      </c>
      <c r="AU194" s="2">
        <v>256.18</v>
      </c>
      <c r="AV194" s="5">
        <v>0</v>
      </c>
      <c r="AX194" s="2">
        <v>396818.57999999996</v>
      </c>
      <c r="AY194" s="2">
        <v>81389.759999999995</v>
      </c>
      <c r="AZ194" s="2">
        <v>7086.04</v>
      </c>
      <c r="BA194" s="2">
        <v>1453.39</v>
      </c>
      <c r="BB194" s="5">
        <v>4269.71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14346.24</v>
      </c>
      <c r="BI194" s="12">
        <v>12809.14</v>
      </c>
      <c r="BJ194" s="2">
        <v>256.18</v>
      </c>
      <c r="BL194" s="1" t="s">
        <v>90</v>
      </c>
    </row>
    <row r="195" spans="1:64" x14ac:dyDescent="0.3">
      <c r="A195" t="s">
        <v>972</v>
      </c>
      <c r="B195" s="1" t="s">
        <v>972</v>
      </c>
      <c r="C195" s="9" t="s">
        <v>973</v>
      </c>
      <c r="D195" s="1" t="s">
        <v>44</v>
      </c>
      <c r="E195" s="1" t="s">
        <v>88</v>
      </c>
      <c r="F195" s="10" t="s">
        <v>848</v>
      </c>
      <c r="G195" s="1">
        <v>0</v>
      </c>
      <c r="H195" s="1">
        <v>0.02</v>
      </c>
      <c r="I195" s="8">
        <v>44163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80797</v>
      </c>
      <c r="AJ195" s="2">
        <v>15578</v>
      </c>
      <c r="AK195" s="2">
        <v>1442.8</v>
      </c>
      <c r="AL195" s="2">
        <v>278.18</v>
      </c>
      <c r="AM195" s="5">
        <v>860.49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2891.25</v>
      </c>
      <c r="AT195" s="12">
        <v>2581.4700000000003</v>
      </c>
      <c r="AU195" s="2">
        <v>51.63</v>
      </c>
      <c r="AV195" s="5">
        <v>0</v>
      </c>
      <c r="AX195" s="2">
        <v>80797</v>
      </c>
      <c r="AY195" s="2">
        <v>15578</v>
      </c>
      <c r="AZ195" s="2">
        <v>1442.8</v>
      </c>
      <c r="BA195" s="2">
        <v>278.18</v>
      </c>
      <c r="BB195" s="5">
        <v>860.49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2891.25</v>
      </c>
      <c r="BI195" s="12">
        <v>2581.4700000000003</v>
      </c>
      <c r="BJ195" s="2">
        <v>51.63</v>
      </c>
      <c r="BL195" s="1" t="s">
        <v>90</v>
      </c>
    </row>
    <row r="196" spans="1:64" x14ac:dyDescent="0.3">
      <c r="A196" t="s">
        <v>984</v>
      </c>
      <c r="B196" s="1" t="s">
        <v>984</v>
      </c>
      <c r="C196" s="9" t="s">
        <v>985</v>
      </c>
      <c r="D196" s="1" t="s">
        <v>44</v>
      </c>
      <c r="E196" s="1" t="s">
        <v>88</v>
      </c>
      <c r="F196" s="10" t="s">
        <v>853</v>
      </c>
      <c r="G196" s="1">
        <v>0</v>
      </c>
      <c r="H196" s="1">
        <v>0.02</v>
      </c>
      <c r="I196" s="8">
        <v>44358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178989.77</v>
      </c>
      <c r="AJ196" s="2">
        <v>38287.009999999995</v>
      </c>
      <c r="AK196" s="2">
        <v>3196.25</v>
      </c>
      <c r="AL196" s="2">
        <v>683.7</v>
      </c>
      <c r="AM196" s="5">
        <v>1939.97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6518.31</v>
      </c>
      <c r="AT196" s="12">
        <v>5819.92</v>
      </c>
      <c r="AU196" s="2">
        <v>116.4</v>
      </c>
      <c r="AV196" s="5">
        <v>0</v>
      </c>
      <c r="AX196" s="2">
        <v>178989.77</v>
      </c>
      <c r="AY196" s="2">
        <v>38287.009999999995</v>
      </c>
      <c r="AZ196" s="2">
        <v>3196.25</v>
      </c>
      <c r="BA196" s="2">
        <v>683.7</v>
      </c>
      <c r="BB196" s="5">
        <v>1939.97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6518.31</v>
      </c>
      <c r="BI196" s="12">
        <v>5819.92</v>
      </c>
      <c r="BJ196" s="2">
        <v>116.4</v>
      </c>
      <c r="BL196" s="1" t="s">
        <v>90</v>
      </c>
    </row>
    <row r="197" spans="1:64" x14ac:dyDescent="0.3">
      <c r="A197" t="s">
        <v>999</v>
      </c>
      <c r="B197" s="1" t="s">
        <v>1000</v>
      </c>
      <c r="C197" s="9" t="s">
        <v>1001</v>
      </c>
      <c r="D197" s="1" t="s">
        <v>44</v>
      </c>
      <c r="E197" s="1" t="s">
        <v>88</v>
      </c>
      <c r="F197" s="10" t="s">
        <v>181</v>
      </c>
      <c r="G197" s="1">
        <v>0</v>
      </c>
      <c r="H197" s="1">
        <v>0.02</v>
      </c>
      <c r="I197" s="8">
        <v>44377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602117.19999999995</v>
      </c>
      <c r="AJ197" s="2">
        <v>128169.70999999999</v>
      </c>
      <c r="AK197" s="2">
        <v>10752.09</v>
      </c>
      <c r="AL197" s="2">
        <v>2288.73</v>
      </c>
      <c r="AM197" s="5">
        <v>6520.42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21908.59</v>
      </c>
      <c r="AT197" s="12">
        <v>19561.240000000002</v>
      </c>
      <c r="AU197" s="2">
        <v>391.22</v>
      </c>
      <c r="AV197" s="5">
        <v>0</v>
      </c>
      <c r="AX197" s="2">
        <v>602117.19999999995</v>
      </c>
      <c r="AY197" s="2">
        <v>128169.70999999999</v>
      </c>
      <c r="AZ197" s="2">
        <v>10752.09</v>
      </c>
      <c r="BA197" s="2">
        <v>2288.73</v>
      </c>
      <c r="BB197" s="5">
        <v>6520.42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21908.59</v>
      </c>
      <c r="BI197" s="12">
        <v>19561.240000000002</v>
      </c>
      <c r="BJ197" s="2">
        <v>391.22</v>
      </c>
      <c r="BK197" s="5">
        <v>0</v>
      </c>
      <c r="BL197" s="1" t="s">
        <v>90</v>
      </c>
    </row>
    <row r="198" spans="1:64" x14ac:dyDescent="0.3">
      <c r="A198" t="s">
        <v>1051</v>
      </c>
      <c r="B198" s="1" t="s">
        <v>1051</v>
      </c>
      <c r="C198" s="9" t="s">
        <v>1052</v>
      </c>
      <c r="D198" s="1" t="s">
        <v>44</v>
      </c>
      <c r="E198" s="1" t="s">
        <v>88</v>
      </c>
      <c r="F198" s="10" t="s">
        <v>848</v>
      </c>
      <c r="G198" s="1">
        <v>0</v>
      </c>
      <c r="H198" s="1">
        <v>0.02</v>
      </c>
      <c r="I198" s="8">
        <v>44709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93742</v>
      </c>
      <c r="AJ198" s="2">
        <v>33515</v>
      </c>
      <c r="AK198" s="2">
        <v>1673.96</v>
      </c>
      <c r="AL198" s="2">
        <v>598.48</v>
      </c>
      <c r="AM198" s="5">
        <v>1136.22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3817.7</v>
      </c>
      <c r="AT198" s="12">
        <v>3408.66</v>
      </c>
      <c r="AU198" s="2">
        <v>68.17</v>
      </c>
      <c r="AV198" s="5">
        <v>0</v>
      </c>
      <c r="AX198" s="2">
        <v>93742</v>
      </c>
      <c r="AY198" s="2">
        <v>33515</v>
      </c>
      <c r="AZ198" s="2">
        <v>1673.96</v>
      </c>
      <c r="BA198" s="2">
        <v>598.48</v>
      </c>
      <c r="BB198" s="5">
        <v>1136.22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3817.7</v>
      </c>
      <c r="BI198" s="12">
        <v>3408.66</v>
      </c>
      <c r="BJ198" s="2">
        <v>68.17</v>
      </c>
      <c r="BL198" s="1" t="s">
        <v>90</v>
      </c>
    </row>
    <row r="199" spans="1:64" x14ac:dyDescent="0.3">
      <c r="A199" t="s">
        <v>1057</v>
      </c>
      <c r="B199" s="1" t="s">
        <v>1057</v>
      </c>
      <c r="C199" s="9" t="s">
        <v>1058</v>
      </c>
      <c r="D199" s="1" t="s">
        <v>44</v>
      </c>
      <c r="E199" s="1" t="s">
        <v>88</v>
      </c>
      <c r="F199" s="10" t="s">
        <v>178</v>
      </c>
      <c r="G199" s="1">
        <v>0</v>
      </c>
      <c r="H199" s="1">
        <v>0.02</v>
      </c>
      <c r="I199" s="8">
        <v>44743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432418.1</v>
      </c>
      <c r="AJ199" s="2">
        <v>60465.5</v>
      </c>
      <c r="AK199" s="2">
        <v>7721.75</v>
      </c>
      <c r="AL199" s="2">
        <v>1079.74</v>
      </c>
      <c r="AM199" s="5">
        <v>4400.75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14786.51</v>
      </c>
      <c r="AT199" s="12">
        <v>13202.24</v>
      </c>
      <c r="AU199" s="2">
        <v>264.04000000000002</v>
      </c>
      <c r="AV199" s="5">
        <v>0</v>
      </c>
      <c r="AX199" s="2">
        <v>432418.1</v>
      </c>
      <c r="AY199" s="2">
        <v>60465.5</v>
      </c>
      <c r="AZ199" s="2">
        <v>7721.75</v>
      </c>
      <c r="BA199" s="2">
        <v>1079.74</v>
      </c>
      <c r="BB199" s="5">
        <v>4400.75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14786.51</v>
      </c>
      <c r="BI199" s="12">
        <v>13202.24</v>
      </c>
      <c r="BJ199" s="2">
        <v>264.04000000000002</v>
      </c>
      <c r="BL199" s="1" t="s">
        <v>90</v>
      </c>
    </row>
    <row r="200" spans="1:64" x14ac:dyDescent="0.3">
      <c r="A200" t="s">
        <v>1061</v>
      </c>
      <c r="B200" s="1" t="s">
        <v>1061</v>
      </c>
      <c r="C200" s="9" t="s">
        <v>1062</v>
      </c>
      <c r="D200" s="1" t="s">
        <v>44</v>
      </c>
      <c r="E200" s="1" t="s">
        <v>88</v>
      </c>
      <c r="F200" s="10" t="s">
        <v>101</v>
      </c>
      <c r="G200" s="1">
        <v>0</v>
      </c>
      <c r="H200" s="1">
        <v>0.02</v>
      </c>
      <c r="I200" s="8">
        <v>44760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293918.55</v>
      </c>
      <c r="AJ200" s="2">
        <v>101741</v>
      </c>
      <c r="AK200" s="2">
        <v>5248.54</v>
      </c>
      <c r="AL200" s="2">
        <v>1816.8</v>
      </c>
      <c r="AM200" s="5">
        <v>3532.68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11869.78</v>
      </c>
      <c r="AT200" s="12">
        <v>10598.02</v>
      </c>
      <c r="AU200" s="2">
        <v>211.96</v>
      </c>
      <c r="AV200" s="5">
        <v>0</v>
      </c>
      <c r="AX200" s="2">
        <v>293918.55</v>
      </c>
      <c r="AY200" s="2">
        <v>101741</v>
      </c>
      <c r="AZ200" s="2">
        <v>5248.54</v>
      </c>
      <c r="BA200" s="2">
        <v>1816.8</v>
      </c>
      <c r="BB200" s="5">
        <v>3532.68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11869.78</v>
      </c>
      <c r="BI200" s="12">
        <v>10598.02</v>
      </c>
      <c r="BJ200" s="2">
        <v>211.96</v>
      </c>
      <c r="BL200" s="1" t="s">
        <v>90</v>
      </c>
    </row>
    <row r="201" spans="1:64" x14ac:dyDescent="0.3">
      <c r="A201" t="s">
        <v>1069</v>
      </c>
      <c r="B201" s="1" t="s">
        <v>1069</v>
      </c>
      <c r="C201" s="9" t="s">
        <v>1070</v>
      </c>
      <c r="D201" s="1" t="s">
        <v>44</v>
      </c>
      <c r="E201" s="1" t="s">
        <v>88</v>
      </c>
      <c r="F201" s="10" t="s">
        <v>848</v>
      </c>
      <c r="G201" s="1">
        <v>0</v>
      </c>
      <c r="H201" s="1">
        <v>0.02</v>
      </c>
      <c r="I201" s="8">
        <v>44771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214416</v>
      </c>
      <c r="AJ201" s="2">
        <v>39997</v>
      </c>
      <c r="AK201" s="2">
        <v>3828.86</v>
      </c>
      <c r="AL201" s="2">
        <v>714.23</v>
      </c>
      <c r="AM201" s="5">
        <v>2271.54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7632.39</v>
      </c>
      <c r="AT201" s="12">
        <v>6814.63</v>
      </c>
      <c r="AU201" s="2">
        <v>136.29</v>
      </c>
      <c r="AV201" s="5">
        <v>0</v>
      </c>
      <c r="AX201" s="2">
        <v>214416</v>
      </c>
      <c r="AY201" s="2">
        <v>39997</v>
      </c>
      <c r="AZ201" s="2">
        <v>3828.86</v>
      </c>
      <c r="BA201" s="2">
        <v>714.23</v>
      </c>
      <c r="BB201" s="5">
        <v>2271.54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7632.39</v>
      </c>
      <c r="BI201" s="12">
        <v>6814.63</v>
      </c>
      <c r="BJ201" s="2">
        <v>136.29</v>
      </c>
      <c r="BL201" s="1" t="s">
        <v>90</v>
      </c>
    </row>
    <row r="202" spans="1:64" x14ac:dyDescent="0.3">
      <c r="A202" t="s">
        <v>1071</v>
      </c>
      <c r="B202" s="1" t="s">
        <v>1071</v>
      </c>
      <c r="C202" s="9" t="s">
        <v>1072</v>
      </c>
      <c r="D202" s="1" t="s">
        <v>44</v>
      </c>
      <c r="E202" s="1" t="s">
        <v>88</v>
      </c>
      <c r="F202" s="10" t="s">
        <v>853</v>
      </c>
      <c r="G202" s="1">
        <v>0</v>
      </c>
      <c r="H202" s="1">
        <v>0.02</v>
      </c>
      <c r="I202" s="8">
        <v>45003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163496</v>
      </c>
      <c r="AJ202" s="2">
        <v>60553</v>
      </c>
      <c r="AK202" s="2">
        <v>2919.57</v>
      </c>
      <c r="AL202" s="2">
        <v>1081.3</v>
      </c>
      <c r="AM202" s="5">
        <v>2000.44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6721.47</v>
      </c>
      <c r="AT202" s="12">
        <v>6001.3099999999995</v>
      </c>
      <c r="AU202" s="2">
        <v>120.03</v>
      </c>
      <c r="AV202" s="5">
        <v>0</v>
      </c>
      <c r="AX202" s="2">
        <v>163496</v>
      </c>
      <c r="AY202" s="2">
        <v>60553</v>
      </c>
      <c r="AZ202" s="2">
        <v>2919.57</v>
      </c>
      <c r="BA202" s="2">
        <v>1081.3</v>
      </c>
      <c r="BB202" s="5">
        <v>2000.44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6721.47</v>
      </c>
      <c r="BI202" s="12">
        <v>6001.3099999999995</v>
      </c>
      <c r="BJ202" s="2">
        <v>120.03</v>
      </c>
      <c r="BL202" s="1" t="s">
        <v>90</v>
      </c>
    </row>
    <row r="203" spans="1:64" x14ac:dyDescent="0.3">
      <c r="A203" t="s">
        <v>1122</v>
      </c>
      <c r="B203" s="1" t="s">
        <v>1122</v>
      </c>
      <c r="C203" s="9" t="s">
        <v>1123</v>
      </c>
      <c r="D203" s="1" t="s">
        <v>44</v>
      </c>
      <c r="E203" s="1" t="s">
        <v>88</v>
      </c>
      <c r="F203" s="10" t="s">
        <v>848</v>
      </c>
      <c r="G203" s="1">
        <v>0</v>
      </c>
      <c r="H203" s="1">
        <v>0.02</v>
      </c>
      <c r="I203" s="8">
        <v>44832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77175</v>
      </c>
      <c r="AJ203" s="2">
        <v>25831</v>
      </c>
      <c r="AK203" s="2">
        <v>1378.12</v>
      </c>
      <c r="AL203" s="2">
        <v>461.27</v>
      </c>
      <c r="AM203" s="5">
        <v>919.7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3090.18</v>
      </c>
      <c r="AT203" s="12">
        <v>2759.09</v>
      </c>
      <c r="AU203" s="2">
        <v>55.18</v>
      </c>
      <c r="AV203" s="5">
        <v>0</v>
      </c>
      <c r="AX203" s="2">
        <v>77175</v>
      </c>
      <c r="AY203" s="2">
        <v>25831</v>
      </c>
      <c r="AZ203" s="2">
        <v>1378.12</v>
      </c>
      <c r="BA203" s="2">
        <v>461.27</v>
      </c>
      <c r="BB203" s="5">
        <v>919.7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3090.18</v>
      </c>
      <c r="BI203" s="12">
        <v>2759.09</v>
      </c>
      <c r="BJ203" s="2">
        <v>55.18</v>
      </c>
      <c r="BL203" s="1" t="s">
        <v>90</v>
      </c>
    </row>
    <row r="204" spans="1:64" x14ac:dyDescent="0.3">
      <c r="A204" t="s">
        <v>1124</v>
      </c>
      <c r="B204" s="1" t="s">
        <v>1124</v>
      </c>
      <c r="C204" s="9" t="s">
        <v>1125</v>
      </c>
      <c r="D204" s="1" t="s">
        <v>44</v>
      </c>
      <c r="E204" s="1" t="s">
        <v>88</v>
      </c>
      <c r="F204" s="10" t="s">
        <v>104</v>
      </c>
      <c r="G204" s="1">
        <v>0</v>
      </c>
      <c r="H204" s="1">
        <v>0.02</v>
      </c>
      <c r="I204" s="8">
        <v>44844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495500</v>
      </c>
      <c r="AJ204" s="2">
        <v>190538</v>
      </c>
      <c r="AK204" s="2">
        <v>8848.2099999999991</v>
      </c>
      <c r="AL204" s="2">
        <v>3402.46</v>
      </c>
      <c r="AM204" s="5">
        <v>6125.34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20581.13</v>
      </c>
      <c r="AT204" s="12">
        <v>18376.009999999998</v>
      </c>
      <c r="AU204" s="2">
        <v>367.52</v>
      </c>
      <c r="AV204" s="5">
        <v>0</v>
      </c>
      <c r="AX204" s="2">
        <v>495500</v>
      </c>
      <c r="AY204" s="2">
        <v>190538</v>
      </c>
      <c r="AZ204" s="2">
        <v>8848.2099999999991</v>
      </c>
      <c r="BA204" s="2">
        <v>3402.46</v>
      </c>
      <c r="BB204" s="5">
        <v>6125.34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20581.13</v>
      </c>
      <c r="BI204" s="12">
        <v>18376.009999999998</v>
      </c>
      <c r="BJ204" s="2">
        <v>367.52</v>
      </c>
      <c r="BL204" s="1" t="s">
        <v>90</v>
      </c>
    </row>
    <row r="205" spans="1:64" x14ac:dyDescent="0.3">
      <c r="A205" t="s">
        <v>1152</v>
      </c>
      <c r="B205" s="1" t="s">
        <v>1152</v>
      </c>
      <c r="C205" s="9" t="s">
        <v>1153</v>
      </c>
      <c r="D205" s="1" t="s">
        <v>44</v>
      </c>
      <c r="E205" s="1" t="s">
        <v>88</v>
      </c>
      <c r="F205" s="10" t="s">
        <v>853</v>
      </c>
      <c r="G205" s="1">
        <v>0</v>
      </c>
      <c r="H205" s="1">
        <v>0.02</v>
      </c>
      <c r="I205" s="8">
        <v>44873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238720.25</v>
      </c>
      <c r="AJ205" s="2">
        <v>24599</v>
      </c>
      <c r="AK205" s="2">
        <v>4262.8599999999997</v>
      </c>
      <c r="AL205" s="2">
        <v>439.27</v>
      </c>
      <c r="AM205" s="5">
        <v>2351.06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7899.57</v>
      </c>
      <c r="AT205" s="12">
        <v>7053.1899999999987</v>
      </c>
      <c r="AU205" s="2">
        <v>141.06</v>
      </c>
      <c r="AV205" s="5">
        <v>0</v>
      </c>
      <c r="AX205" s="2">
        <v>238720.25</v>
      </c>
      <c r="AY205" s="2">
        <v>24599</v>
      </c>
      <c r="AZ205" s="2">
        <v>4262.8599999999997</v>
      </c>
      <c r="BA205" s="2">
        <v>439.27</v>
      </c>
      <c r="BB205" s="5">
        <v>2351.06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7899.57</v>
      </c>
      <c r="BI205" s="12">
        <v>7053.1899999999987</v>
      </c>
      <c r="BJ205" s="2">
        <v>141.06</v>
      </c>
      <c r="BL205" s="1" t="s">
        <v>90</v>
      </c>
    </row>
    <row r="206" spans="1:64" x14ac:dyDescent="0.3">
      <c r="A206" t="s">
        <v>1166</v>
      </c>
      <c r="B206" s="1" t="s">
        <v>1166</v>
      </c>
      <c r="C206" s="9" t="s">
        <v>1167</v>
      </c>
      <c r="D206" s="1" t="s">
        <v>44</v>
      </c>
      <c r="E206" s="1" t="s">
        <v>88</v>
      </c>
      <c r="F206" s="10" t="s">
        <v>848</v>
      </c>
      <c r="G206" s="1">
        <v>0</v>
      </c>
      <c r="H206" s="1">
        <v>0.02</v>
      </c>
      <c r="I206" s="8">
        <v>45036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70412</v>
      </c>
      <c r="AJ206" s="2">
        <v>17335</v>
      </c>
      <c r="AK206" s="2">
        <v>1257.3599999999999</v>
      </c>
      <c r="AL206" s="2">
        <v>309.55</v>
      </c>
      <c r="AM206" s="5">
        <v>783.46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2632.41</v>
      </c>
      <c r="AT206" s="12">
        <v>2350.37</v>
      </c>
      <c r="AU206" s="2">
        <v>47.01</v>
      </c>
      <c r="AV206" s="5">
        <v>0</v>
      </c>
      <c r="AX206" s="2">
        <v>70412</v>
      </c>
      <c r="AY206" s="2">
        <v>17335</v>
      </c>
      <c r="AZ206" s="2">
        <v>1257.3599999999999</v>
      </c>
      <c r="BA206" s="2">
        <v>309.55</v>
      </c>
      <c r="BB206" s="5">
        <v>783.46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2632.41</v>
      </c>
      <c r="BI206" s="12">
        <v>2350.37</v>
      </c>
      <c r="BJ206" s="2">
        <v>47.01</v>
      </c>
      <c r="BL206" s="1" t="s">
        <v>90</v>
      </c>
    </row>
    <row r="207" spans="1:64" x14ac:dyDescent="0.3">
      <c r="A207" t="s">
        <v>1254</v>
      </c>
      <c r="B207" s="1" t="s">
        <v>1254</v>
      </c>
      <c r="C207" s="9" t="s">
        <v>1255</v>
      </c>
      <c r="D207" s="1" t="s">
        <v>44</v>
      </c>
      <c r="E207" s="1" t="s">
        <v>88</v>
      </c>
      <c r="F207" s="10" t="s">
        <v>114</v>
      </c>
      <c r="G207" s="1">
        <v>0</v>
      </c>
      <c r="H207" s="1">
        <v>0.02</v>
      </c>
      <c r="I207" s="8">
        <v>45271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399315.1</v>
      </c>
      <c r="AJ207" s="2">
        <v>93779</v>
      </c>
      <c r="AK207" s="2">
        <v>7130.62</v>
      </c>
      <c r="AL207" s="2">
        <v>1674.62</v>
      </c>
      <c r="AM207" s="5">
        <v>4402.62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14792.8</v>
      </c>
      <c r="AT207" s="12">
        <v>13207.86</v>
      </c>
      <c r="AU207" s="2">
        <v>264.16000000000003</v>
      </c>
      <c r="AV207" s="5">
        <v>0</v>
      </c>
      <c r="AX207" s="2">
        <v>399315.1</v>
      </c>
      <c r="AY207" s="2">
        <v>93779</v>
      </c>
      <c r="AZ207" s="2">
        <v>7130.62</v>
      </c>
      <c r="BA207" s="2">
        <v>1674.62</v>
      </c>
      <c r="BB207" s="5">
        <v>4402.62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14792.8</v>
      </c>
      <c r="BI207" s="12">
        <v>13207.86</v>
      </c>
      <c r="BJ207" s="2">
        <v>264.16000000000003</v>
      </c>
      <c r="BL207" s="1" t="s">
        <v>90</v>
      </c>
    </row>
    <row r="208" spans="1:64" x14ac:dyDescent="0.3">
      <c r="A208" t="s">
        <v>1296</v>
      </c>
      <c r="B208" s="1" t="s">
        <v>1296</v>
      </c>
      <c r="C208" s="9" t="s">
        <v>1297</v>
      </c>
      <c r="D208" s="1" t="s">
        <v>44</v>
      </c>
      <c r="E208" s="1" t="s">
        <v>88</v>
      </c>
      <c r="F208" s="10" t="s">
        <v>114</v>
      </c>
      <c r="G208" s="1">
        <v>0</v>
      </c>
      <c r="H208" s="1">
        <v>0.02</v>
      </c>
      <c r="I208" s="8">
        <v>45163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524906</v>
      </c>
      <c r="AJ208" s="2">
        <v>127419</v>
      </c>
      <c r="AK208" s="2">
        <v>9373.32</v>
      </c>
      <c r="AL208" s="2">
        <v>2275.34</v>
      </c>
      <c r="AM208" s="5">
        <v>5824.33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19569.75</v>
      </c>
      <c r="AT208" s="12">
        <v>17472.989999999998</v>
      </c>
      <c r="AU208" s="2">
        <v>349.46</v>
      </c>
      <c r="AV208" s="5">
        <v>0</v>
      </c>
      <c r="AX208" s="2">
        <v>524906</v>
      </c>
      <c r="AY208" s="2">
        <v>127419</v>
      </c>
      <c r="AZ208" s="2">
        <v>9373.32</v>
      </c>
      <c r="BA208" s="2">
        <v>2275.34</v>
      </c>
      <c r="BB208" s="5">
        <v>5824.33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19569.75</v>
      </c>
      <c r="BI208" s="12">
        <v>17472.989999999998</v>
      </c>
      <c r="BJ208" s="2">
        <v>349.46</v>
      </c>
      <c r="BL208" s="1" t="s">
        <v>90</v>
      </c>
    </row>
    <row r="209" spans="1:64" x14ac:dyDescent="0.3">
      <c r="A209" t="s">
        <v>1298</v>
      </c>
      <c r="B209" s="1" t="s">
        <v>1298</v>
      </c>
      <c r="C209" s="9" t="s">
        <v>1299</v>
      </c>
      <c r="D209" s="1" t="s">
        <v>44</v>
      </c>
      <c r="E209" s="1" t="s">
        <v>88</v>
      </c>
      <c r="F209" s="10" t="s">
        <v>853</v>
      </c>
      <c r="G209" s="1">
        <v>0</v>
      </c>
      <c r="H209" s="1">
        <v>0.02</v>
      </c>
      <c r="I209" s="8">
        <v>45163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176893.5</v>
      </c>
      <c r="AJ209" s="2">
        <v>58445</v>
      </c>
      <c r="AK209" s="2">
        <v>3158.81</v>
      </c>
      <c r="AL209" s="2">
        <v>1043.6600000000001</v>
      </c>
      <c r="AM209" s="5">
        <v>2101.2399999999998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7060.16</v>
      </c>
      <c r="AT209" s="12">
        <v>6303.71</v>
      </c>
      <c r="AU209" s="2">
        <v>126.07</v>
      </c>
      <c r="AV209" s="5">
        <v>0</v>
      </c>
      <c r="AX209" s="2">
        <v>176893.5</v>
      </c>
      <c r="AY209" s="2">
        <v>58445</v>
      </c>
      <c r="AZ209" s="2">
        <v>3158.81</v>
      </c>
      <c r="BA209" s="2">
        <v>1043.6600000000001</v>
      </c>
      <c r="BB209" s="5">
        <v>2101.2399999999998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7060.16</v>
      </c>
      <c r="BI209" s="12">
        <v>6303.71</v>
      </c>
      <c r="BJ209" s="2">
        <v>126.07</v>
      </c>
      <c r="BL209" s="1" t="s">
        <v>90</v>
      </c>
    </row>
    <row r="210" spans="1:64" x14ac:dyDescent="0.3">
      <c r="A210" t="s">
        <v>1312</v>
      </c>
      <c r="B210" s="1" t="s">
        <v>1312</v>
      </c>
      <c r="C210" s="9" t="s">
        <v>1313</v>
      </c>
      <c r="D210" s="1" t="s">
        <v>44</v>
      </c>
      <c r="E210" s="1" t="s">
        <v>88</v>
      </c>
      <c r="F210" s="10" t="s">
        <v>848</v>
      </c>
      <c r="G210" s="1">
        <v>0</v>
      </c>
      <c r="H210" s="1">
        <v>0.02</v>
      </c>
      <c r="I210" s="8">
        <v>44936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130848</v>
      </c>
      <c r="AJ210" s="2">
        <v>33819</v>
      </c>
      <c r="AK210" s="2">
        <v>2336.5700000000002</v>
      </c>
      <c r="AL210" s="2">
        <v>603.91</v>
      </c>
      <c r="AM210" s="5">
        <v>1470.24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4940.01</v>
      </c>
      <c r="AT210" s="12">
        <v>4410.72</v>
      </c>
      <c r="AU210" s="2">
        <v>88.21</v>
      </c>
      <c r="AV210" s="5">
        <v>0</v>
      </c>
      <c r="AX210" s="2">
        <v>130848</v>
      </c>
      <c r="AY210" s="2">
        <v>33819</v>
      </c>
      <c r="AZ210" s="2">
        <v>2336.5700000000002</v>
      </c>
      <c r="BA210" s="2">
        <v>603.91</v>
      </c>
      <c r="BB210" s="5">
        <v>1470.24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4940.01</v>
      </c>
      <c r="BI210" s="12">
        <v>4410.72</v>
      </c>
      <c r="BJ210" s="2">
        <v>88.21</v>
      </c>
      <c r="BL210" s="1" t="s">
        <v>90</v>
      </c>
    </row>
    <row r="211" spans="1:64" x14ac:dyDescent="0.3">
      <c r="A211" t="s">
        <v>1314</v>
      </c>
      <c r="B211" s="1" t="s">
        <v>1314</v>
      </c>
      <c r="C211" s="9" t="s">
        <v>1315</v>
      </c>
      <c r="D211" s="1" t="s">
        <v>44</v>
      </c>
      <c r="E211" s="1" t="s">
        <v>88</v>
      </c>
      <c r="F211" s="10" t="s">
        <v>848</v>
      </c>
      <c r="G211" s="1">
        <v>0</v>
      </c>
      <c r="H211" s="1">
        <v>0.02</v>
      </c>
      <c r="I211" s="8">
        <v>44844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145196</v>
      </c>
      <c r="AJ211" s="2">
        <v>28700</v>
      </c>
      <c r="AK211" s="2">
        <v>2592.79</v>
      </c>
      <c r="AL211" s="2">
        <v>512.5</v>
      </c>
      <c r="AM211" s="5">
        <v>1552.64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5216.88</v>
      </c>
      <c r="AT211" s="12">
        <v>4657.93</v>
      </c>
      <c r="AU211" s="2">
        <v>93.16</v>
      </c>
      <c r="AV211" s="5">
        <v>0</v>
      </c>
      <c r="AX211" s="2">
        <v>145196</v>
      </c>
      <c r="AY211" s="2">
        <v>28700</v>
      </c>
      <c r="AZ211" s="2">
        <v>2592.79</v>
      </c>
      <c r="BA211" s="2">
        <v>512.5</v>
      </c>
      <c r="BB211" s="5">
        <v>1552.64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5216.88</v>
      </c>
      <c r="BI211" s="12">
        <v>4657.93</v>
      </c>
      <c r="BJ211" s="2">
        <v>93.16</v>
      </c>
      <c r="BL211" s="1" t="s">
        <v>90</v>
      </c>
    </row>
    <row r="212" spans="1:64" x14ac:dyDescent="0.3">
      <c r="A212" t="s">
        <v>93</v>
      </c>
      <c r="B212" s="1" t="s">
        <v>93</v>
      </c>
      <c r="C212" s="9" t="s">
        <v>94</v>
      </c>
      <c r="D212" s="1" t="s">
        <v>95</v>
      </c>
      <c r="E212" s="1" t="s">
        <v>88</v>
      </c>
      <c r="F212" s="10" t="s">
        <v>96</v>
      </c>
      <c r="G212" s="1">
        <v>0.05</v>
      </c>
      <c r="H212" s="1">
        <v>0</v>
      </c>
      <c r="I212" s="8">
        <v>45703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843916</v>
      </c>
      <c r="AJ212" s="2">
        <v>114608</v>
      </c>
      <c r="AK212" s="2">
        <v>0</v>
      </c>
      <c r="AL212" s="2">
        <v>0</v>
      </c>
      <c r="AM212" s="5">
        <v>8558.25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9585.24</v>
      </c>
      <c r="AT212" s="12">
        <v>8558.25</v>
      </c>
      <c r="AU212" s="2">
        <v>0</v>
      </c>
      <c r="AV212" s="5">
        <v>4792.62</v>
      </c>
      <c r="AX212" s="2">
        <v>843916</v>
      </c>
      <c r="AY212" s="2">
        <v>114608</v>
      </c>
      <c r="AZ212" s="2">
        <v>0</v>
      </c>
      <c r="BA212" s="2">
        <v>0</v>
      </c>
      <c r="BB212" s="5">
        <v>8558.25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9585.24</v>
      </c>
      <c r="BI212" s="12">
        <v>8558.25</v>
      </c>
      <c r="BJ212" s="2">
        <v>0</v>
      </c>
      <c r="BK212" s="5">
        <v>4792.62</v>
      </c>
      <c r="BL212" s="1" t="s">
        <v>90</v>
      </c>
    </row>
    <row r="213" spans="1:64" x14ac:dyDescent="0.3">
      <c r="A213" t="s">
        <v>126</v>
      </c>
      <c r="B213" s="1" t="s">
        <v>126</v>
      </c>
      <c r="C213" s="9" t="s">
        <v>127</v>
      </c>
      <c r="D213" s="1" t="s">
        <v>95</v>
      </c>
      <c r="E213" s="1" t="s">
        <v>128</v>
      </c>
      <c r="F213" s="10" t="s">
        <v>129</v>
      </c>
      <c r="G213" s="1">
        <v>3.5000000000000003E-2</v>
      </c>
      <c r="H213" s="1">
        <v>0.05</v>
      </c>
      <c r="I213" s="8">
        <v>45543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772264</v>
      </c>
      <c r="AJ213" s="2">
        <v>69054</v>
      </c>
      <c r="AK213" s="2">
        <v>34476.07</v>
      </c>
      <c r="AL213" s="2">
        <v>3082.77</v>
      </c>
      <c r="AM213" s="5">
        <v>7511.76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50479.07</v>
      </c>
      <c r="AT213" s="12">
        <v>45070.6</v>
      </c>
      <c r="AU213" s="2">
        <v>0</v>
      </c>
      <c r="AV213" s="5">
        <v>4206.59</v>
      </c>
      <c r="AX213" s="2">
        <v>772264</v>
      </c>
      <c r="AY213" s="2">
        <v>69054</v>
      </c>
      <c r="AZ213" s="2">
        <v>34476.07</v>
      </c>
      <c r="BA213" s="2">
        <v>3082.77</v>
      </c>
      <c r="BB213" s="5">
        <v>7511.76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50479.07</v>
      </c>
      <c r="BI213" s="12">
        <v>45070.6</v>
      </c>
      <c r="BJ213" s="2">
        <v>0</v>
      </c>
      <c r="BK213" s="5">
        <v>4206.59</v>
      </c>
      <c r="BL213" s="1" t="s">
        <v>130</v>
      </c>
    </row>
    <row r="214" spans="1:64" x14ac:dyDescent="0.3">
      <c r="A214" t="s">
        <v>133</v>
      </c>
      <c r="B214" s="1" t="s">
        <v>133</v>
      </c>
      <c r="C214" s="9" t="s">
        <v>134</v>
      </c>
      <c r="D214" s="1" t="s">
        <v>95</v>
      </c>
      <c r="E214" s="1" t="s">
        <v>135</v>
      </c>
      <c r="F214" s="10" t="s">
        <v>136</v>
      </c>
      <c r="G214" s="1">
        <v>3.5000000000000003E-2</v>
      </c>
      <c r="H214" s="1">
        <v>0.05</v>
      </c>
      <c r="I214" s="8">
        <v>45608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1848219</v>
      </c>
      <c r="AJ214" s="2">
        <v>324629</v>
      </c>
      <c r="AK214" s="2">
        <v>82509.76999999999</v>
      </c>
      <c r="AL214" s="2">
        <v>14492.369999999999</v>
      </c>
      <c r="AM214" s="5">
        <v>19400.43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130370.88</v>
      </c>
      <c r="AT214" s="12">
        <v>116402.57</v>
      </c>
      <c r="AU214" s="2">
        <v>0</v>
      </c>
      <c r="AV214" s="5">
        <v>10864.24</v>
      </c>
      <c r="AX214" s="2">
        <v>1848219</v>
      </c>
      <c r="AY214" s="2">
        <v>324629</v>
      </c>
      <c r="AZ214" s="2">
        <v>82509.76999999999</v>
      </c>
      <c r="BA214" s="2">
        <v>14492.369999999999</v>
      </c>
      <c r="BB214" s="5">
        <v>19400.43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130370.88</v>
      </c>
      <c r="BI214" s="12">
        <v>116402.57</v>
      </c>
      <c r="BJ214" s="2">
        <v>0</v>
      </c>
      <c r="BK214" s="5">
        <v>10864.24</v>
      </c>
      <c r="BL214" s="1" t="s">
        <v>137</v>
      </c>
    </row>
    <row r="215" spans="1:64" x14ac:dyDescent="0.3">
      <c r="A215" t="s">
        <v>145</v>
      </c>
      <c r="B215" s="1" t="s">
        <v>145</v>
      </c>
      <c r="C215" s="9" t="s">
        <v>146</v>
      </c>
      <c r="D215" s="1" t="s">
        <v>95</v>
      </c>
      <c r="E215" s="1" t="s">
        <v>128</v>
      </c>
      <c r="F215" s="10" t="s">
        <v>147</v>
      </c>
      <c r="G215" s="1">
        <v>3.5000000000000003E-2</v>
      </c>
      <c r="H215" s="1">
        <v>0.05</v>
      </c>
      <c r="I215" s="8">
        <v>45467</v>
      </c>
      <c r="J215" s="6">
        <v>130961</v>
      </c>
      <c r="K215" s="6">
        <v>8448</v>
      </c>
      <c r="L215" s="6">
        <v>5846.4699999999993</v>
      </c>
      <c r="M215" s="6">
        <v>377.15</v>
      </c>
      <c r="N215" s="7">
        <v>1244.7299999999998</v>
      </c>
      <c r="O215" s="6">
        <v>-89548.53</v>
      </c>
      <c r="P215" s="6">
        <v>-4955.07</v>
      </c>
      <c r="Q215" s="6">
        <v>-3997.69</v>
      </c>
      <c r="R215" s="6">
        <v>-221.20000000000002</v>
      </c>
      <c r="S215" s="7">
        <v>346.73999999999995</v>
      </c>
      <c r="T215" s="11">
        <v>4027.74</v>
      </c>
      <c r="U215" s="6">
        <v>3596.2000000000007</v>
      </c>
      <c r="V215" s="6">
        <v>0</v>
      </c>
      <c r="W215" s="6">
        <v>224.52999999999997</v>
      </c>
      <c r="X215" s="46">
        <v>45815</v>
      </c>
      <c r="Y215" s="1">
        <v>25112157</v>
      </c>
      <c r="Z215" s="1">
        <v>25112158</v>
      </c>
      <c r="AI215" s="2">
        <v>913107</v>
      </c>
      <c r="AJ215" s="2">
        <v>69751</v>
      </c>
      <c r="AK215" s="2">
        <v>40763.71</v>
      </c>
      <c r="AL215" s="2">
        <v>3113.8799999999997</v>
      </c>
      <c r="AM215" s="5">
        <v>8775.5299999999988</v>
      </c>
      <c r="AN215" s="12">
        <v>208946.57</v>
      </c>
      <c r="AO215" s="2">
        <v>11561.830000000002</v>
      </c>
      <c r="AP215" s="2">
        <v>9327.99</v>
      </c>
      <c r="AQ215" s="2">
        <v>516.16</v>
      </c>
      <c r="AR215" s="5">
        <v>1968.8200000000002</v>
      </c>
      <c r="AS215" s="2">
        <v>72202.02</v>
      </c>
      <c r="AT215" s="12">
        <v>64466.090000000004</v>
      </c>
      <c r="AU215" s="2">
        <v>0</v>
      </c>
      <c r="AV215" s="5">
        <v>6016.83</v>
      </c>
      <c r="AX215" s="2">
        <v>782146</v>
      </c>
      <c r="AY215" s="2">
        <v>61303</v>
      </c>
      <c r="AZ215" s="2">
        <v>34917.240000000005</v>
      </c>
      <c r="BA215" s="2">
        <v>2736.73</v>
      </c>
      <c r="BB215" s="5">
        <v>7530.8</v>
      </c>
      <c r="BC215" s="12">
        <v>298495.10000000003</v>
      </c>
      <c r="BD215" s="2">
        <v>16516.900000000001</v>
      </c>
      <c r="BE215" s="2">
        <v>13325.68</v>
      </c>
      <c r="BF215" s="2">
        <v>737.36</v>
      </c>
      <c r="BG215" s="5">
        <v>1622.0800000000002</v>
      </c>
      <c r="BH215" s="2">
        <v>68174.28</v>
      </c>
      <c r="BI215" s="12">
        <v>60869.89</v>
      </c>
      <c r="BJ215" s="2">
        <v>0</v>
      </c>
      <c r="BK215" s="5">
        <v>5792.3</v>
      </c>
      <c r="BL215" s="1" t="s">
        <v>130</v>
      </c>
    </row>
    <row r="216" spans="1:64" x14ac:dyDescent="0.3">
      <c r="A216" t="s">
        <v>191</v>
      </c>
      <c r="B216" s="1" t="s">
        <v>191</v>
      </c>
      <c r="C216" s="9" t="s">
        <v>192</v>
      </c>
      <c r="D216" s="1" t="s">
        <v>95</v>
      </c>
      <c r="E216" s="1" t="s">
        <v>135</v>
      </c>
      <c r="F216" s="10" t="s">
        <v>193</v>
      </c>
      <c r="G216" s="1">
        <v>3.5000000000000003E-2</v>
      </c>
      <c r="H216" s="1">
        <v>0.05</v>
      </c>
      <c r="I216" s="8">
        <v>44092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4287626</v>
      </c>
      <c r="AJ216" s="2">
        <v>269719</v>
      </c>
      <c r="AK216" s="2">
        <v>191411.87</v>
      </c>
      <c r="AL216" s="2">
        <v>12041.029999999999</v>
      </c>
      <c r="AM216" s="5">
        <v>40690.590000000004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273440.71000000002</v>
      </c>
      <c r="AT216" s="12">
        <v>244143.49</v>
      </c>
      <c r="AU216" s="2">
        <v>0</v>
      </c>
      <c r="AV216" s="5">
        <v>22786.73</v>
      </c>
      <c r="AX216" s="2">
        <v>4287626</v>
      </c>
      <c r="AY216" s="2">
        <v>269719</v>
      </c>
      <c r="AZ216" s="2">
        <v>191411.87</v>
      </c>
      <c r="BA216" s="2">
        <v>12041.029999999999</v>
      </c>
      <c r="BB216" s="5">
        <v>40690.590000000004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273440.71000000002</v>
      </c>
      <c r="BI216" s="12">
        <v>244143.49</v>
      </c>
      <c r="BJ216" s="2">
        <v>0</v>
      </c>
      <c r="BK216" s="5">
        <v>22786.73</v>
      </c>
      <c r="BL216" s="1" t="s">
        <v>137</v>
      </c>
    </row>
    <row r="217" spans="1:64" x14ac:dyDescent="0.3">
      <c r="A217" t="s">
        <v>216</v>
      </c>
      <c r="B217" s="1" t="s">
        <v>216</v>
      </c>
      <c r="C217" s="9" t="s">
        <v>217</v>
      </c>
      <c r="D217" s="1" t="s">
        <v>95</v>
      </c>
      <c r="E217" s="1" t="s">
        <v>88</v>
      </c>
      <c r="F217" s="10" t="s">
        <v>218</v>
      </c>
      <c r="G217" s="1">
        <v>0.04</v>
      </c>
      <c r="H217" s="1">
        <v>0.05</v>
      </c>
      <c r="I217" s="8">
        <v>44606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1528588</v>
      </c>
      <c r="AJ217" s="2">
        <v>237791</v>
      </c>
      <c r="AK217" s="2">
        <v>68240.539999999994</v>
      </c>
      <c r="AL217" s="2">
        <v>10615.67</v>
      </c>
      <c r="AM217" s="5">
        <v>15771.24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105982.74</v>
      </c>
      <c r="AT217" s="12">
        <v>94627.45</v>
      </c>
      <c r="AU217" s="2">
        <v>0</v>
      </c>
      <c r="AV217" s="5">
        <v>8831.9</v>
      </c>
      <c r="AX217" s="2">
        <v>1528588</v>
      </c>
      <c r="AY217" s="2">
        <v>237791</v>
      </c>
      <c r="AZ217" s="2">
        <v>68240.539999999994</v>
      </c>
      <c r="BA217" s="2">
        <v>10615.67</v>
      </c>
      <c r="BB217" s="5">
        <v>15771.24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105982.74</v>
      </c>
      <c r="BI217" s="12">
        <v>94627.45</v>
      </c>
      <c r="BJ217" s="2">
        <v>0</v>
      </c>
      <c r="BK217" s="5">
        <v>8831.9</v>
      </c>
      <c r="BL217" s="1" t="s">
        <v>90</v>
      </c>
    </row>
    <row r="218" spans="1:64" x14ac:dyDescent="0.3">
      <c r="A218" t="s">
        <v>237</v>
      </c>
      <c r="B218" s="1" t="s">
        <v>237</v>
      </c>
      <c r="C218" s="9" t="s">
        <v>238</v>
      </c>
      <c r="D218" s="1" t="s">
        <v>95</v>
      </c>
      <c r="E218" s="1" t="s">
        <v>135</v>
      </c>
      <c r="F218" s="10" t="s">
        <v>193</v>
      </c>
      <c r="G218" s="1">
        <v>3.5000000000000003E-2</v>
      </c>
      <c r="H218" s="1">
        <v>0.05</v>
      </c>
      <c r="I218" s="8">
        <v>45496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1117061</v>
      </c>
      <c r="AJ218" s="2">
        <v>229355</v>
      </c>
      <c r="AK218" s="2">
        <v>49868.79</v>
      </c>
      <c r="AL218" s="2">
        <v>10239.06</v>
      </c>
      <c r="AM218" s="5">
        <v>12021.57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80784.95</v>
      </c>
      <c r="AT218" s="12">
        <v>72129.42</v>
      </c>
      <c r="AU218" s="2">
        <v>0</v>
      </c>
      <c r="AV218" s="5">
        <v>6732.08</v>
      </c>
      <c r="AX218" s="2">
        <v>1117061</v>
      </c>
      <c r="AY218" s="2">
        <v>229355</v>
      </c>
      <c r="AZ218" s="2">
        <v>49868.79</v>
      </c>
      <c r="BA218" s="2">
        <v>10239.06</v>
      </c>
      <c r="BB218" s="5">
        <v>12021.57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80784.95</v>
      </c>
      <c r="BI218" s="12">
        <v>72129.42</v>
      </c>
      <c r="BJ218" s="2">
        <v>0</v>
      </c>
      <c r="BK218" s="5">
        <v>6732.08</v>
      </c>
      <c r="BL218" s="1" t="s">
        <v>137</v>
      </c>
    </row>
    <row r="219" spans="1:64" x14ac:dyDescent="0.3">
      <c r="A219" t="s">
        <v>249</v>
      </c>
      <c r="B219" s="1" t="s">
        <v>249</v>
      </c>
      <c r="C219" s="9" t="s">
        <v>250</v>
      </c>
      <c r="D219" s="1" t="s">
        <v>95</v>
      </c>
      <c r="E219" s="1" t="s">
        <v>88</v>
      </c>
      <c r="F219" s="10" t="s">
        <v>218</v>
      </c>
      <c r="G219" s="1">
        <v>3.5000000000000003E-2</v>
      </c>
      <c r="H219" s="1">
        <v>0.05</v>
      </c>
      <c r="I219" s="8">
        <v>45657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2153178</v>
      </c>
      <c r="AJ219" s="2">
        <v>475846</v>
      </c>
      <c r="AK219" s="2">
        <v>96124.02</v>
      </c>
      <c r="AL219" s="2">
        <v>21243.13</v>
      </c>
      <c r="AM219" s="5">
        <v>23473.43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157741.45000000001</v>
      </c>
      <c r="AT219" s="12">
        <v>140840.58000000002</v>
      </c>
      <c r="AU219" s="2">
        <v>0</v>
      </c>
      <c r="AV219" s="5">
        <v>13145.119999999999</v>
      </c>
      <c r="AX219" s="2">
        <v>2153178</v>
      </c>
      <c r="AY219" s="2">
        <v>475846</v>
      </c>
      <c r="AZ219" s="2">
        <v>96124.02</v>
      </c>
      <c r="BA219" s="2">
        <v>21243.13</v>
      </c>
      <c r="BB219" s="5">
        <v>23473.43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157741.45000000001</v>
      </c>
      <c r="BI219" s="12">
        <v>140840.58000000002</v>
      </c>
      <c r="BJ219" s="2">
        <v>0</v>
      </c>
      <c r="BK219" s="5">
        <v>13145.119999999999</v>
      </c>
      <c r="BL219" s="1" t="s">
        <v>90</v>
      </c>
    </row>
    <row r="220" spans="1:64" x14ac:dyDescent="0.3">
      <c r="A220" t="s">
        <v>255</v>
      </c>
      <c r="B220" s="1" t="s">
        <v>255</v>
      </c>
      <c r="C220" s="9" t="s">
        <v>256</v>
      </c>
      <c r="D220" s="1" t="s">
        <v>95</v>
      </c>
      <c r="E220" s="1" t="s">
        <v>135</v>
      </c>
      <c r="F220" s="10" t="s">
        <v>136</v>
      </c>
      <c r="G220" s="1">
        <v>3.5000000000000003E-2</v>
      </c>
      <c r="H220" s="1">
        <v>0.05</v>
      </c>
      <c r="I220" s="8">
        <v>45608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2115690.08</v>
      </c>
      <c r="AJ220" s="2">
        <v>477794</v>
      </c>
      <c r="AK220" s="2">
        <v>94450.450000000012</v>
      </c>
      <c r="AL220" s="2">
        <v>21330.1</v>
      </c>
      <c r="AM220" s="5">
        <v>23156.12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155609.07</v>
      </c>
      <c r="AT220" s="12">
        <v>138936.67000000001</v>
      </c>
      <c r="AU220" s="2">
        <v>0</v>
      </c>
      <c r="AV220" s="5">
        <v>12967.43</v>
      </c>
      <c r="AX220" s="2">
        <v>2115690.08</v>
      </c>
      <c r="AY220" s="2">
        <v>477794</v>
      </c>
      <c r="AZ220" s="2">
        <v>94450.450000000012</v>
      </c>
      <c r="BA220" s="2">
        <v>21330.1</v>
      </c>
      <c r="BB220" s="5">
        <v>23156.12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155609.07</v>
      </c>
      <c r="BI220" s="12">
        <v>138936.67000000001</v>
      </c>
      <c r="BJ220" s="2">
        <v>0</v>
      </c>
      <c r="BK220" s="5">
        <v>12967.43</v>
      </c>
      <c r="BL220" s="1" t="s">
        <v>137</v>
      </c>
    </row>
    <row r="221" spans="1:64" x14ac:dyDescent="0.3">
      <c r="A221" t="s">
        <v>278</v>
      </c>
      <c r="B221" s="1" t="s">
        <v>278</v>
      </c>
      <c r="C221" s="9" t="s">
        <v>279</v>
      </c>
      <c r="D221" s="1" t="s">
        <v>95</v>
      </c>
      <c r="E221" s="1" t="s">
        <v>88</v>
      </c>
      <c r="F221" s="10" t="s">
        <v>218</v>
      </c>
      <c r="G221" s="1">
        <v>3.5000000000000003E-2</v>
      </c>
      <c r="H221" s="1">
        <v>0.05</v>
      </c>
      <c r="I221" s="8">
        <v>44262</v>
      </c>
      <c r="J221" s="6">
        <v>84375</v>
      </c>
      <c r="K221" s="6">
        <v>23517</v>
      </c>
      <c r="L221" s="6">
        <v>3766.74</v>
      </c>
      <c r="M221" s="6">
        <v>1049.8700000000003</v>
      </c>
      <c r="N221" s="7">
        <v>963.32000000000016</v>
      </c>
      <c r="O221" s="6">
        <v>-112558.18</v>
      </c>
      <c r="P221" s="6">
        <v>-26061.14</v>
      </c>
      <c r="Q221" s="6">
        <v>-5024.92</v>
      </c>
      <c r="R221" s="6">
        <v>-1163.45</v>
      </c>
      <c r="S221" s="7">
        <v>-1237.67</v>
      </c>
      <c r="T221" s="11">
        <v>-1843.64</v>
      </c>
      <c r="U221" s="6">
        <v>-1646.1100000000006</v>
      </c>
      <c r="V221" s="6">
        <v>0</v>
      </c>
      <c r="W221" s="6">
        <v>-153.6400000000001</v>
      </c>
      <c r="X221" s="46">
        <v>45815</v>
      </c>
      <c r="Y221" s="1">
        <v>25016220</v>
      </c>
      <c r="Z221" s="1">
        <v>25016221</v>
      </c>
      <c r="AI221" s="2">
        <v>300427</v>
      </c>
      <c r="AJ221" s="2">
        <v>76442</v>
      </c>
      <c r="AK221" s="2">
        <v>13411.92</v>
      </c>
      <c r="AL221" s="2">
        <v>3412.59</v>
      </c>
      <c r="AM221" s="5">
        <v>3364.9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22612.14</v>
      </c>
      <c r="AT221" s="12">
        <v>20189.410000000003</v>
      </c>
      <c r="AU221" s="2">
        <v>0</v>
      </c>
      <c r="AV221" s="5">
        <v>1884.34</v>
      </c>
      <c r="AX221" s="2">
        <v>216052</v>
      </c>
      <c r="AY221" s="2">
        <v>52925</v>
      </c>
      <c r="AZ221" s="2">
        <v>9645.18</v>
      </c>
      <c r="BA221" s="2">
        <v>2362.7199999999998</v>
      </c>
      <c r="BB221" s="5">
        <v>2401.58</v>
      </c>
      <c r="BC221" s="12">
        <v>112558.18</v>
      </c>
      <c r="BD221" s="2">
        <v>26061.14</v>
      </c>
      <c r="BE221" s="2">
        <v>5024.92</v>
      </c>
      <c r="BF221" s="2">
        <v>1163.45</v>
      </c>
      <c r="BG221" s="5">
        <v>1237.67</v>
      </c>
      <c r="BH221" s="2">
        <v>24455.78</v>
      </c>
      <c r="BI221" s="12">
        <v>21835.520000000004</v>
      </c>
      <c r="BJ221" s="2">
        <v>0</v>
      </c>
      <c r="BK221" s="5">
        <v>2037.98</v>
      </c>
      <c r="BL221" s="1" t="s">
        <v>90</v>
      </c>
    </row>
    <row r="222" spans="1:64" x14ac:dyDescent="0.3">
      <c r="A222" t="s">
        <v>282</v>
      </c>
      <c r="B222" s="1" t="s">
        <v>282</v>
      </c>
      <c r="C222" s="9" t="s">
        <v>283</v>
      </c>
      <c r="D222" s="1" t="s">
        <v>95</v>
      </c>
      <c r="E222" s="1" t="s">
        <v>135</v>
      </c>
      <c r="F222" s="10" t="s">
        <v>193</v>
      </c>
      <c r="G222" s="1">
        <v>3.5000000000000003E-2</v>
      </c>
      <c r="H222" s="1">
        <v>0.05</v>
      </c>
      <c r="I222" s="8">
        <v>45496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1725696</v>
      </c>
      <c r="AJ222" s="2">
        <v>844650</v>
      </c>
      <c r="AK222" s="2">
        <v>77040</v>
      </c>
      <c r="AL222" s="2">
        <v>37707.590000000004</v>
      </c>
      <c r="AM222" s="5">
        <v>22949.52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154220.76</v>
      </c>
      <c r="AT222" s="12">
        <v>137697.11000000002</v>
      </c>
      <c r="AU222" s="2">
        <v>0</v>
      </c>
      <c r="AV222" s="5">
        <v>12851.73</v>
      </c>
      <c r="AX222" s="2">
        <v>1725696</v>
      </c>
      <c r="AY222" s="2">
        <v>844650</v>
      </c>
      <c r="AZ222" s="2">
        <v>77040</v>
      </c>
      <c r="BA222" s="2">
        <v>37707.590000000004</v>
      </c>
      <c r="BB222" s="5">
        <v>22949.52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154220.76</v>
      </c>
      <c r="BI222" s="12">
        <v>137697.11000000002</v>
      </c>
      <c r="BJ222" s="2">
        <v>0</v>
      </c>
      <c r="BK222" s="5">
        <v>12851.73</v>
      </c>
      <c r="BL222" s="1" t="s">
        <v>137</v>
      </c>
    </row>
    <row r="223" spans="1:64" x14ac:dyDescent="0.3">
      <c r="A223" t="s">
        <v>298</v>
      </c>
      <c r="B223" s="1" t="s">
        <v>298</v>
      </c>
      <c r="C223" s="9" t="s">
        <v>299</v>
      </c>
      <c r="D223" s="1" t="s">
        <v>95</v>
      </c>
      <c r="E223" s="1" t="s">
        <v>88</v>
      </c>
      <c r="F223" s="10" t="s">
        <v>218</v>
      </c>
      <c r="G223" s="1">
        <v>3.5000000000000003E-2</v>
      </c>
      <c r="H223" s="1">
        <v>0.05</v>
      </c>
      <c r="I223" s="8">
        <v>44000</v>
      </c>
      <c r="J223" s="6">
        <v>293285</v>
      </c>
      <c r="K223" s="6">
        <v>112550</v>
      </c>
      <c r="L223" s="6">
        <v>13093.08</v>
      </c>
      <c r="M223" s="6">
        <v>5024.5599999999995</v>
      </c>
      <c r="N223" s="7">
        <v>3623.5299999999997</v>
      </c>
      <c r="O223" s="6">
        <v>-421213.60000000003</v>
      </c>
      <c r="P223" s="6">
        <v>-111727.19999999998</v>
      </c>
      <c r="Q223" s="6">
        <v>-18804.18</v>
      </c>
      <c r="R223" s="6">
        <v>-4987.82</v>
      </c>
      <c r="S223" s="7">
        <v>-4758.3999999999996</v>
      </c>
      <c r="T223" s="11">
        <v>-7626.34</v>
      </c>
      <c r="U223" s="6">
        <v>-6809.2300000000032</v>
      </c>
      <c r="V223" s="6">
        <v>0</v>
      </c>
      <c r="W223" s="6">
        <v>-635.5300000000002</v>
      </c>
      <c r="X223" s="46">
        <v>45815</v>
      </c>
      <c r="Y223" s="1">
        <v>25016222</v>
      </c>
      <c r="Z223" s="1">
        <v>25016223</v>
      </c>
      <c r="AI223" s="2">
        <v>441164</v>
      </c>
      <c r="AJ223" s="2">
        <v>167560</v>
      </c>
      <c r="AK223" s="2">
        <v>19694.82</v>
      </c>
      <c r="AL223" s="2">
        <v>7480.36</v>
      </c>
      <c r="AM223" s="5">
        <v>5435.04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36523.449999999997</v>
      </c>
      <c r="AT223" s="12">
        <v>32610.22</v>
      </c>
      <c r="AU223" s="2">
        <v>0</v>
      </c>
      <c r="AV223" s="5">
        <v>3043.62</v>
      </c>
      <c r="AX223" s="2">
        <v>147879</v>
      </c>
      <c r="AY223" s="2">
        <v>55010</v>
      </c>
      <c r="AZ223" s="2">
        <v>6601.74</v>
      </c>
      <c r="BA223" s="2">
        <v>2455.8000000000002</v>
      </c>
      <c r="BB223" s="5">
        <v>1811.51</v>
      </c>
      <c r="BC223" s="12">
        <v>421213.60000000003</v>
      </c>
      <c r="BD223" s="2">
        <v>111727.19999999998</v>
      </c>
      <c r="BE223" s="2">
        <v>18804.18</v>
      </c>
      <c r="BF223" s="2">
        <v>4987.82</v>
      </c>
      <c r="BG223" s="5">
        <v>4758.3999999999996</v>
      </c>
      <c r="BH223" s="2">
        <v>44149.78</v>
      </c>
      <c r="BI223" s="12">
        <v>39419.450000000004</v>
      </c>
      <c r="BJ223" s="2">
        <v>0</v>
      </c>
      <c r="BK223" s="5">
        <v>3679.15</v>
      </c>
      <c r="BL223" s="1" t="s">
        <v>90</v>
      </c>
    </row>
    <row r="224" spans="1:64" x14ac:dyDescent="0.3">
      <c r="A224" t="s">
        <v>300</v>
      </c>
      <c r="B224" s="1" t="s">
        <v>300</v>
      </c>
      <c r="C224" s="9" t="s">
        <v>301</v>
      </c>
      <c r="D224" s="1" t="s">
        <v>95</v>
      </c>
      <c r="E224" s="1" t="s">
        <v>135</v>
      </c>
      <c r="F224" s="10" t="s">
        <v>136</v>
      </c>
      <c r="G224" s="1">
        <v>3.5000000000000003E-2</v>
      </c>
      <c r="H224" s="1">
        <v>0.05</v>
      </c>
      <c r="I224" s="8">
        <v>44019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2370.7600000000002</v>
      </c>
      <c r="T224" s="11">
        <v>2655.25</v>
      </c>
      <c r="U224" s="6">
        <v>2370.7600000000002</v>
      </c>
      <c r="V224" s="6">
        <v>0</v>
      </c>
      <c r="W224" s="6">
        <v>0</v>
      </c>
      <c r="X224" s="46">
        <v>45815</v>
      </c>
      <c r="Y224" s="1">
        <v>25112159</v>
      </c>
      <c r="Z224" s="1">
        <v>25112160</v>
      </c>
      <c r="AI224" s="2">
        <v>1830668</v>
      </c>
      <c r="AJ224" s="2">
        <v>186567</v>
      </c>
      <c r="AK224" s="2">
        <v>81726.25</v>
      </c>
      <c r="AL224" s="2">
        <v>8328.8799999999992</v>
      </c>
      <c r="AM224" s="5">
        <v>18011.03</v>
      </c>
      <c r="AN224" s="12">
        <v>670479.6</v>
      </c>
      <c r="AO224" s="2">
        <v>82522.8</v>
      </c>
      <c r="AP224" s="2">
        <v>22424.71</v>
      </c>
      <c r="AQ224" s="2">
        <v>3684.05</v>
      </c>
      <c r="AR224" s="5">
        <v>6723.2300000000005</v>
      </c>
      <c r="AS224" s="2">
        <v>157805.93</v>
      </c>
      <c r="AT224" s="12">
        <v>140898.15</v>
      </c>
      <c r="AU224" s="2">
        <v>0</v>
      </c>
      <c r="AV224" s="5">
        <v>13851.2</v>
      </c>
      <c r="AX224" s="2">
        <v>1830668</v>
      </c>
      <c r="AY224" s="2">
        <v>186567</v>
      </c>
      <c r="AZ224" s="2">
        <v>81726.25</v>
      </c>
      <c r="BA224" s="2">
        <v>8328.8799999999992</v>
      </c>
      <c r="BB224" s="5">
        <v>18011.03</v>
      </c>
      <c r="BC224" s="12">
        <v>670479.6</v>
      </c>
      <c r="BD224" s="2">
        <v>82522.8</v>
      </c>
      <c r="BE224" s="2">
        <v>22424.71</v>
      </c>
      <c r="BF224" s="2">
        <v>3684.05</v>
      </c>
      <c r="BG224" s="5">
        <v>4352.47</v>
      </c>
      <c r="BH224" s="2">
        <v>155150.68</v>
      </c>
      <c r="BI224" s="12">
        <v>138527.39000000001</v>
      </c>
      <c r="BJ224" s="2">
        <v>0</v>
      </c>
      <c r="BK224" s="5">
        <v>13851.2</v>
      </c>
      <c r="BL224" s="1" t="s">
        <v>302</v>
      </c>
    </row>
    <row r="225" spans="1:64" x14ac:dyDescent="0.3">
      <c r="A225" t="s">
        <v>307</v>
      </c>
      <c r="B225" s="1" t="s">
        <v>307</v>
      </c>
      <c r="C225" s="9" t="s">
        <v>308</v>
      </c>
      <c r="D225" s="1" t="s">
        <v>95</v>
      </c>
      <c r="E225" s="1" t="s">
        <v>128</v>
      </c>
      <c r="F225" s="10" t="s">
        <v>309</v>
      </c>
      <c r="G225" s="1">
        <v>3.5000000000000003E-2</v>
      </c>
      <c r="H225" s="1">
        <v>0.05</v>
      </c>
      <c r="I225" s="8">
        <v>44040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1033116</v>
      </c>
      <c r="AJ225" s="2">
        <v>111771</v>
      </c>
      <c r="AK225" s="2">
        <v>46121.25</v>
      </c>
      <c r="AL225" s="2">
        <v>4989.78</v>
      </c>
      <c r="AM225" s="5">
        <v>10222.200000000001</v>
      </c>
      <c r="AN225" s="12">
        <v>344494.08000000002</v>
      </c>
      <c r="AO225" s="2">
        <v>17644.2</v>
      </c>
      <c r="AP225" s="2">
        <v>15379.199999999999</v>
      </c>
      <c r="AQ225" s="2">
        <v>787.69</v>
      </c>
      <c r="AR225" s="5">
        <v>3233.38</v>
      </c>
      <c r="AS225" s="2">
        <v>90421.52</v>
      </c>
      <c r="AT225" s="12">
        <v>80733.5</v>
      </c>
      <c r="AU225" s="2">
        <v>0</v>
      </c>
      <c r="AV225" s="5">
        <v>7535.1299999999992</v>
      </c>
      <c r="AX225" s="2">
        <v>1033116</v>
      </c>
      <c r="AY225" s="2">
        <v>111771</v>
      </c>
      <c r="AZ225" s="2">
        <v>46121.25</v>
      </c>
      <c r="BA225" s="2">
        <v>4989.78</v>
      </c>
      <c r="BB225" s="5">
        <v>10222.200000000001</v>
      </c>
      <c r="BC225" s="12">
        <v>344494.08000000002</v>
      </c>
      <c r="BD225" s="2">
        <v>17644.2</v>
      </c>
      <c r="BE225" s="2">
        <v>15379.199999999999</v>
      </c>
      <c r="BF225" s="2">
        <v>787.69</v>
      </c>
      <c r="BG225" s="5">
        <v>3233.38</v>
      </c>
      <c r="BH225" s="2">
        <v>90421.52</v>
      </c>
      <c r="BI225" s="12">
        <v>80733.5</v>
      </c>
      <c r="BJ225" s="2">
        <v>0</v>
      </c>
      <c r="BK225" s="5">
        <v>7535.1299999999992</v>
      </c>
      <c r="BL225" s="1" t="s">
        <v>130</v>
      </c>
    </row>
    <row r="226" spans="1:64" x14ac:dyDescent="0.3">
      <c r="A226" t="s">
        <v>323</v>
      </c>
      <c r="B226" s="1" t="s">
        <v>323</v>
      </c>
      <c r="C226" s="9" t="s">
        <v>324</v>
      </c>
      <c r="D226" s="1" t="s">
        <v>95</v>
      </c>
      <c r="E226" s="1" t="s">
        <v>128</v>
      </c>
      <c r="F226" s="10" t="s">
        <v>325</v>
      </c>
      <c r="G226" s="1">
        <v>3.5000000000000003E-2</v>
      </c>
      <c r="H226" s="1">
        <v>0.05</v>
      </c>
      <c r="I226" s="8">
        <v>44424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2422911</v>
      </c>
      <c r="AJ226" s="2">
        <v>159918</v>
      </c>
      <c r="AK226" s="2">
        <v>108165.67</v>
      </c>
      <c r="AL226" s="2">
        <v>7139.2</v>
      </c>
      <c r="AM226" s="5">
        <v>23060.97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154969.74</v>
      </c>
      <c r="AT226" s="12">
        <v>138365.84</v>
      </c>
      <c r="AU226" s="2">
        <v>0</v>
      </c>
      <c r="AV226" s="5">
        <v>12914.14</v>
      </c>
      <c r="AX226" s="2">
        <v>2422911</v>
      </c>
      <c r="AY226" s="2">
        <v>159918</v>
      </c>
      <c r="AZ226" s="2">
        <v>108165.67</v>
      </c>
      <c r="BA226" s="2">
        <v>7139.2</v>
      </c>
      <c r="BB226" s="5">
        <v>23060.97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154969.74</v>
      </c>
      <c r="BI226" s="12">
        <v>138365.84</v>
      </c>
      <c r="BJ226" s="2">
        <v>0</v>
      </c>
      <c r="BK226" s="5">
        <v>12914.14</v>
      </c>
      <c r="BL226" s="1" t="s">
        <v>326</v>
      </c>
    </row>
    <row r="227" spans="1:64" x14ac:dyDescent="0.3">
      <c r="A227" t="s">
        <v>342</v>
      </c>
      <c r="B227" s="1" t="s">
        <v>342</v>
      </c>
      <c r="C227" s="9" t="s">
        <v>343</v>
      </c>
      <c r="D227" s="1" t="s">
        <v>95</v>
      </c>
      <c r="E227" s="1" t="s">
        <v>128</v>
      </c>
      <c r="F227" s="10" t="s">
        <v>147</v>
      </c>
      <c r="G227" s="1">
        <v>0.04</v>
      </c>
      <c r="H227" s="1">
        <v>0.05</v>
      </c>
      <c r="I227" s="8">
        <v>44615</v>
      </c>
      <c r="J227" s="6">
        <v>301952</v>
      </c>
      <c r="K227" s="6">
        <v>44916</v>
      </c>
      <c r="L227" s="6">
        <v>13480.01</v>
      </c>
      <c r="M227" s="6">
        <v>2005.1800000000003</v>
      </c>
      <c r="N227" s="7">
        <v>3097.0400000000009</v>
      </c>
      <c r="O227" s="6">
        <v>-311037.90000000002</v>
      </c>
      <c r="P227" s="6">
        <v>-23131.300000000003</v>
      </c>
      <c r="Q227" s="6">
        <v>-13885.619999999999</v>
      </c>
      <c r="R227" s="6">
        <v>-1032.6500000000001</v>
      </c>
      <c r="S227" s="7">
        <v>-2983.65</v>
      </c>
      <c r="T227" s="11">
        <v>761.95</v>
      </c>
      <c r="U227" s="6">
        <v>680.30999999999403</v>
      </c>
      <c r="V227" s="6">
        <v>0</v>
      </c>
      <c r="W227" s="6">
        <v>63.489999999999782</v>
      </c>
      <c r="X227" s="46">
        <v>45815</v>
      </c>
      <c r="Y227" s="1">
        <v>25112161</v>
      </c>
      <c r="Z227" s="1">
        <v>25112162</v>
      </c>
      <c r="AI227" s="2">
        <v>877538</v>
      </c>
      <c r="AJ227" s="2">
        <v>150793</v>
      </c>
      <c r="AK227" s="2">
        <v>39175.81</v>
      </c>
      <c r="AL227" s="2">
        <v>6731.83</v>
      </c>
      <c r="AM227" s="5">
        <v>9181.5300000000007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61699.87</v>
      </c>
      <c r="AT227" s="12">
        <v>55089.17</v>
      </c>
      <c r="AU227" s="2">
        <v>0</v>
      </c>
      <c r="AV227" s="5">
        <v>5141.6499999999996</v>
      </c>
      <c r="AX227" s="2">
        <v>575586</v>
      </c>
      <c r="AY227" s="2">
        <v>105877</v>
      </c>
      <c r="AZ227" s="2">
        <v>25695.800000000003</v>
      </c>
      <c r="BA227" s="2">
        <v>4726.6499999999996</v>
      </c>
      <c r="BB227" s="5">
        <v>6084.49</v>
      </c>
      <c r="BC227" s="12">
        <v>311037.90000000002</v>
      </c>
      <c r="BD227" s="2">
        <v>23131.300000000003</v>
      </c>
      <c r="BE227" s="2">
        <v>13885.619999999999</v>
      </c>
      <c r="BF227" s="2">
        <v>1032.6500000000001</v>
      </c>
      <c r="BG227" s="5">
        <v>2983.65</v>
      </c>
      <c r="BH227" s="2">
        <v>60937.919999999998</v>
      </c>
      <c r="BI227" s="12">
        <v>54408.86</v>
      </c>
      <c r="BJ227" s="2">
        <v>0</v>
      </c>
      <c r="BK227" s="5">
        <v>5078.16</v>
      </c>
      <c r="BL227" s="1" t="s">
        <v>130</v>
      </c>
    </row>
    <row r="228" spans="1:64" x14ac:dyDescent="0.3">
      <c r="A228" t="s">
        <v>346</v>
      </c>
      <c r="B228" s="1" t="s">
        <v>346</v>
      </c>
      <c r="C228" s="9" t="s">
        <v>347</v>
      </c>
      <c r="D228" s="1" t="s">
        <v>95</v>
      </c>
      <c r="E228" s="1" t="s">
        <v>135</v>
      </c>
      <c r="F228" s="10" t="s">
        <v>348</v>
      </c>
      <c r="G228" s="1">
        <v>0.04</v>
      </c>
      <c r="H228" s="1">
        <v>0.05</v>
      </c>
      <c r="I228" s="8">
        <v>44630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261336</v>
      </c>
      <c r="AJ228" s="2">
        <v>80322</v>
      </c>
      <c r="AK228" s="2">
        <v>11666.79</v>
      </c>
      <c r="AL228" s="2">
        <v>3585.81</v>
      </c>
      <c r="AM228" s="5">
        <v>3050.5099999999998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20499.48</v>
      </c>
      <c r="AT228" s="12">
        <v>18303.11</v>
      </c>
      <c r="AU228" s="2">
        <v>0</v>
      </c>
      <c r="AV228" s="5">
        <v>1708.29</v>
      </c>
      <c r="AX228" s="2">
        <v>261336</v>
      </c>
      <c r="AY228" s="2">
        <v>80322</v>
      </c>
      <c r="AZ228" s="2">
        <v>11666.79</v>
      </c>
      <c r="BA228" s="2">
        <v>3585.81</v>
      </c>
      <c r="BB228" s="5">
        <v>3050.5099999999998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20499.48</v>
      </c>
      <c r="BI228" s="12">
        <v>18303.11</v>
      </c>
      <c r="BJ228" s="2">
        <v>0</v>
      </c>
      <c r="BK228" s="5">
        <v>1708.29</v>
      </c>
      <c r="BL228" s="1" t="s">
        <v>137</v>
      </c>
    </row>
    <row r="229" spans="1:64" x14ac:dyDescent="0.3">
      <c r="A229" t="s">
        <v>353</v>
      </c>
      <c r="B229" s="1" t="s">
        <v>353</v>
      </c>
      <c r="C229" s="9" t="s">
        <v>354</v>
      </c>
      <c r="D229" s="1" t="s">
        <v>95</v>
      </c>
      <c r="E229" s="1" t="s">
        <v>128</v>
      </c>
      <c r="F229" s="10" t="s">
        <v>355</v>
      </c>
      <c r="G229" s="1">
        <v>0.04</v>
      </c>
      <c r="H229" s="1">
        <v>0.05</v>
      </c>
      <c r="I229" s="8">
        <v>44679</v>
      </c>
      <c r="J229" s="6">
        <v>3067378</v>
      </c>
      <c r="K229" s="6">
        <v>158155</v>
      </c>
      <c r="L229" s="6">
        <v>136936.51</v>
      </c>
      <c r="M229" s="6">
        <v>7060.49</v>
      </c>
      <c r="N229" s="7">
        <v>28799.399999999998</v>
      </c>
      <c r="O229" s="6">
        <v>-1132473.3</v>
      </c>
      <c r="P229" s="6">
        <v>-51363.900000000009</v>
      </c>
      <c r="Q229" s="6">
        <v>-50556.86</v>
      </c>
      <c r="R229" s="6">
        <v>-2293.0299999999997</v>
      </c>
      <c r="S229" s="7">
        <v>-4415.29</v>
      </c>
      <c r="T229" s="11">
        <v>129394.97</v>
      </c>
      <c r="U229" s="6">
        <v>115531.22</v>
      </c>
      <c r="V229" s="6">
        <v>0</v>
      </c>
      <c r="W229" s="6">
        <v>10208.490000000002</v>
      </c>
      <c r="X229" s="46">
        <v>45815</v>
      </c>
      <c r="Y229" s="1">
        <v>25112163</v>
      </c>
      <c r="Z229" s="1">
        <v>25112164</v>
      </c>
      <c r="AI229" s="2">
        <v>3067378</v>
      </c>
      <c r="AJ229" s="2">
        <v>158155</v>
      </c>
      <c r="AK229" s="2">
        <v>136936.51</v>
      </c>
      <c r="AL229" s="2">
        <v>7060.49</v>
      </c>
      <c r="AM229" s="5">
        <v>28799.399999999998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193531.97</v>
      </c>
      <c r="AT229" s="12">
        <v>172796.4</v>
      </c>
      <c r="AU229" s="2">
        <v>0</v>
      </c>
      <c r="AV229" s="5">
        <v>16127.67</v>
      </c>
      <c r="AX229" s="2">
        <v>0</v>
      </c>
      <c r="AY229" s="2">
        <v>0</v>
      </c>
      <c r="AZ229" s="2">
        <v>0</v>
      </c>
      <c r="BA229" s="2">
        <v>0</v>
      </c>
      <c r="BB229" s="5">
        <v>0</v>
      </c>
      <c r="BC229" s="12">
        <v>1132473.3</v>
      </c>
      <c r="BD229" s="2">
        <v>51363.900000000009</v>
      </c>
      <c r="BE229" s="2">
        <v>50556.86</v>
      </c>
      <c r="BF229" s="2">
        <v>2293.0299999999997</v>
      </c>
      <c r="BG229" s="5">
        <v>4415.29</v>
      </c>
      <c r="BH229" s="2">
        <v>64137</v>
      </c>
      <c r="BI229" s="12">
        <v>57265.179999999993</v>
      </c>
      <c r="BJ229" s="2">
        <v>0</v>
      </c>
      <c r="BK229" s="5">
        <v>5919.18</v>
      </c>
      <c r="BL229" s="1" t="s">
        <v>130</v>
      </c>
    </row>
    <row r="230" spans="1:64" x14ac:dyDescent="0.3">
      <c r="A230" t="s">
        <v>360</v>
      </c>
      <c r="B230" s="1" t="s">
        <v>360</v>
      </c>
      <c r="C230" s="9" t="s">
        <v>361</v>
      </c>
      <c r="D230" s="1" t="s">
        <v>95</v>
      </c>
      <c r="E230" s="1" t="s">
        <v>128</v>
      </c>
      <c r="F230" s="10" t="s">
        <v>309</v>
      </c>
      <c r="G230" s="1">
        <v>0.04</v>
      </c>
      <c r="H230" s="1">
        <v>0.05</v>
      </c>
      <c r="I230" s="8">
        <v>44705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341517</v>
      </c>
      <c r="AJ230" s="2">
        <v>49658</v>
      </c>
      <c r="AK230" s="2">
        <v>15246.29</v>
      </c>
      <c r="AL230" s="2">
        <v>2216.88</v>
      </c>
      <c r="AM230" s="5">
        <v>3492.63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23470.5</v>
      </c>
      <c r="AT230" s="12">
        <v>20955.800000000003</v>
      </c>
      <c r="AU230" s="2">
        <v>0</v>
      </c>
      <c r="AV230" s="5">
        <v>1955.88</v>
      </c>
      <c r="AX230" s="2">
        <v>341517</v>
      </c>
      <c r="AY230" s="2">
        <v>49658</v>
      </c>
      <c r="AZ230" s="2">
        <v>15246.29</v>
      </c>
      <c r="BA230" s="2">
        <v>2216.88</v>
      </c>
      <c r="BB230" s="5">
        <v>3492.63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23470.5</v>
      </c>
      <c r="BI230" s="12">
        <v>20955.800000000003</v>
      </c>
      <c r="BJ230" s="2">
        <v>0</v>
      </c>
      <c r="BK230" s="5">
        <v>1955.88</v>
      </c>
      <c r="BL230" s="1" t="s">
        <v>130</v>
      </c>
    </row>
    <row r="231" spans="1:64" x14ac:dyDescent="0.3">
      <c r="A231" t="s">
        <v>362</v>
      </c>
      <c r="B231" s="1" t="s">
        <v>362</v>
      </c>
      <c r="C231" s="9" t="s">
        <v>363</v>
      </c>
      <c r="D231" s="1" t="s">
        <v>95</v>
      </c>
      <c r="E231" s="1" t="s">
        <v>128</v>
      </c>
      <c r="F231" s="10" t="s">
        <v>129</v>
      </c>
      <c r="G231" s="1">
        <v>0.04</v>
      </c>
      <c r="H231" s="1">
        <v>0.05</v>
      </c>
      <c r="I231" s="8">
        <v>44725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602209</v>
      </c>
      <c r="AJ231" s="2">
        <v>33262</v>
      </c>
      <c r="AK231" s="2">
        <v>26884.329999999998</v>
      </c>
      <c r="AL231" s="2">
        <v>1484.91</v>
      </c>
      <c r="AM231" s="5">
        <v>5673.85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38128.26</v>
      </c>
      <c r="AT231" s="12">
        <v>34043.089999999997</v>
      </c>
      <c r="AU231" s="2">
        <v>0</v>
      </c>
      <c r="AV231" s="5">
        <v>3177.35</v>
      </c>
      <c r="AX231" s="2">
        <v>602209</v>
      </c>
      <c r="AY231" s="2">
        <v>33262</v>
      </c>
      <c r="AZ231" s="2">
        <v>26884.329999999998</v>
      </c>
      <c r="BA231" s="2">
        <v>1484.91</v>
      </c>
      <c r="BB231" s="5">
        <v>5673.85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38128.26</v>
      </c>
      <c r="BI231" s="12">
        <v>34043.089999999997</v>
      </c>
      <c r="BJ231" s="2">
        <v>0</v>
      </c>
      <c r="BK231" s="5">
        <v>3177.35</v>
      </c>
      <c r="BL231" s="1" t="s">
        <v>326</v>
      </c>
    </row>
    <row r="232" spans="1:64" x14ac:dyDescent="0.3">
      <c r="A232" t="s">
        <v>366</v>
      </c>
      <c r="B232" s="1" t="s">
        <v>366</v>
      </c>
      <c r="C232" s="9" t="s">
        <v>367</v>
      </c>
      <c r="D232" s="1" t="s">
        <v>95</v>
      </c>
      <c r="E232" s="1" t="s">
        <v>128</v>
      </c>
      <c r="F232" s="10" t="s">
        <v>325</v>
      </c>
      <c r="G232" s="1">
        <v>3.5000000000000003E-2</v>
      </c>
      <c r="H232" s="1">
        <v>0.05</v>
      </c>
      <c r="I232" s="8">
        <v>44741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3355917</v>
      </c>
      <c r="AJ232" s="2">
        <v>421536</v>
      </c>
      <c r="AK232" s="2">
        <v>149817.71999999997</v>
      </c>
      <c r="AL232" s="2">
        <v>18818.57</v>
      </c>
      <c r="AM232" s="5">
        <v>33727.26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226647.18</v>
      </c>
      <c r="AT232" s="12">
        <v>202363.55</v>
      </c>
      <c r="AU232" s="2">
        <v>0</v>
      </c>
      <c r="AV232" s="5">
        <v>18887.27</v>
      </c>
      <c r="AX232" s="2">
        <v>3355917</v>
      </c>
      <c r="AY232" s="2">
        <v>421536</v>
      </c>
      <c r="AZ232" s="2">
        <v>149817.71999999997</v>
      </c>
      <c r="BA232" s="2">
        <v>18818.57</v>
      </c>
      <c r="BB232" s="5">
        <v>33727.26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226647.18</v>
      </c>
      <c r="BI232" s="12">
        <v>202363.55</v>
      </c>
      <c r="BJ232" s="2">
        <v>0</v>
      </c>
      <c r="BK232" s="5">
        <v>18887.27</v>
      </c>
      <c r="BL232" s="1" t="s">
        <v>326</v>
      </c>
    </row>
    <row r="233" spans="1:64" x14ac:dyDescent="0.3">
      <c r="A233" t="s">
        <v>399</v>
      </c>
      <c r="B233" s="1" t="s">
        <v>399</v>
      </c>
      <c r="C233" s="9" t="s">
        <v>400</v>
      </c>
      <c r="D233" s="1" t="s">
        <v>95</v>
      </c>
      <c r="E233" s="1" t="s">
        <v>128</v>
      </c>
      <c r="F233" s="10" t="s">
        <v>401</v>
      </c>
      <c r="G233" s="1">
        <v>4.4999999999999998E-2</v>
      </c>
      <c r="H233" s="1">
        <v>0.05</v>
      </c>
      <c r="I233" s="8">
        <v>45209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2162304</v>
      </c>
      <c r="AJ233" s="2">
        <v>87600</v>
      </c>
      <c r="AK233" s="2">
        <v>96531.419999999984</v>
      </c>
      <c r="AL233" s="2">
        <v>3910.72</v>
      </c>
      <c r="AM233" s="5">
        <v>20088.420000000002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134994.23000000001</v>
      </c>
      <c r="AT233" s="12">
        <v>120530.56</v>
      </c>
      <c r="AU233" s="2">
        <v>0</v>
      </c>
      <c r="AV233" s="5">
        <v>11249.52</v>
      </c>
      <c r="AX233" s="2">
        <v>2162304</v>
      </c>
      <c r="AY233" s="2">
        <v>87600</v>
      </c>
      <c r="AZ233" s="2">
        <v>96531.419999999984</v>
      </c>
      <c r="BA233" s="2">
        <v>3910.72</v>
      </c>
      <c r="BB233" s="5">
        <v>20088.420000000002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134994.23000000001</v>
      </c>
      <c r="BI233" s="12">
        <v>120530.56</v>
      </c>
      <c r="BJ233" s="2">
        <v>0</v>
      </c>
      <c r="BK233" s="5">
        <v>11249.52</v>
      </c>
      <c r="BL233" s="1" t="s">
        <v>130</v>
      </c>
    </row>
    <row r="234" spans="1:64" x14ac:dyDescent="0.3">
      <c r="A234" t="s">
        <v>414</v>
      </c>
      <c r="B234" s="1" t="s">
        <v>414</v>
      </c>
      <c r="C234" s="9" t="s">
        <v>415</v>
      </c>
      <c r="D234" s="1" t="s">
        <v>95</v>
      </c>
      <c r="E234" s="1" t="s">
        <v>128</v>
      </c>
      <c r="F234" s="10" t="s">
        <v>325</v>
      </c>
      <c r="G234" s="1">
        <v>3.5000000000000003E-2</v>
      </c>
      <c r="H234" s="1">
        <v>0.05</v>
      </c>
      <c r="I234" s="8">
        <v>45337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2845282.55</v>
      </c>
      <c r="AJ234" s="2">
        <v>222754</v>
      </c>
      <c r="AK234" s="2">
        <v>127021.54999999999</v>
      </c>
      <c r="AL234" s="2">
        <v>9944.369999999999</v>
      </c>
      <c r="AM234" s="5">
        <v>27393.19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184082.2</v>
      </c>
      <c r="AT234" s="12">
        <v>164359.10999999999</v>
      </c>
      <c r="AU234" s="2">
        <v>0</v>
      </c>
      <c r="AV234" s="5">
        <v>15340.18</v>
      </c>
      <c r="AX234" s="2">
        <v>2845282.55</v>
      </c>
      <c r="AY234" s="2">
        <v>222754</v>
      </c>
      <c r="AZ234" s="2">
        <v>127021.54999999999</v>
      </c>
      <c r="BA234" s="2">
        <v>9944.369999999999</v>
      </c>
      <c r="BB234" s="5">
        <v>27393.19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184082.2</v>
      </c>
      <c r="BI234" s="12">
        <v>164359.10999999999</v>
      </c>
      <c r="BJ234" s="2">
        <v>0</v>
      </c>
      <c r="BK234" s="5">
        <v>15340.18</v>
      </c>
      <c r="BL234" s="1" t="s">
        <v>326</v>
      </c>
    </row>
    <row r="235" spans="1:64" x14ac:dyDescent="0.3">
      <c r="A235" t="s">
        <v>422</v>
      </c>
      <c r="B235" s="1" t="s">
        <v>422</v>
      </c>
      <c r="C235" s="9" t="s">
        <v>423</v>
      </c>
      <c r="D235" s="1" t="s">
        <v>95</v>
      </c>
      <c r="E235" s="1" t="s">
        <v>128</v>
      </c>
      <c r="F235" s="10" t="s">
        <v>401</v>
      </c>
      <c r="G235" s="1">
        <v>3.5000000000000003E-2</v>
      </c>
      <c r="H235" s="1">
        <v>0.05</v>
      </c>
      <c r="I235" s="8">
        <v>45555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667269</v>
      </c>
      <c r="AJ235" s="2">
        <v>66865</v>
      </c>
      <c r="AK235" s="2">
        <v>29788.79</v>
      </c>
      <c r="AL235" s="2">
        <v>2985.04</v>
      </c>
      <c r="AM235" s="5">
        <v>6554.77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44048.03</v>
      </c>
      <c r="AT235" s="12">
        <v>39328.600000000006</v>
      </c>
      <c r="AU235" s="2">
        <v>0</v>
      </c>
      <c r="AV235" s="5">
        <v>3670.67</v>
      </c>
      <c r="AX235" s="2">
        <v>667269</v>
      </c>
      <c r="AY235" s="2">
        <v>66865</v>
      </c>
      <c r="AZ235" s="2">
        <v>29788.79</v>
      </c>
      <c r="BA235" s="2">
        <v>2985.04</v>
      </c>
      <c r="BB235" s="5">
        <v>6554.77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44048.03</v>
      </c>
      <c r="BI235" s="12">
        <v>39328.600000000006</v>
      </c>
      <c r="BJ235" s="2">
        <v>0</v>
      </c>
      <c r="BK235" s="5">
        <v>3670.67</v>
      </c>
      <c r="BL235" s="1" t="s">
        <v>130</v>
      </c>
    </row>
    <row r="236" spans="1:64" x14ac:dyDescent="0.3">
      <c r="A236" t="s">
        <v>424</v>
      </c>
      <c r="B236" s="1" t="s">
        <v>424</v>
      </c>
      <c r="C236" s="9" t="s">
        <v>425</v>
      </c>
      <c r="D236" s="1" t="s">
        <v>95</v>
      </c>
      <c r="E236" s="1" t="s">
        <v>128</v>
      </c>
      <c r="F236" s="10" t="s">
        <v>401</v>
      </c>
      <c r="G236" s="1">
        <v>3.5000000000000003E-2</v>
      </c>
      <c r="H236" s="1">
        <v>0.05</v>
      </c>
      <c r="I236" s="8">
        <v>45664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2151331</v>
      </c>
      <c r="AJ236" s="2">
        <v>127138</v>
      </c>
      <c r="AK236" s="2">
        <v>96041.56</v>
      </c>
      <c r="AL236" s="2">
        <v>5675.8</v>
      </c>
      <c r="AM236" s="5">
        <v>20343.469999999998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136708.13</v>
      </c>
      <c r="AT236" s="12">
        <v>122060.82999999999</v>
      </c>
      <c r="AU236" s="2">
        <v>0</v>
      </c>
      <c r="AV236" s="5">
        <v>11392.35</v>
      </c>
      <c r="AX236" s="2">
        <v>2151331</v>
      </c>
      <c r="AY236" s="2">
        <v>127138</v>
      </c>
      <c r="AZ236" s="2">
        <v>96041.56</v>
      </c>
      <c r="BA236" s="2">
        <v>5675.8</v>
      </c>
      <c r="BB236" s="5">
        <v>20343.469999999998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136708.13</v>
      </c>
      <c r="BI236" s="12">
        <v>122060.82999999999</v>
      </c>
      <c r="BJ236" s="2">
        <v>0</v>
      </c>
      <c r="BK236" s="5">
        <v>11392.35</v>
      </c>
      <c r="BL236" s="1" t="s">
        <v>326</v>
      </c>
    </row>
    <row r="237" spans="1:64" x14ac:dyDescent="0.3">
      <c r="A237" t="s">
        <v>430</v>
      </c>
      <c r="B237" s="1" t="s">
        <v>430</v>
      </c>
      <c r="C237" s="9" t="s">
        <v>431</v>
      </c>
      <c r="D237" s="1" t="s">
        <v>95</v>
      </c>
      <c r="E237" s="1" t="s">
        <v>88</v>
      </c>
      <c r="F237" s="10" t="s">
        <v>432</v>
      </c>
      <c r="G237" s="1">
        <v>3.5000000000000003E-2</v>
      </c>
      <c r="H237" s="1">
        <v>0.05</v>
      </c>
      <c r="I237" s="8">
        <v>43993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197401</v>
      </c>
      <c r="AJ237" s="2">
        <v>12684</v>
      </c>
      <c r="AK237" s="2">
        <v>8812.5400000000009</v>
      </c>
      <c r="AL237" s="2">
        <v>566.25</v>
      </c>
      <c r="AM237" s="5">
        <v>1875.76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12605.1</v>
      </c>
      <c r="AT237" s="12">
        <v>11254.550000000001</v>
      </c>
      <c r="AU237" s="2">
        <v>0</v>
      </c>
      <c r="AV237" s="5">
        <v>1050.42</v>
      </c>
      <c r="AX237" s="2">
        <v>197401</v>
      </c>
      <c r="AY237" s="2">
        <v>12684</v>
      </c>
      <c r="AZ237" s="2">
        <v>8812.5400000000009</v>
      </c>
      <c r="BA237" s="2">
        <v>566.25</v>
      </c>
      <c r="BB237" s="5">
        <v>1875.76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12605.1</v>
      </c>
      <c r="BI237" s="12">
        <v>11254.550000000001</v>
      </c>
      <c r="BJ237" s="2">
        <v>0</v>
      </c>
      <c r="BK237" s="5">
        <v>1050.42</v>
      </c>
      <c r="BL237" s="1" t="s">
        <v>90</v>
      </c>
    </row>
    <row r="238" spans="1:64" x14ac:dyDescent="0.3">
      <c r="A238" t="s">
        <v>433</v>
      </c>
      <c r="B238" s="1" t="s">
        <v>433</v>
      </c>
      <c r="C238" s="9" t="s">
        <v>434</v>
      </c>
      <c r="D238" s="1" t="s">
        <v>95</v>
      </c>
      <c r="E238" s="1" t="s">
        <v>135</v>
      </c>
      <c r="F238" s="10" t="s">
        <v>435</v>
      </c>
      <c r="G238" s="1">
        <v>3.5000000000000003E-2</v>
      </c>
      <c r="H238" s="1">
        <v>0.05</v>
      </c>
      <c r="I238" s="8">
        <v>44000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532067</v>
      </c>
      <c r="AJ238" s="2">
        <v>51115</v>
      </c>
      <c r="AK238" s="2">
        <v>23752.99</v>
      </c>
      <c r="AL238" s="2">
        <v>2281.92</v>
      </c>
      <c r="AM238" s="5">
        <v>5206.9799999999996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34990.92</v>
      </c>
      <c r="AT238" s="12">
        <v>31241.890000000003</v>
      </c>
      <c r="AU238" s="2">
        <v>0</v>
      </c>
      <c r="AV238" s="5">
        <v>2915.91</v>
      </c>
      <c r="AX238" s="2">
        <v>532067</v>
      </c>
      <c r="AY238" s="2">
        <v>51115</v>
      </c>
      <c r="AZ238" s="2">
        <v>23752.99</v>
      </c>
      <c r="BA238" s="2">
        <v>2281.92</v>
      </c>
      <c r="BB238" s="5">
        <v>5206.9799999999996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34990.92</v>
      </c>
      <c r="BI238" s="12">
        <v>31241.890000000003</v>
      </c>
      <c r="BJ238" s="2">
        <v>0</v>
      </c>
      <c r="BK238" s="5">
        <v>2915.91</v>
      </c>
      <c r="BL238" s="1" t="s">
        <v>436</v>
      </c>
    </row>
    <row r="239" spans="1:64" x14ac:dyDescent="0.3">
      <c r="A239" t="s">
        <v>437</v>
      </c>
      <c r="B239" s="1" t="s">
        <v>437</v>
      </c>
      <c r="C239" s="9" t="s">
        <v>438</v>
      </c>
      <c r="D239" s="1" t="s">
        <v>95</v>
      </c>
      <c r="E239" s="1" t="s">
        <v>88</v>
      </c>
      <c r="F239" s="10" t="s">
        <v>218</v>
      </c>
      <c r="G239" s="1">
        <v>3.5000000000000003E-2</v>
      </c>
      <c r="H239" s="1">
        <v>0.05</v>
      </c>
      <c r="I239" s="8">
        <v>44062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1378133</v>
      </c>
      <c r="AJ239" s="2">
        <v>173873</v>
      </c>
      <c r="AK239" s="2">
        <v>61523.79</v>
      </c>
      <c r="AL239" s="2">
        <v>7762.19</v>
      </c>
      <c r="AM239" s="5">
        <v>13857.2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93120.36</v>
      </c>
      <c r="AT239" s="12">
        <v>83143.179999999993</v>
      </c>
      <c r="AU239" s="2">
        <v>0</v>
      </c>
      <c r="AV239" s="5">
        <v>7760.03</v>
      </c>
      <c r="AX239" s="2">
        <v>1378133</v>
      </c>
      <c r="AY239" s="2">
        <v>173873</v>
      </c>
      <c r="AZ239" s="2">
        <v>61523.79</v>
      </c>
      <c r="BA239" s="2">
        <v>7762.19</v>
      </c>
      <c r="BB239" s="5">
        <v>13857.2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93120.36</v>
      </c>
      <c r="BI239" s="12">
        <v>83143.179999999993</v>
      </c>
      <c r="BJ239" s="2">
        <v>0</v>
      </c>
      <c r="BK239" s="5">
        <v>7760.03</v>
      </c>
      <c r="BL239" s="1" t="s">
        <v>90</v>
      </c>
    </row>
    <row r="240" spans="1:64" x14ac:dyDescent="0.3">
      <c r="A240" t="s">
        <v>439</v>
      </c>
      <c r="B240" s="1" t="s">
        <v>439</v>
      </c>
      <c r="C240" s="9" t="s">
        <v>440</v>
      </c>
      <c r="D240" s="1" t="s">
        <v>95</v>
      </c>
      <c r="E240" s="1" t="s">
        <v>88</v>
      </c>
      <c r="F240" s="10" t="s">
        <v>441</v>
      </c>
      <c r="G240" s="1">
        <v>3.5000000000000003E-2</v>
      </c>
      <c r="H240" s="1">
        <v>0.05</v>
      </c>
      <c r="I240" s="8">
        <v>44774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282975.90000000002</v>
      </c>
      <c r="AJ240" s="2">
        <v>50020</v>
      </c>
      <c r="AK240" s="2">
        <v>12632.86</v>
      </c>
      <c r="AL240" s="2">
        <v>2233.04</v>
      </c>
      <c r="AM240" s="5">
        <v>2973.1800000000003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19979.77</v>
      </c>
      <c r="AT240" s="12">
        <v>17839.080000000002</v>
      </c>
      <c r="AU240" s="2">
        <v>0</v>
      </c>
      <c r="AV240" s="5">
        <v>1664.98</v>
      </c>
      <c r="AX240" s="2">
        <v>282975.90000000002</v>
      </c>
      <c r="AY240" s="2">
        <v>50020</v>
      </c>
      <c r="AZ240" s="2">
        <v>12632.86</v>
      </c>
      <c r="BA240" s="2">
        <v>2233.04</v>
      </c>
      <c r="BB240" s="5">
        <v>2973.1800000000003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19979.77</v>
      </c>
      <c r="BI240" s="12">
        <v>17839.080000000002</v>
      </c>
      <c r="BJ240" s="2">
        <v>0</v>
      </c>
      <c r="BK240" s="5">
        <v>1664.98</v>
      </c>
      <c r="BL240" s="1" t="s">
        <v>90</v>
      </c>
    </row>
    <row r="241" spans="1:64" x14ac:dyDescent="0.3">
      <c r="A241" t="s">
        <v>448</v>
      </c>
      <c r="B241" s="1" t="s">
        <v>448</v>
      </c>
      <c r="C241" s="9" t="s">
        <v>449</v>
      </c>
      <c r="D241" s="1" t="s">
        <v>95</v>
      </c>
      <c r="E241" s="1" t="s">
        <v>128</v>
      </c>
      <c r="F241" s="10" t="s">
        <v>355</v>
      </c>
      <c r="G241" s="1">
        <v>4.4999999999999998E-2</v>
      </c>
      <c r="H241" s="1">
        <v>0.05</v>
      </c>
      <c r="I241" s="8">
        <v>45199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701940</v>
      </c>
      <c r="AJ241" s="2">
        <v>57187</v>
      </c>
      <c r="AK241" s="2">
        <v>31336.61</v>
      </c>
      <c r="AL241" s="2">
        <v>2552.9899999999998</v>
      </c>
      <c r="AM241" s="5">
        <v>6777.92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45547.62</v>
      </c>
      <c r="AT241" s="12">
        <v>40667.519999999997</v>
      </c>
      <c r="AU241" s="2">
        <v>0</v>
      </c>
      <c r="AV241" s="5">
        <v>3795.64</v>
      </c>
      <c r="AX241" s="2">
        <v>701940</v>
      </c>
      <c r="AY241" s="2">
        <v>57187</v>
      </c>
      <c r="AZ241" s="2">
        <v>31336.61</v>
      </c>
      <c r="BA241" s="2">
        <v>2552.9899999999998</v>
      </c>
      <c r="BB241" s="5">
        <v>6777.92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45547.62</v>
      </c>
      <c r="BI241" s="12">
        <v>40667.519999999997</v>
      </c>
      <c r="BJ241" s="2">
        <v>0</v>
      </c>
      <c r="BK241" s="5">
        <v>3795.64</v>
      </c>
      <c r="BL241" s="1" t="s">
        <v>130</v>
      </c>
    </row>
    <row r="242" spans="1:64" x14ac:dyDescent="0.3">
      <c r="A242" t="s">
        <v>450</v>
      </c>
      <c r="B242" s="1" t="s">
        <v>450</v>
      </c>
      <c r="C242" s="9" t="s">
        <v>451</v>
      </c>
      <c r="D242" s="1" t="s">
        <v>95</v>
      </c>
      <c r="E242" s="1" t="s">
        <v>135</v>
      </c>
      <c r="F242" s="10" t="s">
        <v>193</v>
      </c>
      <c r="G242" s="1">
        <v>3.5000000000000003E-2</v>
      </c>
      <c r="H242" s="1">
        <v>0.05</v>
      </c>
      <c r="I242" s="8">
        <v>44183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830384.5</v>
      </c>
      <c r="AJ242" s="2">
        <v>272520</v>
      </c>
      <c r="AK242" s="2">
        <v>37070.730000000003</v>
      </c>
      <c r="AL242" s="2">
        <v>12166.080000000002</v>
      </c>
      <c r="AM242" s="5">
        <v>9847.3700000000008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66174.28</v>
      </c>
      <c r="AT242" s="12">
        <v>59084.18</v>
      </c>
      <c r="AU242" s="2">
        <v>0</v>
      </c>
      <c r="AV242" s="5">
        <v>5514.5199999999995</v>
      </c>
      <c r="AX242" s="2">
        <v>830384.5</v>
      </c>
      <c r="AY242" s="2">
        <v>272520</v>
      </c>
      <c r="AZ242" s="2">
        <v>37070.730000000003</v>
      </c>
      <c r="BA242" s="2">
        <v>12166.080000000002</v>
      </c>
      <c r="BB242" s="5">
        <v>9847.3700000000008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66174.28</v>
      </c>
      <c r="BI242" s="12">
        <v>59084.18</v>
      </c>
      <c r="BJ242" s="2">
        <v>0</v>
      </c>
      <c r="BK242" s="5">
        <v>5514.5199999999995</v>
      </c>
      <c r="BL242" s="1" t="s">
        <v>436</v>
      </c>
    </row>
    <row r="243" spans="1:64" x14ac:dyDescent="0.3">
      <c r="A243" t="s">
        <v>475</v>
      </c>
      <c r="B243" s="1" t="s">
        <v>475</v>
      </c>
      <c r="C243" s="9" t="s">
        <v>476</v>
      </c>
      <c r="D243" s="1" t="s">
        <v>95</v>
      </c>
      <c r="E243" s="1" t="s">
        <v>88</v>
      </c>
      <c r="F243" s="10" t="s">
        <v>218</v>
      </c>
      <c r="G243" s="1">
        <v>3.5000000000000003E-2</v>
      </c>
      <c r="H243" s="1">
        <v>0.05</v>
      </c>
      <c r="I243" s="8">
        <v>44496</v>
      </c>
      <c r="J243" s="6">
        <v>499132</v>
      </c>
      <c r="K243" s="6">
        <v>201745</v>
      </c>
      <c r="L243" s="6">
        <v>22282.680000000008</v>
      </c>
      <c r="M243" s="6">
        <v>9006.4700000000012</v>
      </c>
      <c r="N243" s="7">
        <v>6257.83</v>
      </c>
      <c r="O243" s="6">
        <v>-541905.21</v>
      </c>
      <c r="P243" s="6">
        <v>-61755.39</v>
      </c>
      <c r="Q243" s="6">
        <v>-24192.190000000002</v>
      </c>
      <c r="R243" s="6">
        <v>-2756.94</v>
      </c>
      <c r="S243" s="7">
        <v>-4216.6400000000003</v>
      </c>
      <c r="T243" s="11">
        <v>7146.96</v>
      </c>
      <c r="U243" s="6">
        <v>6381.2100000000137</v>
      </c>
      <c r="V243" s="6">
        <v>0</v>
      </c>
      <c r="W243" s="6">
        <v>486.06999999999994</v>
      </c>
      <c r="X243" s="46">
        <v>45815</v>
      </c>
      <c r="Y243" s="1">
        <v>25112165</v>
      </c>
      <c r="Z243" s="1">
        <v>25112166</v>
      </c>
      <c r="AI243" s="2">
        <v>1640107</v>
      </c>
      <c r="AJ243" s="2">
        <v>720542</v>
      </c>
      <c r="AK243" s="2">
        <v>73219.06</v>
      </c>
      <c r="AL243" s="2">
        <v>32167.050000000003</v>
      </c>
      <c r="AM243" s="5">
        <v>21077.22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141638.93</v>
      </c>
      <c r="AT243" s="12">
        <v>126463.33</v>
      </c>
      <c r="AU243" s="2">
        <v>0</v>
      </c>
      <c r="AV243" s="5">
        <v>11803.24</v>
      </c>
      <c r="AX243" s="2">
        <v>1140975</v>
      </c>
      <c r="AY243" s="2">
        <v>518797</v>
      </c>
      <c r="AZ243" s="2">
        <v>50936.38</v>
      </c>
      <c r="BA243" s="2">
        <v>23160.58</v>
      </c>
      <c r="BB243" s="5">
        <v>14819.39</v>
      </c>
      <c r="BC243" s="12">
        <v>541905.21</v>
      </c>
      <c r="BD243" s="2">
        <v>61755.39</v>
      </c>
      <c r="BE243" s="2">
        <v>24192.190000000002</v>
      </c>
      <c r="BF243" s="2">
        <v>2756.94</v>
      </c>
      <c r="BG243" s="5">
        <v>4216.6400000000003</v>
      </c>
      <c r="BH243" s="2">
        <v>134491.97</v>
      </c>
      <c r="BI243" s="12">
        <v>120082.12</v>
      </c>
      <c r="BJ243" s="2">
        <v>0</v>
      </c>
      <c r="BK243" s="5">
        <v>11317.17</v>
      </c>
      <c r="BL243" s="1" t="s">
        <v>90</v>
      </c>
    </row>
    <row r="244" spans="1:64" x14ac:dyDescent="0.3">
      <c r="A244" t="s">
        <v>479</v>
      </c>
      <c r="B244" s="1" t="s">
        <v>479</v>
      </c>
      <c r="C244" s="9" t="s">
        <v>480</v>
      </c>
      <c r="D244" s="1" t="s">
        <v>95</v>
      </c>
      <c r="E244" s="1" t="s">
        <v>135</v>
      </c>
      <c r="F244" s="10" t="s">
        <v>136</v>
      </c>
      <c r="G244" s="1">
        <v>0.04</v>
      </c>
      <c r="H244" s="1">
        <v>0.05</v>
      </c>
      <c r="I244" s="8">
        <v>44778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1073326</v>
      </c>
      <c r="AJ244" s="2">
        <v>158401</v>
      </c>
      <c r="AK244" s="2">
        <v>47916.34</v>
      </c>
      <c r="AL244" s="2">
        <v>7071.48</v>
      </c>
      <c r="AM244" s="5">
        <v>10997.56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73903.63</v>
      </c>
      <c r="AT244" s="12">
        <v>65985.38</v>
      </c>
      <c r="AU244" s="2">
        <v>0</v>
      </c>
      <c r="AV244" s="5">
        <v>6158.6399999999994</v>
      </c>
      <c r="AX244" s="2">
        <v>1073326</v>
      </c>
      <c r="AY244" s="2">
        <v>158401</v>
      </c>
      <c r="AZ244" s="2">
        <v>47916.34</v>
      </c>
      <c r="BA244" s="2">
        <v>7071.48</v>
      </c>
      <c r="BB244" s="5">
        <v>10997.56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73903.63</v>
      </c>
      <c r="BI244" s="12">
        <v>65985.38</v>
      </c>
      <c r="BJ244" s="2">
        <v>0</v>
      </c>
      <c r="BK244" s="5">
        <v>6158.6399999999994</v>
      </c>
      <c r="BL244" s="1" t="s">
        <v>302</v>
      </c>
    </row>
    <row r="245" spans="1:64" x14ac:dyDescent="0.3">
      <c r="A245" t="s">
        <v>483</v>
      </c>
      <c r="B245" s="1" t="s">
        <v>483</v>
      </c>
      <c r="C245" s="9" t="s">
        <v>484</v>
      </c>
      <c r="D245" s="1" t="s">
        <v>95</v>
      </c>
      <c r="E245" s="1" t="s">
        <v>135</v>
      </c>
      <c r="F245" s="10" t="s">
        <v>485</v>
      </c>
      <c r="G245" s="1">
        <v>0.04</v>
      </c>
      <c r="H245" s="1">
        <v>0.05</v>
      </c>
      <c r="I245" s="8">
        <v>44828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956928</v>
      </c>
      <c r="AJ245" s="2">
        <v>120918</v>
      </c>
      <c r="AK245" s="2">
        <v>42720</v>
      </c>
      <c r="AL245" s="2">
        <v>5398.12</v>
      </c>
      <c r="AM245" s="5">
        <v>9623.6200000000008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64670.75</v>
      </c>
      <c r="AT245" s="12">
        <v>57741.74</v>
      </c>
      <c r="AU245" s="2">
        <v>0</v>
      </c>
      <c r="AV245" s="5">
        <v>5389.23</v>
      </c>
      <c r="AX245" s="2">
        <v>956928</v>
      </c>
      <c r="AY245" s="2">
        <v>120918</v>
      </c>
      <c r="AZ245" s="2">
        <v>42720</v>
      </c>
      <c r="BA245" s="2">
        <v>5398.12</v>
      </c>
      <c r="BB245" s="5">
        <v>9623.6200000000008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64670.75</v>
      </c>
      <c r="BI245" s="12">
        <v>57741.74</v>
      </c>
      <c r="BJ245" s="2">
        <v>0</v>
      </c>
      <c r="BK245" s="5">
        <v>5389.23</v>
      </c>
      <c r="BL245" s="1" t="s">
        <v>302</v>
      </c>
    </row>
    <row r="246" spans="1:64" x14ac:dyDescent="0.3">
      <c r="A246" t="s">
        <v>510</v>
      </c>
      <c r="B246" s="1" t="s">
        <v>510</v>
      </c>
      <c r="C246" s="9" t="s">
        <v>511</v>
      </c>
      <c r="D246" s="1" t="s">
        <v>95</v>
      </c>
      <c r="E246" s="1" t="s">
        <v>88</v>
      </c>
      <c r="F246" s="10" t="s">
        <v>218</v>
      </c>
      <c r="G246" s="1">
        <v>4.4999999999999998E-2</v>
      </c>
      <c r="H246" s="1">
        <v>0.05</v>
      </c>
      <c r="I246" s="8">
        <v>45260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1924861</v>
      </c>
      <c r="AJ246" s="2">
        <v>480304</v>
      </c>
      <c r="AK246" s="2">
        <v>85931.290000000008</v>
      </c>
      <c r="AL246" s="2">
        <v>21442.14</v>
      </c>
      <c r="AM246" s="5">
        <v>21474.69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144309.89000000001</v>
      </c>
      <c r="AT246" s="12">
        <v>128848.12</v>
      </c>
      <c r="AU246" s="2">
        <v>0</v>
      </c>
      <c r="AV246" s="5">
        <v>12025.84</v>
      </c>
      <c r="AX246" s="2">
        <v>1924861</v>
      </c>
      <c r="AY246" s="2">
        <v>480304</v>
      </c>
      <c r="AZ246" s="2">
        <v>85931.290000000008</v>
      </c>
      <c r="BA246" s="2">
        <v>21442.14</v>
      </c>
      <c r="BB246" s="5">
        <v>21474.69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144309.89000000001</v>
      </c>
      <c r="BI246" s="12">
        <v>128848.12</v>
      </c>
      <c r="BJ246" s="2">
        <v>0</v>
      </c>
      <c r="BK246" s="5">
        <v>12025.84</v>
      </c>
      <c r="BL246" s="1" t="s">
        <v>90</v>
      </c>
    </row>
    <row r="247" spans="1:64" x14ac:dyDescent="0.3">
      <c r="A247" t="s">
        <v>516</v>
      </c>
      <c r="B247" s="1" t="s">
        <v>516</v>
      </c>
      <c r="C247" s="9" t="s">
        <v>517</v>
      </c>
      <c r="D247" s="1" t="s">
        <v>95</v>
      </c>
      <c r="E247" s="1" t="s">
        <v>128</v>
      </c>
      <c r="F247" s="10" t="s">
        <v>325</v>
      </c>
      <c r="G247" s="1">
        <v>4.4999999999999998E-2</v>
      </c>
      <c r="H247" s="1">
        <v>0.05</v>
      </c>
      <c r="I247" s="8">
        <v>45270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580282</v>
      </c>
      <c r="AJ247" s="2">
        <v>125925</v>
      </c>
      <c r="AK247" s="2">
        <v>25905.45</v>
      </c>
      <c r="AL247" s="2">
        <v>5621.65</v>
      </c>
      <c r="AM247" s="5">
        <v>6305.42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42372.42</v>
      </c>
      <c r="AT247" s="12">
        <v>37832.519999999997</v>
      </c>
      <c r="AU247" s="2">
        <v>0</v>
      </c>
      <c r="AV247" s="5">
        <v>3531.04</v>
      </c>
      <c r="AX247" s="2">
        <v>580282</v>
      </c>
      <c r="AY247" s="2">
        <v>125925</v>
      </c>
      <c r="AZ247" s="2">
        <v>25905.45</v>
      </c>
      <c r="BA247" s="2">
        <v>5621.65</v>
      </c>
      <c r="BB247" s="5">
        <v>6305.42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42372.42</v>
      </c>
      <c r="BI247" s="12">
        <v>37832.519999999997</v>
      </c>
      <c r="BJ247" s="2">
        <v>0</v>
      </c>
      <c r="BK247" s="5">
        <v>3531.04</v>
      </c>
      <c r="BL247" s="1" t="s">
        <v>326</v>
      </c>
    </row>
    <row r="248" spans="1:64" x14ac:dyDescent="0.3">
      <c r="A248" t="s">
        <v>532</v>
      </c>
      <c r="B248" s="1" t="s">
        <v>532</v>
      </c>
      <c r="C248" s="9" t="s">
        <v>533</v>
      </c>
      <c r="D248" s="1" t="s">
        <v>95</v>
      </c>
      <c r="E248" s="1" t="s">
        <v>88</v>
      </c>
      <c r="F248" s="10" t="s">
        <v>534</v>
      </c>
      <c r="G248" s="1">
        <v>3.5000000000000003E-2</v>
      </c>
      <c r="H248" s="1">
        <v>0.05</v>
      </c>
      <c r="I248" s="8">
        <v>45611</v>
      </c>
      <c r="J248" s="6">
        <v>15267</v>
      </c>
      <c r="K248" s="6">
        <v>3664</v>
      </c>
      <c r="L248" s="6">
        <v>681.5600000000004</v>
      </c>
      <c r="M248" s="6">
        <v>163.56999999999994</v>
      </c>
      <c r="N248" s="7">
        <v>169.02999999999997</v>
      </c>
      <c r="O248" s="6">
        <v>-33986.94</v>
      </c>
      <c r="P248" s="6">
        <v>-4971.4799999999996</v>
      </c>
      <c r="Q248" s="6">
        <v>-1517.28</v>
      </c>
      <c r="R248" s="6">
        <v>-221.94</v>
      </c>
      <c r="S248" s="7">
        <v>-347.84</v>
      </c>
      <c r="T248" s="11">
        <v>-1201.6500000000001</v>
      </c>
      <c r="U248" s="6">
        <v>-1072.9000000000015</v>
      </c>
      <c r="V248" s="6">
        <v>0</v>
      </c>
      <c r="W248" s="6">
        <v>-100.13999999999999</v>
      </c>
      <c r="X248" s="46">
        <v>45815</v>
      </c>
      <c r="Y248" s="1">
        <v>25016224</v>
      </c>
      <c r="Z248" s="1">
        <v>25016225</v>
      </c>
      <c r="AI248" s="2">
        <v>130061</v>
      </c>
      <c r="AJ248" s="2">
        <v>37968</v>
      </c>
      <c r="AK248" s="2">
        <v>5806.29</v>
      </c>
      <c r="AL248" s="2">
        <v>1695</v>
      </c>
      <c r="AM248" s="5">
        <v>1500.26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10081.74</v>
      </c>
      <c r="AT248" s="12">
        <v>9001.5499999999993</v>
      </c>
      <c r="AU248" s="2">
        <v>0</v>
      </c>
      <c r="AV248" s="5">
        <v>840.14</v>
      </c>
      <c r="AX248" s="2">
        <v>114794</v>
      </c>
      <c r="AY248" s="2">
        <v>34304</v>
      </c>
      <c r="AZ248" s="2">
        <v>5124.7299999999996</v>
      </c>
      <c r="BA248" s="2">
        <v>1531.43</v>
      </c>
      <c r="BB248" s="5">
        <v>1331.23</v>
      </c>
      <c r="BC248" s="12">
        <v>33986.94</v>
      </c>
      <c r="BD248" s="2">
        <v>4971.4799999999996</v>
      </c>
      <c r="BE248" s="2">
        <v>1517.28</v>
      </c>
      <c r="BF248" s="2">
        <v>221.94</v>
      </c>
      <c r="BG248" s="5">
        <v>347.84</v>
      </c>
      <c r="BH248" s="2">
        <v>11283.38</v>
      </c>
      <c r="BI248" s="12">
        <v>10074.450000000001</v>
      </c>
      <c r="BJ248" s="2">
        <v>0</v>
      </c>
      <c r="BK248" s="5">
        <v>940.28</v>
      </c>
      <c r="BL248" s="1" t="s">
        <v>90</v>
      </c>
    </row>
    <row r="249" spans="1:64" x14ac:dyDescent="0.3">
      <c r="A249" t="s">
        <v>535</v>
      </c>
      <c r="B249" s="1" t="s">
        <v>535</v>
      </c>
      <c r="C249" s="9" t="s">
        <v>536</v>
      </c>
      <c r="D249" s="1" t="s">
        <v>95</v>
      </c>
      <c r="E249" s="1" t="s">
        <v>88</v>
      </c>
      <c r="F249" s="10" t="s">
        <v>432</v>
      </c>
      <c r="G249" s="1">
        <v>3.5000000000000003E-2</v>
      </c>
      <c r="H249" s="1">
        <v>0.05</v>
      </c>
      <c r="I249" s="8">
        <v>45616</v>
      </c>
      <c r="J249" s="6">
        <v>201885</v>
      </c>
      <c r="K249" s="6">
        <v>116489</v>
      </c>
      <c r="L249" s="6">
        <v>9012.7200000000012</v>
      </c>
      <c r="M249" s="6">
        <v>5200.4000000000005</v>
      </c>
      <c r="N249" s="7">
        <v>2842.6200000000003</v>
      </c>
      <c r="O249" s="6">
        <v>-268994.15999999997</v>
      </c>
      <c r="P249" s="6">
        <v>-41161.68</v>
      </c>
      <c r="Q249" s="6">
        <v>-12008.66</v>
      </c>
      <c r="R249" s="6">
        <v>-1837.5700000000002</v>
      </c>
      <c r="S249" s="7">
        <v>-2769.25</v>
      </c>
      <c r="T249" s="11">
        <v>493.09</v>
      </c>
      <c r="U249" s="6">
        <v>440.26000000000568</v>
      </c>
      <c r="V249" s="6">
        <v>0</v>
      </c>
      <c r="W249" s="6">
        <v>41.090000000000146</v>
      </c>
      <c r="X249" s="46">
        <v>45815</v>
      </c>
      <c r="Y249" s="1">
        <v>25112167</v>
      </c>
      <c r="Z249" s="1">
        <v>25112168</v>
      </c>
      <c r="AI249" s="2">
        <v>715285</v>
      </c>
      <c r="AJ249" s="2">
        <v>430785</v>
      </c>
      <c r="AK249" s="2">
        <v>31932.36</v>
      </c>
      <c r="AL249" s="2">
        <v>19231.47</v>
      </c>
      <c r="AM249" s="5">
        <v>10232.76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68764.179999999993</v>
      </c>
      <c r="AT249" s="12">
        <v>61396.590000000004</v>
      </c>
      <c r="AU249" s="2">
        <v>0</v>
      </c>
      <c r="AV249" s="5">
        <v>5730.34</v>
      </c>
      <c r="AX249" s="2">
        <v>513400</v>
      </c>
      <c r="AY249" s="2">
        <v>314296</v>
      </c>
      <c r="AZ249" s="2">
        <v>22919.64</v>
      </c>
      <c r="BA249" s="2">
        <v>14031.07</v>
      </c>
      <c r="BB249" s="5">
        <v>7390.1399999999994</v>
      </c>
      <c r="BC249" s="12">
        <v>268994.15999999997</v>
      </c>
      <c r="BD249" s="2">
        <v>41161.68</v>
      </c>
      <c r="BE249" s="2">
        <v>12008.66</v>
      </c>
      <c r="BF249" s="2">
        <v>1837.5700000000002</v>
      </c>
      <c r="BG249" s="5">
        <v>2769.25</v>
      </c>
      <c r="BH249" s="2">
        <v>68271.09</v>
      </c>
      <c r="BI249" s="12">
        <v>60956.33</v>
      </c>
      <c r="BJ249" s="2">
        <v>0</v>
      </c>
      <c r="BK249" s="5">
        <v>5689.25</v>
      </c>
      <c r="BL249" s="1" t="s">
        <v>90</v>
      </c>
    </row>
    <row r="250" spans="1:64" x14ac:dyDescent="0.3">
      <c r="A250" t="s">
        <v>539</v>
      </c>
      <c r="B250" s="1" t="s">
        <v>539</v>
      </c>
      <c r="C250" s="9" t="s">
        <v>540</v>
      </c>
      <c r="D250" s="1" t="s">
        <v>95</v>
      </c>
      <c r="E250" s="1" t="s">
        <v>128</v>
      </c>
      <c r="F250" s="10" t="s">
        <v>309</v>
      </c>
      <c r="G250" s="1">
        <v>3.5000000000000003E-2</v>
      </c>
      <c r="H250" s="1">
        <v>0.05</v>
      </c>
      <c r="I250" s="8">
        <v>45627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1359457.2</v>
      </c>
      <c r="AJ250" s="2">
        <v>40281</v>
      </c>
      <c r="AK250" s="2">
        <v>60690.05</v>
      </c>
      <c r="AL250" s="2">
        <v>1798.26</v>
      </c>
      <c r="AM250" s="5">
        <v>12497.66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83984.29</v>
      </c>
      <c r="AT250" s="12">
        <v>74985.97</v>
      </c>
      <c r="AU250" s="2">
        <v>0</v>
      </c>
      <c r="AV250" s="5">
        <v>6998.69</v>
      </c>
      <c r="AX250" s="2">
        <v>1359457.2</v>
      </c>
      <c r="AY250" s="2">
        <v>40281</v>
      </c>
      <c r="AZ250" s="2">
        <v>60690.05</v>
      </c>
      <c r="BA250" s="2">
        <v>1798.26</v>
      </c>
      <c r="BB250" s="5">
        <v>12497.66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83984.29</v>
      </c>
      <c r="BI250" s="12">
        <v>74985.97</v>
      </c>
      <c r="BJ250" s="2">
        <v>0</v>
      </c>
      <c r="BK250" s="5">
        <v>6998.69</v>
      </c>
      <c r="BL250" s="1" t="s">
        <v>130</v>
      </c>
    </row>
    <row r="251" spans="1:64" x14ac:dyDescent="0.3">
      <c r="A251" t="s">
        <v>543</v>
      </c>
      <c r="B251" s="1" t="s">
        <v>543</v>
      </c>
      <c r="C251" s="9" t="s">
        <v>544</v>
      </c>
      <c r="D251" s="1" t="s">
        <v>95</v>
      </c>
      <c r="E251" s="1" t="s">
        <v>88</v>
      </c>
      <c r="F251" s="10" t="s">
        <v>545</v>
      </c>
      <c r="G251" s="1">
        <v>3.5000000000000003E-2</v>
      </c>
      <c r="H251" s="1">
        <v>0.05</v>
      </c>
      <c r="I251" s="8">
        <v>45636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1476219</v>
      </c>
      <c r="AJ251" s="2">
        <v>780347</v>
      </c>
      <c r="AK251" s="2">
        <v>65902.62999999999</v>
      </c>
      <c r="AL251" s="2">
        <v>34836.92</v>
      </c>
      <c r="AM251" s="5">
        <v>20147.91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135393.96</v>
      </c>
      <c r="AT251" s="12">
        <v>120887.46</v>
      </c>
      <c r="AU251" s="2">
        <v>0</v>
      </c>
      <c r="AV251" s="5">
        <v>11282.83</v>
      </c>
      <c r="AX251" s="2">
        <v>1476219</v>
      </c>
      <c r="AY251" s="2">
        <v>780347</v>
      </c>
      <c r="AZ251" s="2">
        <v>65902.62999999999</v>
      </c>
      <c r="BA251" s="2">
        <v>34836.92</v>
      </c>
      <c r="BB251" s="5">
        <v>20147.91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135393.96</v>
      </c>
      <c r="BI251" s="12">
        <v>120887.46</v>
      </c>
      <c r="BJ251" s="2">
        <v>0</v>
      </c>
      <c r="BK251" s="5">
        <v>11282.83</v>
      </c>
      <c r="BL251" s="1" t="s">
        <v>546</v>
      </c>
    </row>
    <row r="252" spans="1:64" x14ac:dyDescent="0.3">
      <c r="A252" t="s">
        <v>551</v>
      </c>
      <c r="B252" s="1" t="s">
        <v>551</v>
      </c>
      <c r="C252" s="9" t="s">
        <v>552</v>
      </c>
      <c r="D252" s="1" t="s">
        <v>95</v>
      </c>
      <c r="E252" s="1" t="s">
        <v>135</v>
      </c>
      <c r="F252" s="10" t="s">
        <v>193</v>
      </c>
      <c r="G252" s="1">
        <v>3.5000000000000003E-2</v>
      </c>
      <c r="H252" s="1">
        <v>0.05</v>
      </c>
      <c r="I252" s="8">
        <v>45694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1026593</v>
      </c>
      <c r="AJ252" s="2">
        <v>473419</v>
      </c>
      <c r="AK252" s="2">
        <v>45830.049999999996</v>
      </c>
      <c r="AL252" s="2">
        <v>21134.780000000002</v>
      </c>
      <c r="AM252" s="5">
        <v>13392.96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90000.72</v>
      </c>
      <c r="AT252" s="12">
        <v>80357.789999999994</v>
      </c>
      <c r="AU252" s="2">
        <v>0</v>
      </c>
      <c r="AV252" s="5">
        <v>7500.0599999999995</v>
      </c>
      <c r="AX252" s="2">
        <v>1026593</v>
      </c>
      <c r="AY252" s="2">
        <v>473419</v>
      </c>
      <c r="AZ252" s="2">
        <v>45830.049999999996</v>
      </c>
      <c r="BA252" s="2">
        <v>21134.780000000002</v>
      </c>
      <c r="BB252" s="5">
        <v>13392.96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90000.72</v>
      </c>
      <c r="BI252" s="12">
        <v>80357.789999999994</v>
      </c>
      <c r="BJ252" s="2">
        <v>0</v>
      </c>
      <c r="BK252" s="5">
        <v>7500.0599999999995</v>
      </c>
      <c r="BL252" s="1" t="s">
        <v>137</v>
      </c>
    </row>
    <row r="253" spans="1:64" x14ac:dyDescent="0.3">
      <c r="A253" t="s">
        <v>555</v>
      </c>
      <c r="B253" s="1" t="s">
        <v>555</v>
      </c>
      <c r="C253" s="9" t="s">
        <v>556</v>
      </c>
      <c r="D253" s="1" t="s">
        <v>95</v>
      </c>
      <c r="E253" s="1" t="s">
        <v>88</v>
      </c>
      <c r="F253" s="10" t="s">
        <v>218</v>
      </c>
      <c r="G253" s="1">
        <v>3.5000000000000003E-2</v>
      </c>
      <c r="H253" s="1">
        <v>0.05</v>
      </c>
      <c r="I253" s="8">
        <v>45752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434860</v>
      </c>
      <c r="AJ253" s="2">
        <v>137639</v>
      </c>
      <c r="AK253" s="2">
        <v>18636.86</v>
      </c>
      <c r="AL253" s="2">
        <v>5898.82</v>
      </c>
      <c r="AM253" s="5">
        <v>5111.6000000000004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33204.949999999997</v>
      </c>
      <c r="AT253" s="12">
        <v>29647.279999999999</v>
      </c>
      <c r="AU253" s="2">
        <v>0</v>
      </c>
      <c r="AV253" s="5">
        <v>2862.5</v>
      </c>
      <c r="AX253" s="2">
        <v>434860</v>
      </c>
      <c r="AY253" s="2">
        <v>137639</v>
      </c>
      <c r="AZ253" s="2">
        <v>18636.86</v>
      </c>
      <c r="BA253" s="2">
        <v>5898.82</v>
      </c>
      <c r="BB253" s="5">
        <v>5111.6000000000004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33204.949999999997</v>
      </c>
      <c r="BI253" s="12">
        <v>29647.279999999999</v>
      </c>
      <c r="BJ253" s="2">
        <v>0</v>
      </c>
      <c r="BK253" s="5">
        <v>2862.5</v>
      </c>
      <c r="BL253" s="1" t="s">
        <v>90</v>
      </c>
    </row>
    <row r="254" spans="1:64" x14ac:dyDescent="0.3">
      <c r="A254" t="s">
        <v>557</v>
      </c>
      <c r="B254" s="1" t="s">
        <v>557</v>
      </c>
      <c r="C254" s="9" t="s">
        <v>558</v>
      </c>
      <c r="D254" s="1" t="s">
        <v>95</v>
      </c>
      <c r="E254" s="1" t="s">
        <v>135</v>
      </c>
      <c r="F254" s="10" t="s">
        <v>485</v>
      </c>
      <c r="G254" s="1">
        <v>3.5000000000000003E-2</v>
      </c>
      <c r="H254" s="1">
        <v>0.05</v>
      </c>
      <c r="I254" s="8">
        <v>43929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121358</v>
      </c>
      <c r="AJ254" s="2">
        <v>16791</v>
      </c>
      <c r="AK254" s="2">
        <v>5417.77</v>
      </c>
      <c r="AL254" s="2">
        <v>749.6</v>
      </c>
      <c r="AM254" s="5">
        <v>1233.47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8288.94</v>
      </c>
      <c r="AT254" s="12">
        <v>7400.8400000000011</v>
      </c>
      <c r="AU254" s="2">
        <v>0</v>
      </c>
      <c r="AV254" s="5">
        <v>690.74</v>
      </c>
      <c r="AX254" s="2">
        <v>121358</v>
      </c>
      <c r="AY254" s="2">
        <v>16791</v>
      </c>
      <c r="AZ254" s="2">
        <v>5417.77</v>
      </c>
      <c r="BA254" s="2">
        <v>749.6</v>
      </c>
      <c r="BB254" s="5">
        <v>1233.47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8288.94</v>
      </c>
      <c r="BI254" s="12">
        <v>7400.8400000000011</v>
      </c>
      <c r="BJ254" s="2">
        <v>0</v>
      </c>
      <c r="BK254" s="5">
        <v>690.74</v>
      </c>
      <c r="BL254" s="1" t="s">
        <v>302</v>
      </c>
    </row>
    <row r="255" spans="1:64" x14ac:dyDescent="0.3">
      <c r="A255" t="s">
        <v>571</v>
      </c>
      <c r="B255" s="1" t="s">
        <v>571</v>
      </c>
      <c r="C255" s="9" t="s">
        <v>572</v>
      </c>
      <c r="D255" s="1" t="s">
        <v>95</v>
      </c>
      <c r="E255" s="1" t="s">
        <v>128</v>
      </c>
      <c r="F255" s="10" t="s">
        <v>401</v>
      </c>
      <c r="G255" s="1">
        <v>3.5000000000000003E-2</v>
      </c>
      <c r="H255" s="1">
        <v>0.05</v>
      </c>
      <c r="I255" s="8">
        <v>44256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636313</v>
      </c>
      <c r="AJ255" s="2">
        <v>26782</v>
      </c>
      <c r="AK255" s="2">
        <v>28406.83</v>
      </c>
      <c r="AL255" s="2">
        <v>1195.6300000000001</v>
      </c>
      <c r="AM255" s="5">
        <v>5920.49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39785.699999999997</v>
      </c>
      <c r="AT255" s="12">
        <v>35522.949999999997</v>
      </c>
      <c r="AU255" s="2">
        <v>0</v>
      </c>
      <c r="AV255" s="5">
        <v>3315.48</v>
      </c>
      <c r="AX255" s="2">
        <v>636313</v>
      </c>
      <c r="AY255" s="2">
        <v>26782</v>
      </c>
      <c r="AZ255" s="2">
        <v>28406.83</v>
      </c>
      <c r="BA255" s="2">
        <v>1195.6300000000001</v>
      </c>
      <c r="BB255" s="5">
        <v>5920.49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39785.699999999997</v>
      </c>
      <c r="BI255" s="12">
        <v>35522.949999999997</v>
      </c>
      <c r="BJ255" s="2">
        <v>0</v>
      </c>
      <c r="BK255" s="5">
        <v>3315.48</v>
      </c>
      <c r="BL255" s="1" t="s">
        <v>130</v>
      </c>
    </row>
    <row r="256" spans="1:64" x14ac:dyDescent="0.3">
      <c r="A256" t="s">
        <v>575</v>
      </c>
      <c r="B256" s="1" t="s">
        <v>575</v>
      </c>
      <c r="C256" s="9" t="s">
        <v>576</v>
      </c>
      <c r="D256" s="1" t="s">
        <v>95</v>
      </c>
      <c r="E256" s="1" t="s">
        <v>135</v>
      </c>
      <c r="F256" s="10" t="s">
        <v>435</v>
      </c>
      <c r="G256" s="1">
        <v>3.5000000000000003E-2</v>
      </c>
      <c r="H256" s="1">
        <v>0.05</v>
      </c>
      <c r="I256" s="8">
        <v>44273</v>
      </c>
      <c r="J256" s="6">
        <v>574451</v>
      </c>
      <c r="K256" s="6">
        <v>191575</v>
      </c>
      <c r="L256" s="6">
        <v>25645.13</v>
      </c>
      <c r="M256" s="6">
        <v>8552.4599999999991</v>
      </c>
      <c r="N256" s="7">
        <v>6839.52</v>
      </c>
      <c r="O256" s="6">
        <v>-752597.70000000007</v>
      </c>
      <c r="P256" s="6">
        <v>-136569</v>
      </c>
      <c r="Q256" s="6">
        <v>-33598.11</v>
      </c>
      <c r="R256" s="6">
        <v>-6096.83</v>
      </c>
      <c r="S256" s="7">
        <v>-7938.99</v>
      </c>
      <c r="T256" s="11">
        <v>-7388.44</v>
      </c>
      <c r="U256" s="6">
        <v>-6596.82</v>
      </c>
      <c r="V256" s="6">
        <v>0</v>
      </c>
      <c r="W256" s="6">
        <v>-615.69999999999982</v>
      </c>
      <c r="X256" s="46">
        <v>45815</v>
      </c>
      <c r="Y256" s="1">
        <v>25016226</v>
      </c>
      <c r="Z256" s="1">
        <v>25016227</v>
      </c>
      <c r="AI256" s="2">
        <v>574451</v>
      </c>
      <c r="AJ256" s="2">
        <v>191575</v>
      </c>
      <c r="AK256" s="2">
        <v>25645.13</v>
      </c>
      <c r="AL256" s="2">
        <v>8552.4599999999991</v>
      </c>
      <c r="AM256" s="5">
        <v>6839.52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45961.56</v>
      </c>
      <c r="AT256" s="12">
        <v>41037.11</v>
      </c>
      <c r="AU256" s="2">
        <v>0</v>
      </c>
      <c r="AV256" s="5">
        <v>3830.13</v>
      </c>
      <c r="AX256" s="2">
        <v>0</v>
      </c>
      <c r="AY256" s="2">
        <v>0</v>
      </c>
      <c r="AZ256" s="2">
        <v>0</v>
      </c>
      <c r="BA256" s="2">
        <v>0</v>
      </c>
      <c r="BB256" s="5">
        <v>0</v>
      </c>
      <c r="BC256" s="12">
        <v>752597.70000000007</v>
      </c>
      <c r="BD256" s="2">
        <v>136569</v>
      </c>
      <c r="BE256" s="2">
        <v>33598.11</v>
      </c>
      <c r="BF256" s="2">
        <v>6096.83</v>
      </c>
      <c r="BG256" s="5">
        <v>7938.99</v>
      </c>
      <c r="BH256" s="2">
        <v>53350</v>
      </c>
      <c r="BI256" s="12">
        <v>47633.93</v>
      </c>
      <c r="BJ256" s="2">
        <v>0</v>
      </c>
      <c r="BK256" s="5">
        <v>4445.83</v>
      </c>
      <c r="BL256" s="1" t="s">
        <v>436</v>
      </c>
    </row>
    <row r="257" spans="1:64" x14ac:dyDescent="0.3">
      <c r="A257" t="s">
        <v>584</v>
      </c>
      <c r="B257" s="1" t="s">
        <v>584</v>
      </c>
      <c r="C257" s="9" t="s">
        <v>585</v>
      </c>
      <c r="D257" s="1" t="s">
        <v>95</v>
      </c>
      <c r="E257" s="1" t="s">
        <v>135</v>
      </c>
      <c r="F257" s="10" t="s">
        <v>435</v>
      </c>
      <c r="G257" s="1">
        <v>3.5000000000000003E-2</v>
      </c>
      <c r="H257" s="1">
        <v>0.05</v>
      </c>
      <c r="I257" s="8">
        <v>44420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545308</v>
      </c>
      <c r="AJ257" s="2">
        <v>84135</v>
      </c>
      <c r="AK257" s="2">
        <v>24344.11</v>
      </c>
      <c r="AL257" s="2">
        <v>3756.03</v>
      </c>
      <c r="AM257" s="5">
        <v>5620.03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37766.589999999997</v>
      </c>
      <c r="AT257" s="12">
        <v>33720.17</v>
      </c>
      <c r="AU257" s="2">
        <v>0</v>
      </c>
      <c r="AV257" s="5">
        <v>3147.22</v>
      </c>
      <c r="AX257" s="2">
        <v>545308</v>
      </c>
      <c r="AY257" s="2">
        <v>84135</v>
      </c>
      <c r="AZ257" s="2">
        <v>24344.11</v>
      </c>
      <c r="BA257" s="2">
        <v>3756.03</v>
      </c>
      <c r="BB257" s="5">
        <v>5620.03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37766.589999999997</v>
      </c>
      <c r="BI257" s="12">
        <v>33720.17</v>
      </c>
      <c r="BJ257" s="2">
        <v>0</v>
      </c>
      <c r="BK257" s="5">
        <v>3147.22</v>
      </c>
      <c r="BL257" s="1" t="s">
        <v>137</v>
      </c>
    </row>
    <row r="258" spans="1:64" x14ac:dyDescent="0.3">
      <c r="A258" t="s">
        <v>588</v>
      </c>
      <c r="B258" s="1" t="s">
        <v>588</v>
      </c>
      <c r="C258" s="9" t="s">
        <v>589</v>
      </c>
      <c r="D258" s="1" t="s">
        <v>95</v>
      </c>
      <c r="E258" s="1" t="s">
        <v>135</v>
      </c>
      <c r="F258" s="10" t="s">
        <v>435</v>
      </c>
      <c r="G258" s="1">
        <v>3.5000000000000003E-2</v>
      </c>
      <c r="H258" s="1">
        <v>0.05</v>
      </c>
      <c r="I258" s="8">
        <v>44544</v>
      </c>
      <c r="J258" s="6">
        <v>777822</v>
      </c>
      <c r="K258" s="6">
        <v>211126</v>
      </c>
      <c r="L258" s="6">
        <v>34724.199999999997</v>
      </c>
      <c r="M258" s="6">
        <v>9425.27</v>
      </c>
      <c r="N258" s="7">
        <v>8829.89</v>
      </c>
      <c r="O258" s="6">
        <v>-501939.60000000003</v>
      </c>
      <c r="P258" s="6">
        <v>-91082.400000000009</v>
      </c>
      <c r="Q258" s="6">
        <v>-22408.02</v>
      </c>
      <c r="R258" s="6">
        <v>-4066.18</v>
      </c>
      <c r="S258" s="7">
        <v>-5294.84</v>
      </c>
      <c r="T258" s="11">
        <v>23755.56</v>
      </c>
      <c r="U258" s="6">
        <v>21210.32</v>
      </c>
      <c r="V258" s="6">
        <v>0</v>
      </c>
      <c r="W258" s="6">
        <v>1979.6299999999997</v>
      </c>
      <c r="X258" s="46">
        <v>45815</v>
      </c>
      <c r="Y258" s="1">
        <v>25112169</v>
      </c>
      <c r="Z258" s="1">
        <v>25112170</v>
      </c>
      <c r="AI258" s="2">
        <v>777822</v>
      </c>
      <c r="AJ258" s="2">
        <v>211126</v>
      </c>
      <c r="AK258" s="2">
        <v>34724.199999999997</v>
      </c>
      <c r="AL258" s="2">
        <v>9425.27</v>
      </c>
      <c r="AM258" s="5">
        <v>8829.89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59336.88</v>
      </c>
      <c r="AT258" s="12">
        <v>52979.360000000001</v>
      </c>
      <c r="AU258" s="2">
        <v>0</v>
      </c>
      <c r="AV258" s="5">
        <v>4944.74</v>
      </c>
      <c r="AX258" s="2">
        <v>0</v>
      </c>
      <c r="AY258" s="2">
        <v>0</v>
      </c>
      <c r="AZ258" s="2">
        <v>0</v>
      </c>
      <c r="BA258" s="2">
        <v>0</v>
      </c>
      <c r="BB258" s="5">
        <v>0</v>
      </c>
      <c r="BC258" s="12">
        <v>501939.60000000003</v>
      </c>
      <c r="BD258" s="2">
        <v>91082.400000000009</v>
      </c>
      <c r="BE258" s="2">
        <v>22408.02</v>
      </c>
      <c r="BF258" s="2">
        <v>4066.18</v>
      </c>
      <c r="BG258" s="5">
        <v>5294.84</v>
      </c>
      <c r="BH258" s="2">
        <v>35581.32</v>
      </c>
      <c r="BI258" s="12">
        <v>31769.040000000001</v>
      </c>
      <c r="BJ258" s="2">
        <v>0</v>
      </c>
      <c r="BK258" s="5">
        <v>2965.11</v>
      </c>
      <c r="BL258" s="1" t="s">
        <v>137</v>
      </c>
    </row>
    <row r="259" spans="1:64" x14ac:dyDescent="0.3">
      <c r="A259" t="s">
        <v>592</v>
      </c>
      <c r="B259" s="1" t="s">
        <v>592</v>
      </c>
      <c r="C259" s="9" t="s">
        <v>593</v>
      </c>
      <c r="D259" s="1" t="s">
        <v>95</v>
      </c>
      <c r="E259" s="1" t="s">
        <v>88</v>
      </c>
      <c r="F259" s="10" t="s">
        <v>545</v>
      </c>
      <c r="G259" s="1">
        <v>3.5000000000000003E-2</v>
      </c>
      <c r="H259" s="1">
        <v>0.05</v>
      </c>
      <c r="I259" s="8">
        <v>44518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190936</v>
      </c>
      <c r="AJ259" s="2">
        <v>19727</v>
      </c>
      <c r="AK259" s="2">
        <v>8523.93</v>
      </c>
      <c r="AL259" s="2">
        <v>880.67</v>
      </c>
      <c r="AM259" s="5">
        <v>1880.92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12639.78</v>
      </c>
      <c r="AT259" s="12">
        <v>11285.52</v>
      </c>
      <c r="AU259" s="2">
        <v>0</v>
      </c>
      <c r="AV259" s="5">
        <v>1053.32</v>
      </c>
      <c r="AX259" s="2">
        <v>190936</v>
      </c>
      <c r="AY259" s="2">
        <v>19727</v>
      </c>
      <c r="AZ259" s="2">
        <v>8523.93</v>
      </c>
      <c r="BA259" s="2">
        <v>880.67</v>
      </c>
      <c r="BB259" s="5">
        <v>1880.92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12639.78</v>
      </c>
      <c r="BI259" s="12">
        <v>11285.52</v>
      </c>
      <c r="BJ259" s="2">
        <v>0</v>
      </c>
      <c r="BK259" s="5">
        <v>1053.32</v>
      </c>
      <c r="BL259" s="1" t="s">
        <v>546</v>
      </c>
    </row>
    <row r="260" spans="1:64" x14ac:dyDescent="0.3">
      <c r="A260" t="s">
        <v>602</v>
      </c>
      <c r="B260" s="1" t="s">
        <v>603</v>
      </c>
      <c r="C260" s="9" t="s">
        <v>604</v>
      </c>
      <c r="D260" s="1" t="s">
        <v>95</v>
      </c>
      <c r="E260" s="1" t="s">
        <v>135</v>
      </c>
      <c r="F260" s="10" t="s">
        <v>435</v>
      </c>
      <c r="G260" s="1">
        <v>4.4999999999999998E-2</v>
      </c>
      <c r="H260" s="1">
        <v>0.05</v>
      </c>
      <c r="I260" s="8">
        <v>45186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642937</v>
      </c>
      <c r="AJ260" s="2">
        <v>229805.5</v>
      </c>
      <c r="AK260" s="2">
        <v>28702.539999999997</v>
      </c>
      <c r="AL260" s="2">
        <v>10259.18</v>
      </c>
      <c r="AM260" s="5">
        <v>7792.33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52364.54</v>
      </c>
      <c r="AT260" s="12">
        <v>46754.049999999996</v>
      </c>
      <c r="AU260" s="2">
        <v>0</v>
      </c>
      <c r="AV260" s="5">
        <v>4363.71</v>
      </c>
      <c r="AX260" s="2">
        <v>642937</v>
      </c>
      <c r="AY260" s="2">
        <v>229805.5</v>
      </c>
      <c r="AZ260" s="2">
        <v>28702.539999999997</v>
      </c>
      <c r="BA260" s="2">
        <v>10259.18</v>
      </c>
      <c r="BB260" s="5">
        <v>7792.33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52364.54</v>
      </c>
      <c r="BI260" s="12">
        <v>46754.049999999996</v>
      </c>
      <c r="BJ260" s="2">
        <v>0</v>
      </c>
      <c r="BK260" s="5">
        <v>4363.71</v>
      </c>
      <c r="BL260" s="1" t="s">
        <v>436</v>
      </c>
    </row>
    <row r="261" spans="1:64" x14ac:dyDescent="0.3">
      <c r="A261" t="s">
        <v>608</v>
      </c>
      <c r="B261" s="1" t="s">
        <v>608</v>
      </c>
      <c r="C261" s="9" t="s">
        <v>609</v>
      </c>
      <c r="D261" s="1" t="s">
        <v>95</v>
      </c>
      <c r="E261" s="1" t="s">
        <v>135</v>
      </c>
      <c r="F261" s="10" t="s">
        <v>435</v>
      </c>
      <c r="G261" s="1">
        <v>3.5000000000000003E-2</v>
      </c>
      <c r="H261" s="1">
        <v>0.05</v>
      </c>
      <c r="I261" s="8">
        <v>44898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1015999</v>
      </c>
      <c r="AJ261" s="2">
        <v>183290</v>
      </c>
      <c r="AK261" s="2">
        <v>45357.1</v>
      </c>
      <c r="AL261" s="2">
        <v>8182.59</v>
      </c>
      <c r="AM261" s="5">
        <v>10707.94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71957.350000000006</v>
      </c>
      <c r="AT261" s="12">
        <v>64247.63</v>
      </c>
      <c r="AU261" s="2">
        <v>0</v>
      </c>
      <c r="AV261" s="5">
        <v>5996.4500000000007</v>
      </c>
      <c r="AX261" s="2">
        <v>1015999</v>
      </c>
      <c r="AY261" s="2">
        <v>183290</v>
      </c>
      <c r="AZ261" s="2">
        <v>45357.1</v>
      </c>
      <c r="BA261" s="2">
        <v>8182.59</v>
      </c>
      <c r="BB261" s="5">
        <v>10707.94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71957.350000000006</v>
      </c>
      <c r="BI261" s="12">
        <v>64247.63</v>
      </c>
      <c r="BJ261" s="2">
        <v>0</v>
      </c>
      <c r="BK261" s="5">
        <v>5996.4500000000007</v>
      </c>
      <c r="BL261" s="1" t="s">
        <v>137</v>
      </c>
    </row>
    <row r="262" spans="1:64" x14ac:dyDescent="0.3">
      <c r="A262" t="s">
        <v>612</v>
      </c>
      <c r="B262" s="1" t="s">
        <v>612</v>
      </c>
      <c r="C262" s="9" t="s">
        <v>613</v>
      </c>
      <c r="D262" s="1" t="s">
        <v>95</v>
      </c>
      <c r="E262" s="1" t="s">
        <v>128</v>
      </c>
      <c r="F262" s="10" t="s">
        <v>129</v>
      </c>
      <c r="G262" s="1">
        <v>4.4999999999999998E-2</v>
      </c>
      <c r="H262" s="1">
        <v>0.05</v>
      </c>
      <c r="I262" s="8">
        <v>44964</v>
      </c>
      <c r="J262" s="6">
        <v>1308373</v>
      </c>
      <c r="K262" s="6">
        <v>61040</v>
      </c>
      <c r="L262" s="6">
        <v>58409.51</v>
      </c>
      <c r="M262" s="6">
        <v>2724.9900000000002</v>
      </c>
      <c r="N262" s="7">
        <v>12226.900000000001</v>
      </c>
      <c r="O262" s="6">
        <v>-1476226.2</v>
      </c>
      <c r="P262" s="6">
        <v>-87997.2</v>
      </c>
      <c r="Q262" s="6">
        <v>-65902.95</v>
      </c>
      <c r="R262" s="6">
        <v>-3928.4500000000003</v>
      </c>
      <c r="S262" s="7">
        <v>-10406.67</v>
      </c>
      <c r="T262" s="11">
        <v>-7701.87</v>
      </c>
      <c r="U262" s="6">
        <v>-6876.6699999999983</v>
      </c>
      <c r="V262" s="6">
        <v>0</v>
      </c>
      <c r="W262" s="6">
        <v>-974.06</v>
      </c>
      <c r="X262" s="46">
        <v>45815</v>
      </c>
      <c r="Y262" s="1">
        <v>25016228</v>
      </c>
      <c r="Z262" s="1">
        <v>25016229</v>
      </c>
      <c r="AI262" s="2">
        <v>1308373</v>
      </c>
      <c r="AJ262" s="2">
        <v>61040</v>
      </c>
      <c r="AK262" s="2">
        <v>58409.51</v>
      </c>
      <c r="AL262" s="2">
        <v>2724.9900000000002</v>
      </c>
      <c r="AM262" s="5">
        <v>12226.900000000001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82164.77</v>
      </c>
      <c r="AT262" s="12">
        <v>73361.399999999994</v>
      </c>
      <c r="AU262" s="2">
        <v>0</v>
      </c>
      <c r="AV262" s="5">
        <v>6847.0599999999995</v>
      </c>
      <c r="AX262" s="2">
        <v>0</v>
      </c>
      <c r="AY262" s="2">
        <v>0</v>
      </c>
      <c r="AZ262" s="2">
        <v>0</v>
      </c>
      <c r="BA262" s="2">
        <v>0</v>
      </c>
      <c r="BB262" s="5">
        <v>0</v>
      </c>
      <c r="BC262" s="12">
        <v>1476226.2</v>
      </c>
      <c r="BD262" s="2">
        <v>87997.2</v>
      </c>
      <c r="BE262" s="2">
        <v>65902.95</v>
      </c>
      <c r="BF262" s="2">
        <v>3928.4500000000003</v>
      </c>
      <c r="BG262" s="5">
        <v>10406.67</v>
      </c>
      <c r="BH262" s="2">
        <v>89866.64</v>
      </c>
      <c r="BI262" s="12">
        <v>80238.070000000007</v>
      </c>
      <c r="BJ262" s="2">
        <v>0</v>
      </c>
      <c r="BK262" s="5">
        <v>7821.12</v>
      </c>
      <c r="BL262" s="1" t="s">
        <v>130</v>
      </c>
    </row>
    <row r="263" spans="1:64" x14ac:dyDescent="0.3">
      <c r="A263" t="s">
        <v>635</v>
      </c>
      <c r="B263" s="1" t="s">
        <v>635</v>
      </c>
      <c r="C263" s="9" t="s">
        <v>636</v>
      </c>
      <c r="D263" s="1" t="s">
        <v>95</v>
      </c>
      <c r="E263" s="1" t="s">
        <v>135</v>
      </c>
      <c r="F263" s="10" t="s">
        <v>485</v>
      </c>
      <c r="G263" s="1">
        <v>4.4999999999999998E-2</v>
      </c>
      <c r="H263" s="1">
        <v>0.05</v>
      </c>
      <c r="I263" s="8">
        <v>45124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663191</v>
      </c>
      <c r="AJ263" s="2">
        <v>93226</v>
      </c>
      <c r="AK263" s="2">
        <v>29606.74</v>
      </c>
      <c r="AL263" s="2">
        <v>4161.88</v>
      </c>
      <c r="AM263" s="5">
        <v>6753.72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45385.02</v>
      </c>
      <c r="AT263" s="12">
        <v>40522.340000000004</v>
      </c>
      <c r="AU263" s="2">
        <v>0</v>
      </c>
      <c r="AV263" s="5">
        <v>3782.08</v>
      </c>
      <c r="AX263" s="2">
        <v>663191</v>
      </c>
      <c r="AY263" s="2">
        <v>93226</v>
      </c>
      <c r="AZ263" s="2">
        <v>29606.74</v>
      </c>
      <c r="BA263" s="2">
        <v>4161.88</v>
      </c>
      <c r="BB263" s="5">
        <v>6753.72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45385.02</v>
      </c>
      <c r="BI263" s="12">
        <v>40522.340000000004</v>
      </c>
      <c r="BJ263" s="2">
        <v>0</v>
      </c>
      <c r="BK263" s="5">
        <v>3782.08</v>
      </c>
      <c r="BL263" s="1" t="s">
        <v>302</v>
      </c>
    </row>
    <row r="264" spans="1:64" x14ac:dyDescent="0.3">
      <c r="A264" t="s">
        <v>650</v>
      </c>
      <c r="B264" s="1" t="s">
        <v>650</v>
      </c>
      <c r="C264" s="9" t="s">
        <v>651</v>
      </c>
      <c r="D264" s="1" t="s">
        <v>95</v>
      </c>
      <c r="E264" s="1" t="s">
        <v>88</v>
      </c>
      <c r="F264" s="10" t="s">
        <v>432</v>
      </c>
      <c r="G264" s="1">
        <v>4.4999999999999998E-2</v>
      </c>
      <c r="H264" s="1">
        <v>0.05</v>
      </c>
      <c r="I264" s="8">
        <v>45287</v>
      </c>
      <c r="J264" s="6">
        <v>192754</v>
      </c>
      <c r="K264" s="6">
        <v>174014</v>
      </c>
      <c r="L264" s="6">
        <v>8605.0899999999983</v>
      </c>
      <c r="M264" s="6">
        <v>7768.4800000000023</v>
      </c>
      <c r="N264" s="7">
        <v>3274.7100000000005</v>
      </c>
      <c r="O264" s="6">
        <v>-296888.76</v>
      </c>
      <c r="P264" s="6">
        <v>-56923.829999999994</v>
      </c>
      <c r="Q264" s="6">
        <v>-13253.97</v>
      </c>
      <c r="R264" s="6">
        <v>-2541.25</v>
      </c>
      <c r="S264" s="7">
        <v>-2775.45</v>
      </c>
      <c r="T264" s="11">
        <v>1206.92</v>
      </c>
      <c r="U264" s="6">
        <v>1077.6100000000033</v>
      </c>
      <c r="V264" s="6">
        <v>0</v>
      </c>
      <c r="W264" s="6">
        <v>64.77000000000038</v>
      </c>
      <c r="X264" s="46">
        <v>45815</v>
      </c>
      <c r="Y264" s="1">
        <v>25112171</v>
      </c>
      <c r="Z264" s="1">
        <v>25112172</v>
      </c>
      <c r="AI264" s="2">
        <v>669074</v>
      </c>
      <c r="AJ264" s="2">
        <v>592297</v>
      </c>
      <c r="AK264" s="2">
        <v>29869.369999999995</v>
      </c>
      <c r="AL264" s="2">
        <v>26441.83</v>
      </c>
      <c r="AM264" s="5">
        <v>11262.240000000002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75682.25</v>
      </c>
      <c r="AT264" s="12">
        <v>67573.440000000002</v>
      </c>
      <c r="AU264" s="2">
        <v>0</v>
      </c>
      <c r="AV264" s="5">
        <v>6306.85</v>
      </c>
      <c r="AX264" s="2">
        <v>476320</v>
      </c>
      <c r="AY264" s="2">
        <v>418283</v>
      </c>
      <c r="AZ264" s="2">
        <v>21264.280000000002</v>
      </c>
      <c r="BA264" s="2">
        <v>18673.349999999999</v>
      </c>
      <c r="BB264" s="5">
        <v>7987.53</v>
      </c>
      <c r="BC264" s="12">
        <v>296888.76</v>
      </c>
      <c r="BD264" s="2">
        <v>56923.829999999994</v>
      </c>
      <c r="BE264" s="2">
        <v>13253.97</v>
      </c>
      <c r="BF264" s="2">
        <v>2541.25</v>
      </c>
      <c r="BG264" s="5">
        <v>2775.45</v>
      </c>
      <c r="BH264" s="2">
        <v>74475.33</v>
      </c>
      <c r="BI264" s="12">
        <v>66495.83</v>
      </c>
      <c r="BJ264" s="2">
        <v>0</v>
      </c>
      <c r="BK264" s="5">
        <v>6242.08</v>
      </c>
      <c r="BL264" s="1" t="s">
        <v>90</v>
      </c>
    </row>
    <row r="265" spans="1:64" x14ac:dyDescent="0.3">
      <c r="A265" t="s">
        <v>674</v>
      </c>
      <c r="B265" s="1" t="s">
        <v>674</v>
      </c>
      <c r="C265" s="9" t="s">
        <v>675</v>
      </c>
      <c r="D265" s="1" t="s">
        <v>95</v>
      </c>
      <c r="E265" s="1" t="s">
        <v>88</v>
      </c>
      <c r="F265" s="10" t="s">
        <v>432</v>
      </c>
      <c r="G265" s="1">
        <v>3.5000000000000003E-2</v>
      </c>
      <c r="H265" s="1">
        <v>0.05</v>
      </c>
      <c r="I265" s="8">
        <v>45567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864689</v>
      </c>
      <c r="AJ265" s="2">
        <v>144916</v>
      </c>
      <c r="AK265" s="2">
        <v>38602.19</v>
      </c>
      <c r="AL265" s="2">
        <v>6469.46</v>
      </c>
      <c r="AM265" s="5">
        <v>9014.33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60576.3</v>
      </c>
      <c r="AT265" s="12">
        <v>54085.98</v>
      </c>
      <c r="AU265" s="2">
        <v>0</v>
      </c>
      <c r="AV265" s="5">
        <v>5048.03</v>
      </c>
      <c r="AX265" s="2">
        <v>864689</v>
      </c>
      <c r="AY265" s="2">
        <v>144916</v>
      </c>
      <c r="AZ265" s="2">
        <v>38602.19</v>
      </c>
      <c r="BA265" s="2">
        <v>6469.46</v>
      </c>
      <c r="BB265" s="5">
        <v>9014.33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60576.3</v>
      </c>
      <c r="BI265" s="12">
        <v>54085.98</v>
      </c>
      <c r="BJ265" s="2">
        <v>0</v>
      </c>
      <c r="BK265" s="5">
        <v>5048.03</v>
      </c>
      <c r="BL265" s="1" t="s">
        <v>90</v>
      </c>
    </row>
    <row r="266" spans="1:64" x14ac:dyDescent="0.3">
      <c r="A266" t="s">
        <v>678</v>
      </c>
      <c r="B266" s="1" t="s">
        <v>678</v>
      </c>
      <c r="C266" s="9" t="s">
        <v>679</v>
      </c>
      <c r="D266" s="1" t="s">
        <v>95</v>
      </c>
      <c r="E266" s="1" t="s">
        <v>128</v>
      </c>
      <c r="F266" s="10" t="s">
        <v>309</v>
      </c>
      <c r="G266" s="1">
        <v>3.5000000000000003E-2</v>
      </c>
      <c r="H266" s="1">
        <v>0.05</v>
      </c>
      <c r="I266" s="8">
        <v>45719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936645</v>
      </c>
      <c r="AJ266" s="2">
        <v>41756</v>
      </c>
      <c r="AK266" s="2">
        <v>41814.51</v>
      </c>
      <c r="AL266" s="2">
        <v>1864.1</v>
      </c>
      <c r="AM266" s="5">
        <v>8735.7199999999993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58704.05</v>
      </c>
      <c r="AT266" s="12">
        <v>52414.33</v>
      </c>
      <c r="AU266" s="2">
        <v>0</v>
      </c>
      <c r="AV266" s="5">
        <v>4892</v>
      </c>
      <c r="AX266" s="2">
        <v>936645</v>
      </c>
      <c r="AY266" s="2">
        <v>41756</v>
      </c>
      <c r="AZ266" s="2">
        <v>41814.51</v>
      </c>
      <c r="BA266" s="2">
        <v>1864.1</v>
      </c>
      <c r="BB266" s="5">
        <v>8735.7199999999993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58704.05</v>
      </c>
      <c r="BI266" s="12">
        <v>52414.33</v>
      </c>
      <c r="BJ266" s="2">
        <v>0</v>
      </c>
      <c r="BK266" s="5">
        <v>4892</v>
      </c>
      <c r="BL266" s="1" t="s">
        <v>130</v>
      </c>
    </row>
    <row r="267" spans="1:64" x14ac:dyDescent="0.3">
      <c r="A267" t="s">
        <v>686</v>
      </c>
      <c r="B267" s="1" t="s">
        <v>686</v>
      </c>
      <c r="C267" s="9" t="s">
        <v>687</v>
      </c>
      <c r="D267" s="1" t="s">
        <v>95</v>
      </c>
      <c r="E267" s="1" t="s">
        <v>135</v>
      </c>
      <c r="F267" s="10" t="s">
        <v>348</v>
      </c>
      <c r="G267" s="1">
        <v>3.5000000000000003E-2</v>
      </c>
      <c r="H267" s="1">
        <v>0.05</v>
      </c>
      <c r="I267" s="8">
        <v>44538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403509</v>
      </c>
      <c r="AJ267" s="2">
        <v>97034</v>
      </c>
      <c r="AK267" s="2">
        <v>18013.79</v>
      </c>
      <c r="AL267" s="2">
        <v>4331.87</v>
      </c>
      <c r="AM267" s="5">
        <v>4469.13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30032.560000000001</v>
      </c>
      <c r="AT267" s="12">
        <v>26814.79</v>
      </c>
      <c r="AU267" s="2">
        <v>0</v>
      </c>
      <c r="AV267" s="5">
        <v>2502.7199999999998</v>
      </c>
      <c r="AX267" s="2">
        <v>403509</v>
      </c>
      <c r="AY267" s="2">
        <v>97034</v>
      </c>
      <c r="AZ267" s="2">
        <v>18013.79</v>
      </c>
      <c r="BA267" s="2">
        <v>4331.87</v>
      </c>
      <c r="BB267" s="5">
        <v>4469.13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30032.560000000001</v>
      </c>
      <c r="BI267" s="12">
        <v>26814.79</v>
      </c>
      <c r="BJ267" s="2">
        <v>0</v>
      </c>
      <c r="BK267" s="5">
        <v>2502.7199999999998</v>
      </c>
      <c r="BL267" s="1" t="s">
        <v>137</v>
      </c>
    </row>
    <row r="268" spans="1:64" x14ac:dyDescent="0.3">
      <c r="A268" t="s">
        <v>688</v>
      </c>
      <c r="B268" s="1" t="s">
        <v>688</v>
      </c>
      <c r="C268" s="9" t="s">
        <v>689</v>
      </c>
      <c r="D268" s="1" t="s">
        <v>95</v>
      </c>
      <c r="E268" s="1" t="s">
        <v>128</v>
      </c>
      <c r="F268" s="10" t="s">
        <v>325</v>
      </c>
      <c r="G268" s="1">
        <v>3.5000000000000003E-2</v>
      </c>
      <c r="H268" s="1">
        <v>0.05</v>
      </c>
      <c r="I268" s="8">
        <v>45667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2132201</v>
      </c>
      <c r="AJ268" s="2">
        <v>97694</v>
      </c>
      <c r="AK268" s="2">
        <v>95187.54</v>
      </c>
      <c r="AL268" s="2">
        <v>4361.34</v>
      </c>
      <c r="AM268" s="5">
        <v>19909.78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133793.70000000001</v>
      </c>
      <c r="AT268" s="12">
        <v>119458.65999999999</v>
      </c>
      <c r="AU268" s="2">
        <v>0</v>
      </c>
      <c r="AV268" s="5">
        <v>11149.48</v>
      </c>
      <c r="AX268" s="2">
        <v>2132201</v>
      </c>
      <c r="AY268" s="2">
        <v>97694</v>
      </c>
      <c r="AZ268" s="2">
        <v>95187.54</v>
      </c>
      <c r="BA268" s="2">
        <v>4361.34</v>
      </c>
      <c r="BB268" s="5">
        <v>19909.78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133793.70000000001</v>
      </c>
      <c r="BI268" s="12">
        <v>119458.65999999999</v>
      </c>
      <c r="BJ268" s="2">
        <v>0</v>
      </c>
      <c r="BK268" s="5">
        <v>11149.48</v>
      </c>
      <c r="BL268" s="1" t="s">
        <v>326</v>
      </c>
    </row>
    <row r="269" spans="1:64" x14ac:dyDescent="0.3">
      <c r="A269" t="s">
        <v>704</v>
      </c>
      <c r="B269" s="1" t="s">
        <v>704</v>
      </c>
      <c r="C269" s="9" t="s">
        <v>705</v>
      </c>
      <c r="D269" s="1" t="s">
        <v>95</v>
      </c>
      <c r="E269" s="1" t="s">
        <v>135</v>
      </c>
      <c r="F269" s="10" t="s">
        <v>435</v>
      </c>
      <c r="G269" s="1">
        <v>3.5000000000000003E-2</v>
      </c>
      <c r="H269" s="1">
        <v>0.05</v>
      </c>
      <c r="I269" s="8">
        <v>44482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200311</v>
      </c>
      <c r="AJ269" s="2">
        <v>50790</v>
      </c>
      <c r="AK269" s="2">
        <v>8942.4599999999991</v>
      </c>
      <c r="AL269" s="2">
        <v>2267.41</v>
      </c>
      <c r="AM269" s="5">
        <v>2241.9699999999998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15066.06</v>
      </c>
      <c r="AT269" s="12">
        <v>13451.839999999998</v>
      </c>
      <c r="AU269" s="2">
        <v>0</v>
      </c>
      <c r="AV269" s="5">
        <v>1255.51</v>
      </c>
      <c r="AX269" s="2">
        <v>200311</v>
      </c>
      <c r="AY269" s="2">
        <v>50790</v>
      </c>
      <c r="AZ269" s="2">
        <v>8942.4599999999991</v>
      </c>
      <c r="BA269" s="2">
        <v>2267.41</v>
      </c>
      <c r="BB269" s="5">
        <v>2241.9699999999998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15066.06</v>
      </c>
      <c r="BI269" s="12">
        <v>13451.839999999998</v>
      </c>
      <c r="BJ269" s="2">
        <v>0</v>
      </c>
      <c r="BK269" s="5">
        <v>1255.51</v>
      </c>
      <c r="BL269" s="1" t="s">
        <v>137</v>
      </c>
    </row>
    <row r="270" spans="1:64" x14ac:dyDescent="0.3">
      <c r="A270" t="s">
        <v>706</v>
      </c>
      <c r="B270" s="1" t="s">
        <v>706</v>
      </c>
      <c r="C270" s="9" t="s">
        <v>707</v>
      </c>
      <c r="D270" s="1" t="s">
        <v>95</v>
      </c>
      <c r="E270" s="1" t="s">
        <v>88</v>
      </c>
      <c r="F270" s="10" t="s">
        <v>218</v>
      </c>
      <c r="G270" s="1">
        <v>3.5000000000000003E-2</v>
      </c>
      <c r="H270" s="1">
        <v>0.05</v>
      </c>
      <c r="I270" s="8">
        <v>44044</v>
      </c>
      <c r="J270" s="6">
        <v>305411</v>
      </c>
      <c r="K270" s="6">
        <v>90650</v>
      </c>
      <c r="L270" s="6">
        <v>13634.42</v>
      </c>
      <c r="M270" s="6">
        <v>4046.87</v>
      </c>
      <c r="N270" s="7">
        <v>3536.26</v>
      </c>
      <c r="O270" s="6">
        <v>-470470.8</v>
      </c>
      <c r="P270" s="6">
        <v>-109628.7</v>
      </c>
      <c r="Q270" s="6">
        <v>-21003.16</v>
      </c>
      <c r="R270" s="6">
        <v>-4894.1400000000003</v>
      </c>
      <c r="S270" s="7">
        <v>-5179.47</v>
      </c>
      <c r="T270" s="11">
        <v>-11042.33</v>
      </c>
      <c r="U270" s="6">
        <v>-9859.2200000000012</v>
      </c>
      <c r="V270" s="6">
        <v>0</v>
      </c>
      <c r="W270" s="6">
        <v>-920.18000000000006</v>
      </c>
      <c r="X270" s="46">
        <v>45815</v>
      </c>
      <c r="Y270" s="1">
        <v>25016230</v>
      </c>
      <c r="Z270" s="1">
        <v>25016231</v>
      </c>
      <c r="AI270" s="2">
        <v>305411</v>
      </c>
      <c r="AJ270" s="2">
        <v>90650</v>
      </c>
      <c r="AK270" s="2">
        <v>13634.42</v>
      </c>
      <c r="AL270" s="2">
        <v>4046.87</v>
      </c>
      <c r="AM270" s="5">
        <v>3536.26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23763.66</v>
      </c>
      <c r="AT270" s="12">
        <v>21217.55</v>
      </c>
      <c r="AU270" s="2">
        <v>0</v>
      </c>
      <c r="AV270" s="5">
        <v>1980.31</v>
      </c>
      <c r="AX270" s="2">
        <v>0</v>
      </c>
      <c r="AY270" s="2">
        <v>0</v>
      </c>
      <c r="AZ270" s="2">
        <v>0</v>
      </c>
      <c r="BA270" s="2">
        <v>0</v>
      </c>
      <c r="BB270" s="5">
        <v>0</v>
      </c>
      <c r="BC270" s="12">
        <v>470470.8</v>
      </c>
      <c r="BD270" s="2">
        <v>109628.7</v>
      </c>
      <c r="BE270" s="2">
        <v>21003.16</v>
      </c>
      <c r="BF270" s="2">
        <v>4894.1400000000003</v>
      </c>
      <c r="BG270" s="5">
        <v>5179.47</v>
      </c>
      <c r="BH270" s="2">
        <v>34805.980000000003</v>
      </c>
      <c r="BI270" s="12">
        <v>31076.77</v>
      </c>
      <c r="BJ270" s="2">
        <v>0</v>
      </c>
      <c r="BK270" s="5">
        <v>2900.49</v>
      </c>
      <c r="BL270" s="1" t="s">
        <v>90</v>
      </c>
    </row>
    <row r="271" spans="1:64" x14ac:dyDescent="0.3">
      <c r="A271" t="s">
        <v>710</v>
      </c>
      <c r="B271" s="1" t="s">
        <v>710</v>
      </c>
      <c r="C271" s="9" t="s">
        <v>711</v>
      </c>
      <c r="D271" s="1" t="s">
        <v>95</v>
      </c>
      <c r="E271" s="1" t="s">
        <v>88</v>
      </c>
      <c r="F271" s="10" t="s">
        <v>545</v>
      </c>
      <c r="G271" s="1">
        <v>3.5000000000000003E-2</v>
      </c>
      <c r="H271" s="1">
        <v>0.05</v>
      </c>
      <c r="I271" s="8">
        <v>44130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0</v>
      </c>
      <c r="AJ271" s="2">
        <v>0</v>
      </c>
      <c r="AK271" s="2">
        <v>0</v>
      </c>
      <c r="AL271" s="2">
        <v>0</v>
      </c>
      <c r="AM271" s="5">
        <v>0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0</v>
      </c>
      <c r="AT271" s="12">
        <v>0</v>
      </c>
      <c r="AU271" s="2">
        <v>0</v>
      </c>
      <c r="AV271" s="5">
        <v>0</v>
      </c>
      <c r="AX271" s="2">
        <v>0</v>
      </c>
      <c r="AY271" s="2">
        <v>0</v>
      </c>
      <c r="AZ271" s="2">
        <v>0</v>
      </c>
      <c r="BA271" s="2">
        <v>0</v>
      </c>
      <c r="BB271" s="5">
        <v>0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0</v>
      </c>
      <c r="BI271" s="12">
        <v>0</v>
      </c>
      <c r="BJ271" s="2">
        <v>0</v>
      </c>
      <c r="BK271" s="5">
        <v>0</v>
      </c>
      <c r="BL271" s="1" t="s">
        <v>546</v>
      </c>
    </row>
    <row r="272" spans="1:64" x14ac:dyDescent="0.3">
      <c r="A272" t="s">
        <v>712</v>
      </c>
      <c r="B272" s="1" t="s">
        <v>712</v>
      </c>
      <c r="C272" s="9" t="s">
        <v>713</v>
      </c>
      <c r="D272" s="1" t="s">
        <v>95</v>
      </c>
      <c r="E272" s="1" t="s">
        <v>135</v>
      </c>
      <c r="F272" s="10" t="s">
        <v>193</v>
      </c>
      <c r="G272" s="1">
        <v>3.5000000000000003E-2</v>
      </c>
      <c r="H272" s="1">
        <v>0.05</v>
      </c>
      <c r="I272" s="8">
        <v>44113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1146597</v>
      </c>
      <c r="AJ272" s="2">
        <v>65780</v>
      </c>
      <c r="AK272" s="2">
        <v>51187.360000000001</v>
      </c>
      <c r="AL272" s="2">
        <v>2936.6</v>
      </c>
      <c r="AM272" s="5">
        <v>10824.79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72742.600000000006</v>
      </c>
      <c r="AT272" s="12">
        <v>64948.75</v>
      </c>
      <c r="AU272" s="2">
        <v>0</v>
      </c>
      <c r="AV272" s="5">
        <v>6061.88</v>
      </c>
      <c r="AX272" s="2">
        <v>1146597</v>
      </c>
      <c r="AY272" s="2">
        <v>65780</v>
      </c>
      <c r="AZ272" s="2">
        <v>51187.360000000001</v>
      </c>
      <c r="BA272" s="2">
        <v>2936.6</v>
      </c>
      <c r="BB272" s="5">
        <v>10824.79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72742.600000000006</v>
      </c>
      <c r="BI272" s="12">
        <v>64948.75</v>
      </c>
      <c r="BJ272" s="2">
        <v>0</v>
      </c>
      <c r="BK272" s="5">
        <v>6061.88</v>
      </c>
      <c r="BL272" s="1" t="s">
        <v>137</v>
      </c>
    </row>
    <row r="273" spans="1:64" x14ac:dyDescent="0.3">
      <c r="A273" t="s">
        <v>716</v>
      </c>
      <c r="B273" s="1" t="s">
        <v>716</v>
      </c>
      <c r="C273" s="9" t="s">
        <v>717</v>
      </c>
      <c r="D273" s="1" t="s">
        <v>95</v>
      </c>
      <c r="E273" s="1" t="s">
        <v>88</v>
      </c>
      <c r="F273" s="10" t="s">
        <v>96</v>
      </c>
      <c r="G273" s="1">
        <v>0.04</v>
      </c>
      <c r="H273" s="1">
        <v>0.05</v>
      </c>
      <c r="I273" s="8">
        <v>44232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677022.09</v>
      </c>
      <c r="AJ273" s="2">
        <v>84353</v>
      </c>
      <c r="AK273" s="2">
        <v>30224.2</v>
      </c>
      <c r="AL273" s="2">
        <v>3765.76</v>
      </c>
      <c r="AM273" s="5">
        <v>6797.99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45682.5</v>
      </c>
      <c r="AT273" s="12">
        <v>40787.949999999997</v>
      </c>
      <c r="AU273" s="2">
        <v>0</v>
      </c>
      <c r="AV273" s="5">
        <v>3806.88</v>
      </c>
      <c r="AX273" s="2">
        <v>677022.09</v>
      </c>
      <c r="AY273" s="2">
        <v>84353</v>
      </c>
      <c r="AZ273" s="2">
        <v>30224.2</v>
      </c>
      <c r="BA273" s="2">
        <v>3765.76</v>
      </c>
      <c r="BB273" s="5">
        <v>6797.99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45682.5</v>
      </c>
      <c r="BI273" s="12">
        <v>40787.949999999997</v>
      </c>
      <c r="BJ273" s="2">
        <v>0</v>
      </c>
      <c r="BK273" s="5">
        <v>3806.88</v>
      </c>
      <c r="BL273" s="1" t="s">
        <v>90</v>
      </c>
    </row>
    <row r="274" spans="1:64" x14ac:dyDescent="0.3">
      <c r="A274" t="s">
        <v>718</v>
      </c>
      <c r="B274" s="1" t="s">
        <v>718</v>
      </c>
      <c r="C274" s="9" t="s">
        <v>719</v>
      </c>
      <c r="D274" s="1" t="s">
        <v>95</v>
      </c>
      <c r="E274" s="1" t="s">
        <v>135</v>
      </c>
      <c r="F274" s="10" t="s">
        <v>435</v>
      </c>
      <c r="G274" s="1">
        <v>3.5000000000000003E-2</v>
      </c>
      <c r="H274" s="1">
        <v>0.05</v>
      </c>
      <c r="I274" s="8">
        <v>44328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541218</v>
      </c>
      <c r="AJ274" s="2">
        <v>89865</v>
      </c>
      <c r="AK274" s="2">
        <v>24161.52</v>
      </c>
      <c r="AL274" s="2">
        <v>4011.83</v>
      </c>
      <c r="AM274" s="5">
        <v>5634.67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37864.980000000003</v>
      </c>
      <c r="AT274" s="12">
        <v>33808.019999999997</v>
      </c>
      <c r="AU274" s="2">
        <v>0</v>
      </c>
      <c r="AV274" s="5">
        <v>3155.42</v>
      </c>
      <c r="AX274" s="2">
        <v>541218</v>
      </c>
      <c r="AY274" s="2">
        <v>89865</v>
      </c>
      <c r="AZ274" s="2">
        <v>24161.52</v>
      </c>
      <c r="BA274" s="2">
        <v>4011.83</v>
      </c>
      <c r="BB274" s="5">
        <v>5634.67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37864.980000000003</v>
      </c>
      <c r="BI274" s="12">
        <v>33808.019999999997</v>
      </c>
      <c r="BJ274" s="2">
        <v>0</v>
      </c>
      <c r="BK274" s="5">
        <v>3155.42</v>
      </c>
      <c r="BL274" s="1" t="s">
        <v>137</v>
      </c>
    </row>
    <row r="275" spans="1:64" x14ac:dyDescent="0.3">
      <c r="A275" t="s">
        <v>720</v>
      </c>
      <c r="B275" s="1" t="s">
        <v>720</v>
      </c>
      <c r="C275" s="9" t="s">
        <v>721</v>
      </c>
      <c r="D275" s="1" t="s">
        <v>95</v>
      </c>
      <c r="E275" s="1" t="s">
        <v>88</v>
      </c>
      <c r="F275" s="10" t="s">
        <v>534</v>
      </c>
      <c r="G275" s="1">
        <v>0.04</v>
      </c>
      <c r="H275" s="1">
        <v>0.05</v>
      </c>
      <c r="I275" s="8">
        <v>44313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3399.33</v>
      </c>
      <c r="T275" s="11">
        <v>3807.25</v>
      </c>
      <c r="U275" s="6">
        <v>3399.3299999999981</v>
      </c>
      <c r="V275" s="6">
        <v>0</v>
      </c>
      <c r="W275" s="6">
        <v>0</v>
      </c>
      <c r="X275" s="46">
        <v>45815</v>
      </c>
      <c r="Y275" s="1">
        <v>25112173</v>
      </c>
      <c r="Z275" s="1">
        <v>25112174</v>
      </c>
      <c r="AI275" s="2">
        <v>2318101</v>
      </c>
      <c r="AJ275" s="2">
        <v>296102</v>
      </c>
      <c r="AK275" s="2">
        <v>103486.65</v>
      </c>
      <c r="AL275" s="2">
        <v>13218.84</v>
      </c>
      <c r="AM275" s="5">
        <v>23341.1</v>
      </c>
      <c r="AN275" s="12">
        <v>380725.2</v>
      </c>
      <c r="AO275" s="2">
        <v>0</v>
      </c>
      <c r="AP275" s="2">
        <v>16996.66</v>
      </c>
      <c r="AQ275" s="2">
        <v>0</v>
      </c>
      <c r="AR275" s="5">
        <v>3399.33</v>
      </c>
      <c r="AS275" s="2">
        <v>179695.69</v>
      </c>
      <c r="AT275" s="12">
        <v>160442.57999999999</v>
      </c>
      <c r="AU275" s="2">
        <v>0</v>
      </c>
      <c r="AV275" s="5">
        <v>14974.630000000001</v>
      </c>
      <c r="AX275" s="2">
        <v>2318101</v>
      </c>
      <c r="AY275" s="2">
        <v>296102</v>
      </c>
      <c r="AZ275" s="2">
        <v>103486.65</v>
      </c>
      <c r="BA275" s="2">
        <v>13218.84</v>
      </c>
      <c r="BB275" s="5">
        <v>23341.1</v>
      </c>
      <c r="BC275" s="12">
        <v>380725.2</v>
      </c>
      <c r="BD275" s="2">
        <v>0</v>
      </c>
      <c r="BE275" s="2">
        <v>16996.66</v>
      </c>
      <c r="BF275" s="2">
        <v>0</v>
      </c>
      <c r="BG275" s="5">
        <v>0</v>
      </c>
      <c r="BH275" s="2">
        <v>175888.44</v>
      </c>
      <c r="BI275" s="12">
        <v>157043.25</v>
      </c>
      <c r="BJ275" s="2">
        <v>0</v>
      </c>
      <c r="BK275" s="5">
        <v>14974.630000000001</v>
      </c>
      <c r="BL275" s="1" t="s">
        <v>90</v>
      </c>
    </row>
    <row r="276" spans="1:64" x14ac:dyDescent="0.3">
      <c r="A276" t="s">
        <v>757</v>
      </c>
      <c r="B276" s="1" t="s">
        <v>757</v>
      </c>
      <c r="C276" s="9" t="s">
        <v>758</v>
      </c>
      <c r="D276" s="1" t="s">
        <v>95</v>
      </c>
      <c r="E276" s="1" t="s">
        <v>135</v>
      </c>
      <c r="F276" s="10" t="s">
        <v>136</v>
      </c>
      <c r="G276" s="1">
        <v>3.5000000000000003E-2</v>
      </c>
      <c r="H276" s="1">
        <v>0.05</v>
      </c>
      <c r="I276" s="8">
        <v>45608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1752435.15</v>
      </c>
      <c r="AJ276" s="2">
        <v>213354</v>
      </c>
      <c r="AK276" s="2">
        <v>78233.709999999992</v>
      </c>
      <c r="AL276" s="2">
        <v>9524.73</v>
      </c>
      <c r="AM276" s="5">
        <v>17551.68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117947.33</v>
      </c>
      <c r="AT276" s="12">
        <v>105310.12</v>
      </c>
      <c r="AU276" s="2">
        <v>0</v>
      </c>
      <c r="AV276" s="5">
        <v>9828.9500000000007</v>
      </c>
      <c r="AX276" s="2">
        <v>1752435.15</v>
      </c>
      <c r="AY276" s="2">
        <v>213354</v>
      </c>
      <c r="AZ276" s="2">
        <v>78233.709999999992</v>
      </c>
      <c r="BA276" s="2">
        <v>9524.73</v>
      </c>
      <c r="BB276" s="5">
        <v>17551.68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117947.33</v>
      </c>
      <c r="BI276" s="12">
        <v>105310.12</v>
      </c>
      <c r="BJ276" s="2">
        <v>0</v>
      </c>
      <c r="BK276" s="5">
        <v>9828.9500000000007</v>
      </c>
      <c r="BL276" s="1" t="s">
        <v>137</v>
      </c>
    </row>
    <row r="277" spans="1:64" x14ac:dyDescent="0.3">
      <c r="A277" t="s">
        <v>767</v>
      </c>
      <c r="B277" s="1" t="s">
        <v>767</v>
      </c>
      <c r="C277" s="9" t="s">
        <v>768</v>
      </c>
      <c r="D277" s="1" t="s">
        <v>95</v>
      </c>
      <c r="E277" s="1" t="s">
        <v>135</v>
      </c>
      <c r="F277" s="10" t="s">
        <v>435</v>
      </c>
      <c r="G277" s="1">
        <v>3.5000000000000003E-2</v>
      </c>
      <c r="H277" s="1">
        <v>0.05</v>
      </c>
      <c r="I277" s="8">
        <v>44644</v>
      </c>
      <c r="J277" s="6">
        <v>907428</v>
      </c>
      <c r="K277" s="6">
        <v>372846</v>
      </c>
      <c r="L277" s="6">
        <v>40510.18</v>
      </c>
      <c r="M277" s="6">
        <v>16644.91</v>
      </c>
      <c r="N277" s="7">
        <v>11431.02</v>
      </c>
      <c r="O277" s="6">
        <v>-1165238.7</v>
      </c>
      <c r="P277" s="6">
        <v>-230644.8</v>
      </c>
      <c r="Q277" s="6">
        <v>-52019.59</v>
      </c>
      <c r="R277" s="6">
        <v>-10296.64</v>
      </c>
      <c r="S277" s="7">
        <v>-9752.61</v>
      </c>
      <c r="T277" s="11">
        <v>-3900.66</v>
      </c>
      <c r="U277" s="6">
        <v>-3482.7300000000014</v>
      </c>
      <c r="V277" s="6">
        <v>0</v>
      </c>
      <c r="W277" s="6">
        <v>-578.04999999999973</v>
      </c>
      <c r="X277" s="46">
        <v>45815</v>
      </c>
      <c r="Y277" s="1">
        <v>25016232</v>
      </c>
      <c r="Z277" s="1">
        <v>25016233</v>
      </c>
      <c r="AI277" s="2">
        <v>907428</v>
      </c>
      <c r="AJ277" s="2">
        <v>372846</v>
      </c>
      <c r="AK277" s="2">
        <v>40510.18</v>
      </c>
      <c r="AL277" s="2">
        <v>16644.91</v>
      </c>
      <c r="AM277" s="5">
        <v>11431.02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76816.44</v>
      </c>
      <c r="AT277" s="12">
        <v>68586.109999999986</v>
      </c>
      <c r="AU277" s="2">
        <v>0</v>
      </c>
      <c r="AV277" s="5">
        <v>6401.3700000000008</v>
      </c>
      <c r="AX277" s="2">
        <v>0</v>
      </c>
      <c r="AY277" s="2">
        <v>0</v>
      </c>
      <c r="AZ277" s="2">
        <v>0</v>
      </c>
      <c r="BA277" s="2">
        <v>0</v>
      </c>
      <c r="BB277" s="5">
        <v>0</v>
      </c>
      <c r="BC277" s="12">
        <v>1165238.7</v>
      </c>
      <c r="BD277" s="2">
        <v>230644.8</v>
      </c>
      <c r="BE277" s="2">
        <v>52019.59</v>
      </c>
      <c r="BF277" s="2">
        <v>10296.64</v>
      </c>
      <c r="BG277" s="5">
        <v>9752.61</v>
      </c>
      <c r="BH277" s="2">
        <v>80717.100000000006</v>
      </c>
      <c r="BI277" s="12">
        <v>72068.84</v>
      </c>
      <c r="BJ277" s="2">
        <v>0</v>
      </c>
      <c r="BK277" s="5">
        <v>6979.42</v>
      </c>
      <c r="BL277" s="1" t="s">
        <v>137</v>
      </c>
    </row>
    <row r="278" spans="1:64" x14ac:dyDescent="0.3">
      <c r="A278" t="s">
        <v>785</v>
      </c>
      <c r="B278" s="1" t="s">
        <v>785</v>
      </c>
      <c r="C278" s="9" t="s">
        <v>786</v>
      </c>
      <c r="D278" s="1" t="s">
        <v>95</v>
      </c>
      <c r="E278" s="1" t="s">
        <v>128</v>
      </c>
      <c r="F278" s="10" t="s">
        <v>325</v>
      </c>
      <c r="G278" s="1">
        <v>0.04</v>
      </c>
      <c r="H278" s="1">
        <v>0.05</v>
      </c>
      <c r="I278" s="8">
        <v>44734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865044</v>
      </c>
      <c r="AJ278" s="2">
        <v>76670</v>
      </c>
      <c r="AK278" s="2">
        <v>38618.04</v>
      </c>
      <c r="AL278" s="2">
        <v>3422.77</v>
      </c>
      <c r="AM278" s="5">
        <v>8408.16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56502.85</v>
      </c>
      <c r="AT278" s="12">
        <v>50448.97</v>
      </c>
      <c r="AU278" s="2">
        <v>0</v>
      </c>
      <c r="AV278" s="5">
        <v>4708.57</v>
      </c>
      <c r="AX278" s="2">
        <v>865044</v>
      </c>
      <c r="AY278" s="2">
        <v>76670</v>
      </c>
      <c r="AZ278" s="2">
        <v>38618.04</v>
      </c>
      <c r="BA278" s="2">
        <v>3422.77</v>
      </c>
      <c r="BB278" s="5">
        <v>8408.16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56502.85</v>
      </c>
      <c r="BI278" s="12">
        <v>50448.97</v>
      </c>
      <c r="BJ278" s="2">
        <v>0</v>
      </c>
      <c r="BK278" s="5">
        <v>4708.57</v>
      </c>
      <c r="BL278" s="1" t="s">
        <v>326</v>
      </c>
    </row>
    <row r="279" spans="1:64" x14ac:dyDescent="0.3">
      <c r="A279" t="s">
        <v>791</v>
      </c>
      <c r="B279" s="1" t="s">
        <v>791</v>
      </c>
      <c r="C279" s="9" t="s">
        <v>792</v>
      </c>
      <c r="D279" s="1" t="s">
        <v>95</v>
      </c>
      <c r="E279" s="1" t="s">
        <v>135</v>
      </c>
      <c r="F279" s="10" t="s">
        <v>435</v>
      </c>
      <c r="G279" s="1">
        <v>0.04</v>
      </c>
      <c r="H279" s="1">
        <v>0.05</v>
      </c>
      <c r="I279" s="8">
        <v>44913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3927.99</v>
      </c>
      <c r="T279" s="11">
        <v>4399.3500000000004</v>
      </c>
      <c r="U279" s="6">
        <v>3927.989999999998</v>
      </c>
      <c r="V279" s="6">
        <v>0</v>
      </c>
      <c r="W279" s="6">
        <v>0</v>
      </c>
      <c r="X279" s="46">
        <v>45815</v>
      </c>
      <c r="Y279" s="1">
        <v>25112175</v>
      </c>
      <c r="Z279" s="1">
        <v>25112176</v>
      </c>
      <c r="AI279" s="2">
        <v>0</v>
      </c>
      <c r="AJ279" s="2">
        <v>0</v>
      </c>
      <c r="AK279" s="2">
        <v>0</v>
      </c>
      <c r="AL279" s="2">
        <v>0</v>
      </c>
      <c r="AM279" s="5">
        <v>0</v>
      </c>
      <c r="AN279" s="12">
        <v>905520.60000000009</v>
      </c>
      <c r="AO279" s="2">
        <v>129441.9</v>
      </c>
      <c r="AP279" s="2">
        <v>40425.03</v>
      </c>
      <c r="AQ279" s="2">
        <v>5778.65</v>
      </c>
      <c r="AR279" s="5">
        <v>9240.74</v>
      </c>
      <c r="AS279" s="2">
        <v>62097.75</v>
      </c>
      <c r="AT279" s="12">
        <v>55444.42</v>
      </c>
      <c r="AU279" s="2">
        <v>0</v>
      </c>
      <c r="AV279" s="5">
        <v>5174.8099999999995</v>
      </c>
      <c r="AX279" s="2">
        <v>0</v>
      </c>
      <c r="AY279" s="2">
        <v>0</v>
      </c>
      <c r="AZ279" s="2">
        <v>0</v>
      </c>
      <c r="BA279" s="2">
        <v>0</v>
      </c>
      <c r="BB279" s="5">
        <v>0</v>
      </c>
      <c r="BC279" s="12">
        <v>905520.60000000009</v>
      </c>
      <c r="BD279" s="2">
        <v>129441.9</v>
      </c>
      <c r="BE279" s="2">
        <v>40425.03</v>
      </c>
      <c r="BF279" s="2">
        <v>5778.65</v>
      </c>
      <c r="BG279" s="5">
        <v>5312.75</v>
      </c>
      <c r="BH279" s="2">
        <v>57698.400000000001</v>
      </c>
      <c r="BI279" s="12">
        <v>51516.430000000008</v>
      </c>
      <c r="BJ279" s="2">
        <v>0</v>
      </c>
      <c r="BK279" s="5">
        <v>5174.8099999999995</v>
      </c>
      <c r="BL279" s="1" t="s">
        <v>436</v>
      </c>
    </row>
    <row r="280" spans="1:64" x14ac:dyDescent="0.3">
      <c r="A280" t="s">
        <v>806</v>
      </c>
      <c r="B280" s="1" t="s">
        <v>806</v>
      </c>
      <c r="C280" s="9" t="s">
        <v>807</v>
      </c>
      <c r="D280" s="1" t="s">
        <v>95</v>
      </c>
      <c r="E280" s="1" t="s">
        <v>88</v>
      </c>
      <c r="F280" s="10" t="s">
        <v>432</v>
      </c>
      <c r="G280" s="1">
        <v>0.04</v>
      </c>
      <c r="H280" s="1">
        <v>0.05</v>
      </c>
      <c r="I280" s="8">
        <v>44876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406545</v>
      </c>
      <c r="AJ280" s="2">
        <v>51248</v>
      </c>
      <c r="AK280" s="2">
        <v>18149.330000000002</v>
      </c>
      <c r="AL280" s="2">
        <v>2287.86</v>
      </c>
      <c r="AM280" s="5">
        <v>4087.44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27467.59</v>
      </c>
      <c r="AT280" s="12">
        <v>24524.63</v>
      </c>
      <c r="AU280" s="2">
        <v>0</v>
      </c>
      <c r="AV280" s="5">
        <v>2288.96</v>
      </c>
      <c r="AX280" s="2">
        <v>406545</v>
      </c>
      <c r="AY280" s="2">
        <v>51248</v>
      </c>
      <c r="AZ280" s="2">
        <v>18149.330000000002</v>
      </c>
      <c r="BA280" s="2">
        <v>2287.86</v>
      </c>
      <c r="BB280" s="5">
        <v>4087.44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27467.59</v>
      </c>
      <c r="BI280" s="12">
        <v>24524.63</v>
      </c>
      <c r="BJ280" s="2">
        <v>0</v>
      </c>
      <c r="BK280" s="5">
        <v>2288.96</v>
      </c>
      <c r="BL280" s="1" t="s">
        <v>90</v>
      </c>
    </row>
    <row r="281" spans="1:64" x14ac:dyDescent="0.3">
      <c r="A281" t="s">
        <v>808</v>
      </c>
      <c r="B281" s="1" t="s">
        <v>808</v>
      </c>
      <c r="C281" s="9" t="s">
        <v>809</v>
      </c>
      <c r="D281" s="1" t="s">
        <v>95</v>
      </c>
      <c r="E281" s="1" t="s">
        <v>128</v>
      </c>
      <c r="F281" s="10" t="s">
        <v>309</v>
      </c>
      <c r="G281" s="1">
        <v>0</v>
      </c>
      <c r="H281" s="1">
        <v>0.05</v>
      </c>
      <c r="I281" s="8">
        <v>44802</v>
      </c>
      <c r="J281" s="6">
        <v>444636</v>
      </c>
      <c r="K281" s="6">
        <v>44873</v>
      </c>
      <c r="L281" s="6">
        <v>19849.82</v>
      </c>
      <c r="M281" s="6">
        <v>2003.26</v>
      </c>
      <c r="N281" s="7">
        <v>4370.62</v>
      </c>
      <c r="O281" s="6">
        <v>-290030.39999999997</v>
      </c>
      <c r="P281" s="6">
        <v>-20179.8</v>
      </c>
      <c r="Q281" s="6">
        <v>-12947.79</v>
      </c>
      <c r="R281" s="6">
        <v>-900.88</v>
      </c>
      <c r="S281" s="7">
        <v>0</v>
      </c>
      <c r="T281" s="11">
        <v>13860.03</v>
      </c>
      <c r="U281" s="6">
        <v>12375.029999999997</v>
      </c>
      <c r="V281" s="6">
        <v>0</v>
      </c>
      <c r="W281" s="6">
        <v>896.49</v>
      </c>
      <c r="X281" s="46">
        <v>45815</v>
      </c>
      <c r="Y281" s="1">
        <v>25112177</v>
      </c>
      <c r="Z281" s="1">
        <v>25112178</v>
      </c>
      <c r="AI281" s="2">
        <v>444636</v>
      </c>
      <c r="AJ281" s="2">
        <v>44873</v>
      </c>
      <c r="AK281" s="2">
        <v>19849.82</v>
      </c>
      <c r="AL281" s="2">
        <v>2003.26</v>
      </c>
      <c r="AM281" s="5">
        <v>4370.62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29370.54</v>
      </c>
      <c r="AT281" s="12">
        <v>26223.699999999997</v>
      </c>
      <c r="AU281" s="2">
        <v>0</v>
      </c>
      <c r="AV281" s="5">
        <v>2447.54</v>
      </c>
      <c r="AX281" s="2">
        <v>0</v>
      </c>
      <c r="AY281" s="2">
        <v>0</v>
      </c>
      <c r="AZ281" s="2">
        <v>0</v>
      </c>
      <c r="BA281" s="2">
        <v>0</v>
      </c>
      <c r="BB281" s="5">
        <v>0</v>
      </c>
      <c r="BC281" s="12">
        <v>290030.39999999997</v>
      </c>
      <c r="BD281" s="2">
        <v>20179.8</v>
      </c>
      <c r="BE281" s="2">
        <v>12947.79</v>
      </c>
      <c r="BF281" s="2">
        <v>900.88</v>
      </c>
      <c r="BG281" s="5">
        <v>0</v>
      </c>
      <c r="BH281" s="2">
        <v>15510.51</v>
      </c>
      <c r="BI281" s="12">
        <v>13848.67</v>
      </c>
      <c r="BJ281" s="2">
        <v>0</v>
      </c>
      <c r="BK281" s="5">
        <v>1551.05</v>
      </c>
      <c r="BL281" s="1" t="s">
        <v>130</v>
      </c>
    </row>
    <row r="282" spans="1:64" x14ac:dyDescent="0.3">
      <c r="A282" t="s">
        <v>812</v>
      </c>
      <c r="B282" s="1" t="s">
        <v>812</v>
      </c>
      <c r="C282" s="9" t="s">
        <v>813</v>
      </c>
      <c r="D282" s="1" t="s">
        <v>95</v>
      </c>
      <c r="E282" s="1" t="s">
        <v>135</v>
      </c>
      <c r="F282" s="10" t="s">
        <v>193</v>
      </c>
      <c r="G282" s="1">
        <v>0.04</v>
      </c>
      <c r="H282" s="1">
        <v>0.05</v>
      </c>
      <c r="I282" s="8">
        <v>44991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905439</v>
      </c>
      <c r="AJ282" s="2">
        <v>217841</v>
      </c>
      <c r="AK282" s="2">
        <v>40421.379999999997</v>
      </c>
      <c r="AL282" s="2">
        <v>9725.0400000000009</v>
      </c>
      <c r="AM282" s="5">
        <v>10029.290000000001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67396.800000000003</v>
      </c>
      <c r="AT282" s="12">
        <v>60175.71</v>
      </c>
      <c r="AU282" s="2">
        <v>0</v>
      </c>
      <c r="AV282" s="5">
        <v>5616.4</v>
      </c>
      <c r="AX282" s="2">
        <v>905439</v>
      </c>
      <c r="AY282" s="2">
        <v>217841</v>
      </c>
      <c r="AZ282" s="2">
        <v>40421.379999999997</v>
      </c>
      <c r="BA282" s="2">
        <v>9725.0400000000009</v>
      </c>
      <c r="BB282" s="5">
        <v>10029.290000000001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67396.800000000003</v>
      </c>
      <c r="BI282" s="12">
        <v>60175.71</v>
      </c>
      <c r="BJ282" s="2">
        <v>0</v>
      </c>
      <c r="BK282" s="5">
        <v>5616.4</v>
      </c>
      <c r="BL282" s="1" t="s">
        <v>137</v>
      </c>
    </row>
    <row r="283" spans="1:64" x14ac:dyDescent="0.3">
      <c r="A283" t="s">
        <v>833</v>
      </c>
      <c r="B283" s="1" t="s">
        <v>833</v>
      </c>
      <c r="C283" s="9" t="s">
        <v>834</v>
      </c>
      <c r="D283" s="1" t="s">
        <v>95</v>
      </c>
      <c r="E283" s="1" t="s">
        <v>128</v>
      </c>
      <c r="F283" s="10" t="s">
        <v>835</v>
      </c>
      <c r="G283" s="1">
        <v>3.5000000000000003E-2</v>
      </c>
      <c r="H283" s="1">
        <v>0.05</v>
      </c>
      <c r="I283" s="8">
        <v>44035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562544</v>
      </c>
      <c r="AJ283" s="2">
        <v>96844</v>
      </c>
      <c r="AK283" s="2">
        <v>25113.57</v>
      </c>
      <c r="AL283" s="2">
        <v>4323.3900000000003</v>
      </c>
      <c r="AM283" s="5">
        <v>5887.39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39563.269999999997</v>
      </c>
      <c r="AT283" s="12">
        <v>35324.35</v>
      </c>
      <c r="AU283" s="2">
        <v>0</v>
      </c>
      <c r="AV283" s="5">
        <v>3296.94</v>
      </c>
      <c r="AX283" s="2">
        <v>562544</v>
      </c>
      <c r="AY283" s="2">
        <v>96844</v>
      </c>
      <c r="AZ283" s="2">
        <v>25113.57</v>
      </c>
      <c r="BA283" s="2">
        <v>4323.3900000000003</v>
      </c>
      <c r="BB283" s="5">
        <v>5887.39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39563.269999999997</v>
      </c>
      <c r="BI283" s="12">
        <v>35324.35</v>
      </c>
      <c r="BJ283" s="2">
        <v>0</v>
      </c>
      <c r="BK283" s="5">
        <v>3296.94</v>
      </c>
      <c r="BL283" s="1" t="s">
        <v>326</v>
      </c>
    </row>
    <row r="284" spans="1:64" x14ac:dyDescent="0.3">
      <c r="A284" t="s">
        <v>844</v>
      </c>
      <c r="B284" s="1" t="s">
        <v>844</v>
      </c>
      <c r="C284" s="9" t="s">
        <v>845</v>
      </c>
      <c r="D284" s="1" t="s">
        <v>95</v>
      </c>
      <c r="E284" s="1" t="s">
        <v>135</v>
      </c>
      <c r="F284" s="10" t="s">
        <v>193</v>
      </c>
      <c r="G284" s="1">
        <v>3.5000000000000003E-2</v>
      </c>
      <c r="H284" s="1">
        <v>0.05</v>
      </c>
      <c r="I284" s="8">
        <v>44270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0</v>
      </c>
      <c r="AJ284" s="2">
        <v>0</v>
      </c>
      <c r="AK284" s="2">
        <v>0</v>
      </c>
      <c r="AL284" s="2">
        <v>0</v>
      </c>
      <c r="AM284" s="5">
        <v>0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0</v>
      </c>
      <c r="AT284" s="12">
        <v>0</v>
      </c>
      <c r="AU284" s="2">
        <v>0</v>
      </c>
      <c r="AV284" s="5">
        <v>0</v>
      </c>
      <c r="AX284" s="2">
        <v>0</v>
      </c>
      <c r="AY284" s="2">
        <v>0</v>
      </c>
      <c r="AZ284" s="2">
        <v>0</v>
      </c>
      <c r="BA284" s="2">
        <v>0</v>
      </c>
      <c r="BB284" s="5">
        <v>0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0</v>
      </c>
      <c r="BI284" s="12">
        <v>0</v>
      </c>
      <c r="BJ284" s="2">
        <v>0</v>
      </c>
      <c r="BK284" s="5">
        <v>0</v>
      </c>
      <c r="BL284" s="1" t="s">
        <v>137</v>
      </c>
    </row>
    <row r="285" spans="1:64" x14ac:dyDescent="0.3">
      <c r="A285" t="s">
        <v>888</v>
      </c>
      <c r="B285" s="1" t="s">
        <v>888</v>
      </c>
      <c r="C285" s="9" t="s">
        <v>889</v>
      </c>
      <c r="D285" s="1" t="s">
        <v>95</v>
      </c>
      <c r="E285" s="1" t="s">
        <v>135</v>
      </c>
      <c r="F285" s="10" t="s">
        <v>435</v>
      </c>
      <c r="G285" s="1">
        <v>4.4999999999999998E-2</v>
      </c>
      <c r="H285" s="1">
        <v>0.05</v>
      </c>
      <c r="I285" s="8">
        <v>45278</v>
      </c>
      <c r="J285" s="6">
        <v>564945</v>
      </c>
      <c r="K285" s="6">
        <v>169974</v>
      </c>
      <c r="L285" s="6">
        <v>25220.76</v>
      </c>
      <c r="M285" s="6">
        <v>7588.12</v>
      </c>
      <c r="N285" s="7">
        <v>6561.78</v>
      </c>
      <c r="O285" s="6">
        <v>-828519</v>
      </c>
      <c r="P285" s="6">
        <v>-147237</v>
      </c>
      <c r="Q285" s="6">
        <v>-36987.46</v>
      </c>
      <c r="R285" s="6">
        <v>-6573.08</v>
      </c>
      <c r="S285" s="7">
        <v>-8712.11</v>
      </c>
      <c r="T285" s="11">
        <v>-14450.23</v>
      </c>
      <c r="U285" s="6">
        <v>-12901.990000000005</v>
      </c>
      <c r="V285" s="6">
        <v>0</v>
      </c>
      <c r="W285" s="6">
        <v>-1204.1799999999998</v>
      </c>
      <c r="X285" s="46">
        <v>45815</v>
      </c>
      <c r="Y285" s="1">
        <v>25016234</v>
      </c>
      <c r="Z285" s="1">
        <v>25016235</v>
      </c>
      <c r="AI285" s="2">
        <v>564945</v>
      </c>
      <c r="AJ285" s="2">
        <v>169974</v>
      </c>
      <c r="AK285" s="2">
        <v>25220.76</v>
      </c>
      <c r="AL285" s="2">
        <v>7588.12</v>
      </c>
      <c r="AM285" s="5">
        <v>6561.78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44095.14</v>
      </c>
      <c r="AT285" s="12">
        <v>39370.659999999996</v>
      </c>
      <c r="AU285" s="2">
        <v>0</v>
      </c>
      <c r="AV285" s="5">
        <v>3674.6</v>
      </c>
      <c r="AX285" s="2">
        <v>0</v>
      </c>
      <c r="AY285" s="2">
        <v>0</v>
      </c>
      <c r="AZ285" s="2">
        <v>0</v>
      </c>
      <c r="BA285" s="2">
        <v>0</v>
      </c>
      <c r="BB285" s="5">
        <v>0</v>
      </c>
      <c r="BC285" s="12">
        <v>828519</v>
      </c>
      <c r="BD285" s="2">
        <v>147237</v>
      </c>
      <c r="BE285" s="2">
        <v>36987.46</v>
      </c>
      <c r="BF285" s="2">
        <v>6573.08</v>
      </c>
      <c r="BG285" s="5">
        <v>8712.11</v>
      </c>
      <c r="BH285" s="2">
        <v>58545.37</v>
      </c>
      <c r="BI285" s="12">
        <v>52272.65</v>
      </c>
      <c r="BJ285" s="2">
        <v>0</v>
      </c>
      <c r="BK285" s="5">
        <v>4878.78</v>
      </c>
      <c r="BL285" s="1" t="s">
        <v>436</v>
      </c>
    </row>
    <row r="286" spans="1:64" x14ac:dyDescent="0.3">
      <c r="A286" t="s">
        <v>890</v>
      </c>
      <c r="B286" s="1" t="s">
        <v>890</v>
      </c>
      <c r="C286" s="9" t="s">
        <v>891</v>
      </c>
      <c r="D286" s="1" t="s">
        <v>95</v>
      </c>
      <c r="E286" s="1" t="s">
        <v>135</v>
      </c>
      <c r="F286" s="10" t="s">
        <v>193</v>
      </c>
      <c r="G286" s="1">
        <v>0</v>
      </c>
      <c r="H286" s="1">
        <v>0.05</v>
      </c>
      <c r="I286" s="8">
        <v>45514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401.56</v>
      </c>
      <c r="T286" s="11">
        <v>449.75</v>
      </c>
      <c r="U286" s="6">
        <v>401.56000000000131</v>
      </c>
      <c r="V286" s="6">
        <v>0</v>
      </c>
      <c r="W286" s="6">
        <v>0</v>
      </c>
      <c r="X286" s="46">
        <v>45815</v>
      </c>
      <c r="Y286" s="1">
        <v>25112179</v>
      </c>
      <c r="Z286" s="1">
        <v>25112180</v>
      </c>
      <c r="AI286" s="2">
        <v>271918</v>
      </c>
      <c r="AJ286" s="2">
        <v>53547</v>
      </c>
      <c r="AK286" s="2">
        <v>12139.2</v>
      </c>
      <c r="AL286" s="2">
        <v>2390.4899999999998</v>
      </c>
      <c r="AM286" s="5">
        <v>2905.94</v>
      </c>
      <c r="AN286" s="12">
        <v>39877.620000000003</v>
      </c>
      <c r="AO286" s="2">
        <v>5097.3</v>
      </c>
      <c r="AP286" s="2">
        <v>1780.25</v>
      </c>
      <c r="AQ286" s="2">
        <v>227.55</v>
      </c>
      <c r="AR286" s="5">
        <v>401.56</v>
      </c>
      <c r="AS286" s="2">
        <v>22226.39</v>
      </c>
      <c r="AT286" s="12">
        <v>19844.990000000002</v>
      </c>
      <c r="AU286" s="2">
        <v>0</v>
      </c>
      <c r="AV286" s="5">
        <v>1852.2</v>
      </c>
      <c r="AX286" s="2">
        <v>271918</v>
      </c>
      <c r="AY286" s="2">
        <v>53547</v>
      </c>
      <c r="AZ286" s="2">
        <v>12139.2</v>
      </c>
      <c r="BA286" s="2">
        <v>2390.4899999999998</v>
      </c>
      <c r="BB286" s="5">
        <v>2905.94</v>
      </c>
      <c r="BC286" s="12">
        <v>39877.620000000003</v>
      </c>
      <c r="BD286" s="2">
        <v>5097.3</v>
      </c>
      <c r="BE286" s="2">
        <v>1780.25</v>
      </c>
      <c r="BF286" s="2">
        <v>227.55</v>
      </c>
      <c r="BG286" s="5">
        <v>0</v>
      </c>
      <c r="BH286" s="2">
        <v>21776.639999999999</v>
      </c>
      <c r="BI286" s="12">
        <v>19443.43</v>
      </c>
      <c r="BJ286" s="2">
        <v>0</v>
      </c>
      <c r="BK286" s="5">
        <v>1852.2</v>
      </c>
      <c r="BL286" s="1" t="s">
        <v>137</v>
      </c>
    </row>
    <row r="287" spans="1:64" x14ac:dyDescent="0.3">
      <c r="A287" t="s">
        <v>892</v>
      </c>
      <c r="B287" s="1" t="s">
        <v>892</v>
      </c>
      <c r="C287" s="9" t="s">
        <v>893</v>
      </c>
      <c r="D287" s="1" t="s">
        <v>95</v>
      </c>
      <c r="E287" s="1" t="s">
        <v>88</v>
      </c>
      <c r="F287" s="10" t="s">
        <v>534</v>
      </c>
      <c r="G287" s="1">
        <v>0</v>
      </c>
      <c r="H287" s="1">
        <v>0.05</v>
      </c>
      <c r="I287" s="8">
        <v>45485</v>
      </c>
      <c r="J287" s="6">
        <v>722567</v>
      </c>
      <c r="K287" s="6">
        <v>101408</v>
      </c>
      <c r="L287" s="6">
        <v>32257.449999999997</v>
      </c>
      <c r="M287" s="6">
        <v>4527.1400000000003</v>
      </c>
      <c r="N287" s="7">
        <v>7356.91</v>
      </c>
      <c r="O287" s="6">
        <v>-1237011.9000000001</v>
      </c>
      <c r="P287" s="6">
        <v>-168576.30000000002</v>
      </c>
      <c r="Q287" s="6">
        <v>-55223.75</v>
      </c>
      <c r="R287" s="6">
        <v>-7525.73</v>
      </c>
      <c r="S287" s="7">
        <v>0</v>
      </c>
      <c r="T287" s="11">
        <v>-20840.939999999999</v>
      </c>
      <c r="U287" s="6">
        <v>-18607.980000000003</v>
      </c>
      <c r="V287" s="6">
        <v>0</v>
      </c>
      <c r="W287" s="6">
        <v>-2908.0600000000004</v>
      </c>
      <c r="X287" s="46">
        <v>45815</v>
      </c>
      <c r="Y287" s="1">
        <v>25016236</v>
      </c>
      <c r="Z287" s="1">
        <v>25016237</v>
      </c>
      <c r="AI287" s="2">
        <v>722567</v>
      </c>
      <c r="AJ287" s="2">
        <v>101408</v>
      </c>
      <c r="AK287" s="2">
        <v>32257.449999999997</v>
      </c>
      <c r="AL287" s="2">
        <v>4527.1400000000003</v>
      </c>
      <c r="AM287" s="5">
        <v>7356.91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49438.48</v>
      </c>
      <c r="AT287" s="12">
        <v>44141.5</v>
      </c>
      <c r="AU287" s="2">
        <v>0</v>
      </c>
      <c r="AV287" s="5">
        <v>4119.88</v>
      </c>
      <c r="AX287" s="2">
        <v>0</v>
      </c>
      <c r="AY287" s="2">
        <v>0</v>
      </c>
      <c r="AZ287" s="2">
        <v>0</v>
      </c>
      <c r="BA287" s="2">
        <v>0</v>
      </c>
      <c r="BB287" s="5">
        <v>0</v>
      </c>
      <c r="BC287" s="12">
        <v>1237011.9000000001</v>
      </c>
      <c r="BD287" s="2">
        <v>168576.30000000002</v>
      </c>
      <c r="BE287" s="2">
        <v>55223.75</v>
      </c>
      <c r="BF287" s="2">
        <v>7525.73</v>
      </c>
      <c r="BG287" s="5">
        <v>0</v>
      </c>
      <c r="BH287" s="2">
        <v>70279.42</v>
      </c>
      <c r="BI287" s="12">
        <v>62749.48</v>
      </c>
      <c r="BJ287" s="2">
        <v>0</v>
      </c>
      <c r="BK287" s="5">
        <v>7027.9400000000005</v>
      </c>
      <c r="BL287" s="1" t="s">
        <v>90</v>
      </c>
    </row>
    <row r="288" spans="1:64" x14ac:dyDescent="0.3">
      <c r="A288" t="s">
        <v>912</v>
      </c>
      <c r="B288" s="1" t="s">
        <v>912</v>
      </c>
      <c r="C288" s="9" t="s">
        <v>913</v>
      </c>
      <c r="D288" s="1" t="s">
        <v>95</v>
      </c>
      <c r="E288" s="1" t="s">
        <v>128</v>
      </c>
      <c r="F288" s="10" t="s">
        <v>309</v>
      </c>
      <c r="G288" s="1">
        <v>4.4999999999999998E-2</v>
      </c>
      <c r="H288" s="1">
        <v>0.05</v>
      </c>
      <c r="I288" s="8">
        <v>45067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3148610</v>
      </c>
      <c r="AJ288" s="2">
        <v>51385</v>
      </c>
      <c r="AK288" s="2">
        <v>140562.95000000001</v>
      </c>
      <c r="AL288" s="2">
        <v>2293.9699999999998</v>
      </c>
      <c r="AM288" s="5">
        <v>28571.399999999998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191999.72</v>
      </c>
      <c r="AT288" s="12">
        <v>171428.32</v>
      </c>
      <c r="AU288" s="2">
        <v>0</v>
      </c>
      <c r="AV288" s="5">
        <v>15999.970000000001</v>
      </c>
      <c r="AX288" s="2">
        <v>3148610</v>
      </c>
      <c r="AY288" s="2">
        <v>51385</v>
      </c>
      <c r="AZ288" s="2">
        <v>140562.95000000001</v>
      </c>
      <c r="BA288" s="2">
        <v>2293.9699999999998</v>
      </c>
      <c r="BB288" s="5">
        <v>28571.399999999998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191999.72</v>
      </c>
      <c r="BI288" s="12">
        <v>171428.32</v>
      </c>
      <c r="BJ288" s="2">
        <v>0</v>
      </c>
      <c r="BK288" s="5">
        <v>15999.970000000001</v>
      </c>
      <c r="BL288" s="1" t="s">
        <v>130</v>
      </c>
    </row>
    <row r="289" spans="1:64" x14ac:dyDescent="0.3">
      <c r="A289" t="s">
        <v>950</v>
      </c>
      <c r="B289" s="1" t="s">
        <v>950</v>
      </c>
      <c r="C289" s="9" t="s">
        <v>951</v>
      </c>
      <c r="D289" s="1" t="s">
        <v>95</v>
      </c>
      <c r="E289" s="1" t="s">
        <v>135</v>
      </c>
      <c r="F289" s="10" t="s">
        <v>435</v>
      </c>
      <c r="G289" s="1">
        <v>0</v>
      </c>
      <c r="H289" s="1">
        <v>0.05</v>
      </c>
      <c r="I289" s="8">
        <v>44333</v>
      </c>
      <c r="J289" s="6">
        <v>751431</v>
      </c>
      <c r="K289" s="6">
        <v>159111</v>
      </c>
      <c r="L289" s="6">
        <v>33546.03</v>
      </c>
      <c r="M289" s="6">
        <v>7103.17</v>
      </c>
      <c r="N289" s="7">
        <v>8129.84</v>
      </c>
      <c r="O289" s="6">
        <v>-1275921.2999999998</v>
      </c>
      <c r="P289" s="6">
        <v>-115897.80000000002</v>
      </c>
      <c r="Q289" s="6">
        <v>-56960.77</v>
      </c>
      <c r="R289" s="6">
        <v>-5174.01</v>
      </c>
      <c r="S289" s="7">
        <v>0</v>
      </c>
      <c r="T289" s="11">
        <v>-14958.43</v>
      </c>
      <c r="U289" s="6">
        <v>-13355.740000000005</v>
      </c>
      <c r="V289" s="6">
        <v>0</v>
      </c>
      <c r="W289" s="6">
        <v>-2406.3900000000003</v>
      </c>
      <c r="X289" s="46">
        <v>45815</v>
      </c>
      <c r="Y289" s="1">
        <v>25016238</v>
      </c>
      <c r="Z289" s="1">
        <v>25016239</v>
      </c>
      <c r="AI289" s="2">
        <v>751431</v>
      </c>
      <c r="AJ289" s="2">
        <v>159111</v>
      </c>
      <c r="AK289" s="2">
        <v>33546.03</v>
      </c>
      <c r="AL289" s="2">
        <v>7103.17</v>
      </c>
      <c r="AM289" s="5">
        <v>8129.84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54632.52</v>
      </c>
      <c r="AT289" s="12">
        <v>48779.039999999994</v>
      </c>
      <c r="AU289" s="2">
        <v>0</v>
      </c>
      <c r="AV289" s="5">
        <v>4552.71</v>
      </c>
      <c r="AX289" s="2">
        <v>0</v>
      </c>
      <c r="AY289" s="2">
        <v>0</v>
      </c>
      <c r="AZ289" s="2">
        <v>0</v>
      </c>
      <c r="BA289" s="2">
        <v>0</v>
      </c>
      <c r="BB289" s="5">
        <v>0</v>
      </c>
      <c r="BC289" s="12">
        <v>1275921.2999999998</v>
      </c>
      <c r="BD289" s="2">
        <v>115897.80000000002</v>
      </c>
      <c r="BE289" s="2">
        <v>56960.77</v>
      </c>
      <c r="BF289" s="2">
        <v>5174.01</v>
      </c>
      <c r="BG289" s="5">
        <v>0</v>
      </c>
      <c r="BH289" s="2">
        <v>69590.95</v>
      </c>
      <c r="BI289" s="12">
        <v>62134.78</v>
      </c>
      <c r="BJ289" s="2">
        <v>0</v>
      </c>
      <c r="BK289" s="5">
        <v>6959.1</v>
      </c>
      <c r="BL289" s="1" t="s">
        <v>436</v>
      </c>
    </row>
    <row r="290" spans="1:64" x14ac:dyDescent="0.3">
      <c r="A290" t="s">
        <v>960</v>
      </c>
      <c r="B290" s="1" t="s">
        <v>960</v>
      </c>
      <c r="C290" s="9" t="s">
        <v>961</v>
      </c>
      <c r="D290" s="1" t="s">
        <v>95</v>
      </c>
      <c r="E290" s="1" t="s">
        <v>135</v>
      </c>
      <c r="F290" s="10" t="s">
        <v>485</v>
      </c>
      <c r="G290" s="1">
        <v>0</v>
      </c>
      <c r="H290" s="1">
        <v>0.05</v>
      </c>
      <c r="I290" s="8">
        <v>44166</v>
      </c>
      <c r="J290" s="6">
        <v>568251.5</v>
      </c>
      <c r="K290" s="6">
        <v>66096</v>
      </c>
      <c r="L290" s="6">
        <v>25368.38</v>
      </c>
      <c r="M290" s="6">
        <v>2950.71</v>
      </c>
      <c r="N290" s="7">
        <v>5663.82</v>
      </c>
      <c r="O290" s="6">
        <v>-675149.39999999991</v>
      </c>
      <c r="P290" s="6">
        <v>-15519.300000000001</v>
      </c>
      <c r="Q290" s="6">
        <v>-30140.6</v>
      </c>
      <c r="R290" s="6">
        <v>-692.83</v>
      </c>
      <c r="S290" s="7">
        <v>0</v>
      </c>
      <c r="T290" s="11">
        <v>3527.42</v>
      </c>
      <c r="U290" s="6">
        <v>3149.4800000000032</v>
      </c>
      <c r="V290" s="6">
        <v>0</v>
      </c>
      <c r="W290" s="6">
        <v>-281.60000000000036</v>
      </c>
      <c r="X290" s="46">
        <v>45815</v>
      </c>
      <c r="Y290" s="1">
        <v>25112181</v>
      </c>
      <c r="Z290" s="1">
        <v>25112182</v>
      </c>
      <c r="AI290" s="2">
        <v>568251.5</v>
      </c>
      <c r="AJ290" s="2">
        <v>66096</v>
      </c>
      <c r="AK290" s="2">
        <v>25368.38</v>
      </c>
      <c r="AL290" s="2">
        <v>2950.71</v>
      </c>
      <c r="AM290" s="5">
        <v>5663.82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38060.86</v>
      </c>
      <c r="AT290" s="12">
        <v>33982.910000000003</v>
      </c>
      <c r="AU290" s="2">
        <v>0</v>
      </c>
      <c r="AV290" s="5">
        <v>3171.74</v>
      </c>
      <c r="AX290" s="2">
        <v>0</v>
      </c>
      <c r="AY290" s="2">
        <v>0</v>
      </c>
      <c r="AZ290" s="2">
        <v>0</v>
      </c>
      <c r="BA290" s="2">
        <v>0</v>
      </c>
      <c r="BB290" s="5">
        <v>0</v>
      </c>
      <c r="BC290" s="12">
        <v>675149.39999999991</v>
      </c>
      <c r="BD290" s="2">
        <v>15519.300000000001</v>
      </c>
      <c r="BE290" s="2">
        <v>30140.6</v>
      </c>
      <c r="BF290" s="2">
        <v>692.83</v>
      </c>
      <c r="BG290" s="5">
        <v>0</v>
      </c>
      <c r="BH290" s="2">
        <v>34533.440000000002</v>
      </c>
      <c r="BI290" s="12">
        <v>30833.43</v>
      </c>
      <c r="BJ290" s="2">
        <v>0</v>
      </c>
      <c r="BK290" s="5">
        <v>3453.34</v>
      </c>
      <c r="BL290" s="1" t="s">
        <v>302</v>
      </c>
    </row>
    <row r="291" spans="1:64" x14ac:dyDescent="0.3">
      <c r="A291" t="s">
        <v>964</v>
      </c>
      <c r="B291" s="1" t="s">
        <v>964</v>
      </c>
      <c r="C291" s="9" t="s">
        <v>965</v>
      </c>
      <c r="D291" s="1" t="s">
        <v>95</v>
      </c>
      <c r="E291" s="1" t="s">
        <v>88</v>
      </c>
      <c r="F291" s="10" t="s">
        <v>117</v>
      </c>
      <c r="G291" s="1">
        <v>0</v>
      </c>
      <c r="H291" s="1">
        <v>0</v>
      </c>
      <c r="I291" s="8">
        <v>45516</v>
      </c>
      <c r="J291" s="6">
        <v>0</v>
      </c>
      <c r="K291" s="6">
        <v>0</v>
      </c>
      <c r="L291" s="6">
        <v>0</v>
      </c>
      <c r="M291" s="6">
        <v>0</v>
      </c>
      <c r="N291" s="7">
        <v>7518.46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8420.68</v>
      </c>
      <c r="U291" s="6">
        <v>7518.46</v>
      </c>
      <c r="V291" s="6">
        <v>0</v>
      </c>
      <c r="W291" s="6">
        <v>0</v>
      </c>
      <c r="X291" s="46">
        <v>45815</v>
      </c>
      <c r="Y291" s="1">
        <v>25112183</v>
      </c>
      <c r="Z291" s="1">
        <v>25112184</v>
      </c>
      <c r="AI291" s="2">
        <v>698364.8</v>
      </c>
      <c r="AJ291" s="2">
        <v>143702</v>
      </c>
      <c r="AK291" s="2">
        <v>0</v>
      </c>
      <c r="AL291" s="2">
        <v>0</v>
      </c>
      <c r="AM291" s="5">
        <v>7518.46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8420.68</v>
      </c>
      <c r="AT291" s="12">
        <v>7518.46</v>
      </c>
      <c r="AU291" s="2">
        <v>0</v>
      </c>
      <c r="AV291" s="5">
        <v>4210.33</v>
      </c>
      <c r="AX291" s="2">
        <v>698364.8</v>
      </c>
      <c r="AY291" s="2">
        <v>143702</v>
      </c>
      <c r="AZ291" s="2">
        <v>0</v>
      </c>
      <c r="BA291" s="2">
        <v>0</v>
      </c>
      <c r="BB291" s="5">
        <v>0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0</v>
      </c>
      <c r="BI291" s="12">
        <v>0</v>
      </c>
      <c r="BJ291" s="2">
        <v>0</v>
      </c>
      <c r="BK291" s="5">
        <v>4210.33</v>
      </c>
      <c r="BL291" s="1" t="s">
        <v>90</v>
      </c>
    </row>
    <row r="292" spans="1:64" x14ac:dyDescent="0.3">
      <c r="A292" t="s">
        <v>970</v>
      </c>
      <c r="B292" s="1" t="s">
        <v>970</v>
      </c>
      <c r="C292" s="9" t="s">
        <v>971</v>
      </c>
      <c r="D292" s="1" t="s">
        <v>95</v>
      </c>
      <c r="E292" s="1" t="s">
        <v>135</v>
      </c>
      <c r="F292" s="10" t="s">
        <v>435</v>
      </c>
      <c r="G292" s="1">
        <v>0</v>
      </c>
      <c r="H292" s="1">
        <v>0.05</v>
      </c>
      <c r="I292" s="8">
        <v>44051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287307</v>
      </c>
      <c r="AJ292" s="2">
        <v>44360</v>
      </c>
      <c r="AK292" s="2">
        <v>12826.21</v>
      </c>
      <c r="AL292" s="2">
        <v>1980.36</v>
      </c>
      <c r="AM292" s="5">
        <v>2961.31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19900.03</v>
      </c>
      <c r="AT292" s="12">
        <v>17767.88</v>
      </c>
      <c r="AU292" s="2">
        <v>0</v>
      </c>
      <c r="AV292" s="5">
        <v>1658.34</v>
      </c>
      <c r="AX292" s="2">
        <v>287307</v>
      </c>
      <c r="AY292" s="2">
        <v>44360</v>
      </c>
      <c r="AZ292" s="2">
        <v>12826.21</v>
      </c>
      <c r="BA292" s="2">
        <v>1980.36</v>
      </c>
      <c r="BB292" s="5">
        <v>2961.31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19900.03</v>
      </c>
      <c r="BI292" s="12">
        <v>17767.88</v>
      </c>
      <c r="BJ292" s="2">
        <v>0</v>
      </c>
      <c r="BK292" s="5">
        <v>1658.34</v>
      </c>
      <c r="BL292" s="1" t="s">
        <v>137</v>
      </c>
    </row>
    <row r="293" spans="1:64" x14ac:dyDescent="0.3">
      <c r="A293" t="s">
        <v>974</v>
      </c>
      <c r="B293" s="1" t="s">
        <v>974</v>
      </c>
      <c r="C293" s="9" t="s">
        <v>975</v>
      </c>
      <c r="D293" s="1" t="s">
        <v>95</v>
      </c>
      <c r="E293" s="1" t="s">
        <v>135</v>
      </c>
      <c r="F293" s="10" t="s">
        <v>193</v>
      </c>
      <c r="G293" s="1">
        <v>0</v>
      </c>
      <c r="H293" s="1">
        <v>0.05</v>
      </c>
      <c r="I293" s="8">
        <v>44330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382004.25</v>
      </c>
      <c r="AJ293" s="2">
        <v>138722</v>
      </c>
      <c r="AK293" s="2">
        <v>17053.759999999998</v>
      </c>
      <c r="AL293" s="2">
        <v>6192.95</v>
      </c>
      <c r="AM293" s="5">
        <v>4649.34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31243.58</v>
      </c>
      <c r="AT293" s="12">
        <v>27896.05</v>
      </c>
      <c r="AU293" s="2">
        <v>0</v>
      </c>
      <c r="AV293" s="5">
        <v>2603.63</v>
      </c>
      <c r="AX293" s="2">
        <v>382004.25</v>
      </c>
      <c r="AY293" s="2">
        <v>138722</v>
      </c>
      <c r="AZ293" s="2">
        <v>17053.759999999998</v>
      </c>
      <c r="BA293" s="2">
        <v>6192.95</v>
      </c>
      <c r="BB293" s="5">
        <v>4649.34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31243.58</v>
      </c>
      <c r="BI293" s="12">
        <v>27896.05</v>
      </c>
      <c r="BJ293" s="2">
        <v>0</v>
      </c>
      <c r="BK293" s="5">
        <v>2603.63</v>
      </c>
      <c r="BL293" s="1" t="s">
        <v>137</v>
      </c>
    </row>
    <row r="294" spans="1:64" x14ac:dyDescent="0.3">
      <c r="A294" t="s">
        <v>976</v>
      </c>
      <c r="B294" s="1" t="s">
        <v>976</v>
      </c>
      <c r="C294" s="9" t="s">
        <v>977</v>
      </c>
      <c r="D294" s="1" t="s">
        <v>95</v>
      </c>
      <c r="E294" s="1" t="s">
        <v>135</v>
      </c>
      <c r="F294" s="10" t="s">
        <v>193</v>
      </c>
      <c r="G294" s="1">
        <v>0</v>
      </c>
      <c r="H294" s="1">
        <v>0.05</v>
      </c>
      <c r="I294" s="8">
        <v>44441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905522</v>
      </c>
      <c r="AJ294" s="2">
        <v>149212</v>
      </c>
      <c r="AK294" s="2">
        <v>40425.089999999997</v>
      </c>
      <c r="AL294" s="2">
        <v>6661.25</v>
      </c>
      <c r="AM294" s="5">
        <v>9417.27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63284.04</v>
      </c>
      <c r="AT294" s="12">
        <v>56503.61</v>
      </c>
      <c r="AU294" s="2">
        <v>0</v>
      </c>
      <c r="AV294" s="5">
        <v>5273.67</v>
      </c>
      <c r="AX294" s="2">
        <v>905522</v>
      </c>
      <c r="AY294" s="2">
        <v>149212</v>
      </c>
      <c r="AZ294" s="2">
        <v>40425.089999999997</v>
      </c>
      <c r="BA294" s="2">
        <v>6661.25</v>
      </c>
      <c r="BB294" s="5">
        <v>9417.27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63284.04</v>
      </c>
      <c r="BI294" s="12">
        <v>56503.61</v>
      </c>
      <c r="BJ294" s="2">
        <v>0</v>
      </c>
      <c r="BK294" s="5">
        <v>5273.67</v>
      </c>
      <c r="BL294" s="1" t="s">
        <v>436</v>
      </c>
    </row>
    <row r="295" spans="1:64" x14ac:dyDescent="0.3">
      <c r="A295" t="s">
        <v>978</v>
      </c>
      <c r="B295" s="1" t="s">
        <v>978</v>
      </c>
      <c r="C295" s="9" t="s">
        <v>979</v>
      </c>
      <c r="D295" s="1" t="s">
        <v>95</v>
      </c>
      <c r="E295" s="1" t="s">
        <v>135</v>
      </c>
      <c r="F295" s="10" t="s">
        <v>193</v>
      </c>
      <c r="G295" s="1">
        <v>0</v>
      </c>
      <c r="H295" s="1">
        <v>0.05</v>
      </c>
      <c r="I295" s="8">
        <v>44239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532861</v>
      </c>
      <c r="AJ295" s="2">
        <v>46901</v>
      </c>
      <c r="AK295" s="2">
        <v>23788.44</v>
      </c>
      <c r="AL295" s="2">
        <v>2093.79</v>
      </c>
      <c r="AM295" s="5">
        <v>5176.45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34785.72</v>
      </c>
      <c r="AT295" s="12">
        <v>31058.68</v>
      </c>
      <c r="AU295" s="2">
        <v>0</v>
      </c>
      <c r="AV295" s="5">
        <v>2898.81</v>
      </c>
      <c r="AX295" s="2">
        <v>532861</v>
      </c>
      <c r="AY295" s="2">
        <v>46901</v>
      </c>
      <c r="AZ295" s="2">
        <v>23788.44</v>
      </c>
      <c r="BA295" s="2">
        <v>2093.79</v>
      </c>
      <c r="BB295" s="5">
        <v>5176.45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34785.72</v>
      </c>
      <c r="BI295" s="12">
        <v>31058.68</v>
      </c>
      <c r="BJ295" s="2">
        <v>0</v>
      </c>
      <c r="BK295" s="5">
        <v>2898.81</v>
      </c>
      <c r="BL295" s="1" t="s">
        <v>137</v>
      </c>
    </row>
    <row r="296" spans="1:64" x14ac:dyDescent="0.3">
      <c r="A296" t="s">
        <v>980</v>
      </c>
      <c r="B296" s="1" t="s">
        <v>980</v>
      </c>
      <c r="C296" s="9" t="s">
        <v>981</v>
      </c>
      <c r="D296" s="1" t="s">
        <v>95</v>
      </c>
      <c r="E296" s="1" t="s">
        <v>135</v>
      </c>
      <c r="F296" s="10" t="s">
        <v>435</v>
      </c>
      <c r="G296" s="1">
        <v>0</v>
      </c>
      <c r="H296" s="1">
        <v>0.05</v>
      </c>
      <c r="I296" s="8">
        <v>44092</v>
      </c>
      <c r="J296" s="6">
        <v>950284</v>
      </c>
      <c r="K296" s="6">
        <v>128631</v>
      </c>
      <c r="L296" s="6">
        <v>42423.39</v>
      </c>
      <c r="M296" s="6">
        <v>5742.46</v>
      </c>
      <c r="N296" s="7">
        <v>9633.17</v>
      </c>
      <c r="O296" s="6">
        <v>-372466.2</v>
      </c>
      <c r="P296" s="6">
        <v>-38146.799999999996</v>
      </c>
      <c r="Q296" s="6">
        <v>-16627.96</v>
      </c>
      <c r="R296" s="6">
        <v>-1702.98</v>
      </c>
      <c r="S296" s="7">
        <v>0</v>
      </c>
      <c r="T296" s="11">
        <v>44204.25</v>
      </c>
      <c r="U296" s="6">
        <v>39468.080000000002</v>
      </c>
      <c r="V296" s="6">
        <v>0</v>
      </c>
      <c r="W296" s="6">
        <v>3341.52</v>
      </c>
      <c r="X296" s="46">
        <v>45815</v>
      </c>
      <c r="Y296" s="1">
        <v>25112185</v>
      </c>
      <c r="Z296" s="1">
        <v>25112186</v>
      </c>
      <c r="AI296" s="2">
        <v>950284</v>
      </c>
      <c r="AJ296" s="2">
        <v>128631</v>
      </c>
      <c r="AK296" s="2">
        <v>42423.39</v>
      </c>
      <c r="AL296" s="2">
        <v>5742.46</v>
      </c>
      <c r="AM296" s="5">
        <v>9633.17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64734.9</v>
      </c>
      <c r="AT296" s="12">
        <v>57799.02</v>
      </c>
      <c r="AU296" s="2">
        <v>0</v>
      </c>
      <c r="AV296" s="5">
        <v>5394.58</v>
      </c>
      <c r="AX296" s="2">
        <v>0</v>
      </c>
      <c r="AY296" s="2">
        <v>0</v>
      </c>
      <c r="AZ296" s="2">
        <v>0</v>
      </c>
      <c r="BA296" s="2">
        <v>0</v>
      </c>
      <c r="BB296" s="5">
        <v>0</v>
      </c>
      <c r="BC296" s="12">
        <v>372466.2</v>
      </c>
      <c r="BD296" s="2">
        <v>38146.799999999996</v>
      </c>
      <c r="BE296" s="2">
        <v>16627.96</v>
      </c>
      <c r="BF296" s="2">
        <v>1702.98</v>
      </c>
      <c r="BG296" s="5">
        <v>0</v>
      </c>
      <c r="BH296" s="2">
        <v>20530.650000000001</v>
      </c>
      <c r="BI296" s="12">
        <v>18330.939999999999</v>
      </c>
      <c r="BJ296" s="2">
        <v>0</v>
      </c>
      <c r="BK296" s="5">
        <v>2053.06</v>
      </c>
      <c r="BL296" s="1" t="s">
        <v>137</v>
      </c>
    </row>
    <row r="297" spans="1:64" x14ac:dyDescent="0.3">
      <c r="A297" t="s">
        <v>982</v>
      </c>
      <c r="B297" s="1" t="s">
        <v>982</v>
      </c>
      <c r="C297" s="9" t="s">
        <v>983</v>
      </c>
      <c r="D297" s="1" t="s">
        <v>95</v>
      </c>
      <c r="E297" s="1" t="s">
        <v>135</v>
      </c>
      <c r="F297" s="10" t="s">
        <v>435</v>
      </c>
      <c r="G297" s="1">
        <v>0</v>
      </c>
      <c r="H297" s="1">
        <v>0.05</v>
      </c>
      <c r="I297" s="8">
        <v>44170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502865</v>
      </c>
      <c r="AJ297" s="2">
        <v>130085</v>
      </c>
      <c r="AK297" s="2">
        <v>22449.33</v>
      </c>
      <c r="AL297" s="2">
        <v>5807.37</v>
      </c>
      <c r="AM297" s="5">
        <v>5651.34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37977</v>
      </c>
      <c r="AT297" s="12">
        <v>33908.04</v>
      </c>
      <c r="AU297" s="2">
        <v>0</v>
      </c>
      <c r="AV297" s="5">
        <v>3164.75</v>
      </c>
      <c r="AX297" s="2">
        <v>502865</v>
      </c>
      <c r="AY297" s="2">
        <v>130085</v>
      </c>
      <c r="AZ297" s="2">
        <v>22449.33</v>
      </c>
      <c r="BA297" s="2">
        <v>5807.37</v>
      </c>
      <c r="BB297" s="5">
        <v>5651.34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37977</v>
      </c>
      <c r="BI297" s="12">
        <v>33908.04</v>
      </c>
      <c r="BJ297" s="2">
        <v>0</v>
      </c>
      <c r="BK297" s="5">
        <v>3164.75</v>
      </c>
      <c r="BL297" s="1" t="s">
        <v>302</v>
      </c>
    </row>
    <row r="298" spans="1:64" x14ac:dyDescent="0.3">
      <c r="A298" t="s">
        <v>986</v>
      </c>
      <c r="B298" s="1" t="s">
        <v>986</v>
      </c>
      <c r="C298" s="9" t="s">
        <v>987</v>
      </c>
      <c r="D298" s="1" t="s">
        <v>95</v>
      </c>
      <c r="E298" s="1" t="s">
        <v>128</v>
      </c>
      <c r="F298" s="10" t="s">
        <v>988</v>
      </c>
      <c r="G298" s="1">
        <v>0</v>
      </c>
      <c r="H298" s="1">
        <v>0.05</v>
      </c>
      <c r="I298" s="8">
        <v>44204</v>
      </c>
      <c r="J298" s="6">
        <v>374883</v>
      </c>
      <c r="K298" s="6">
        <v>17330</v>
      </c>
      <c r="L298" s="6">
        <v>16735.849999999999</v>
      </c>
      <c r="M298" s="6">
        <v>773.66</v>
      </c>
      <c r="N298" s="7">
        <v>3501.9</v>
      </c>
      <c r="O298" s="6">
        <v>-303675.60000000003</v>
      </c>
      <c r="P298" s="6">
        <v>-34714.5</v>
      </c>
      <c r="Q298" s="6">
        <v>-13556.95</v>
      </c>
      <c r="R298" s="6">
        <v>-1549.75</v>
      </c>
      <c r="S298" s="7">
        <v>0</v>
      </c>
      <c r="T298" s="11">
        <v>6613.28</v>
      </c>
      <c r="U298" s="6">
        <v>5904.7099999999991</v>
      </c>
      <c r="V298" s="6">
        <v>0</v>
      </c>
      <c r="W298" s="6">
        <v>269.1099999999999</v>
      </c>
      <c r="X298" s="46">
        <v>45815</v>
      </c>
      <c r="Y298" s="1">
        <v>25112187</v>
      </c>
      <c r="Z298" s="1">
        <v>25112188</v>
      </c>
      <c r="AI298" s="2">
        <v>374883</v>
      </c>
      <c r="AJ298" s="2">
        <v>17330</v>
      </c>
      <c r="AK298" s="2">
        <v>16735.849999999999</v>
      </c>
      <c r="AL298" s="2">
        <v>773.66</v>
      </c>
      <c r="AM298" s="5">
        <v>3501.9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23532.78</v>
      </c>
      <c r="AT298" s="12">
        <v>21011.41</v>
      </c>
      <c r="AU298" s="2">
        <v>0</v>
      </c>
      <c r="AV298" s="5">
        <v>1961.06</v>
      </c>
      <c r="AX298" s="2">
        <v>0</v>
      </c>
      <c r="AY298" s="2">
        <v>0</v>
      </c>
      <c r="AZ298" s="2">
        <v>0</v>
      </c>
      <c r="BA298" s="2">
        <v>0</v>
      </c>
      <c r="BB298" s="5">
        <v>0</v>
      </c>
      <c r="BC298" s="12">
        <v>303675.60000000003</v>
      </c>
      <c r="BD298" s="2">
        <v>34714.5</v>
      </c>
      <c r="BE298" s="2">
        <v>13556.95</v>
      </c>
      <c r="BF298" s="2">
        <v>1549.75</v>
      </c>
      <c r="BG298" s="5">
        <v>0</v>
      </c>
      <c r="BH298" s="2">
        <v>16919.5</v>
      </c>
      <c r="BI298" s="12">
        <v>15106.7</v>
      </c>
      <c r="BJ298" s="2">
        <v>0</v>
      </c>
      <c r="BK298" s="5">
        <v>1691.95</v>
      </c>
      <c r="BL298" s="1" t="s">
        <v>130</v>
      </c>
    </row>
    <row r="299" spans="1:64" x14ac:dyDescent="0.3">
      <c r="A299" t="s">
        <v>989</v>
      </c>
      <c r="B299" s="1" t="s">
        <v>989</v>
      </c>
      <c r="C299" s="9" t="s">
        <v>990</v>
      </c>
      <c r="D299" s="1" t="s">
        <v>95</v>
      </c>
      <c r="E299" s="1" t="s">
        <v>128</v>
      </c>
      <c r="F299" s="10" t="s">
        <v>129</v>
      </c>
      <c r="G299" s="1">
        <v>0</v>
      </c>
      <c r="H299" s="1">
        <v>0.05</v>
      </c>
      <c r="I299" s="8">
        <v>44482</v>
      </c>
      <c r="J299" s="6">
        <v>561995</v>
      </c>
      <c r="K299" s="6">
        <v>41535</v>
      </c>
      <c r="L299" s="6">
        <v>25089.06</v>
      </c>
      <c r="M299" s="6">
        <v>1854.24</v>
      </c>
      <c r="N299" s="7">
        <v>5388.66</v>
      </c>
      <c r="O299" s="6">
        <v>-705836.99999999988</v>
      </c>
      <c r="P299" s="6">
        <v>-61547.399999999994</v>
      </c>
      <c r="Q299" s="6">
        <v>-31510.58</v>
      </c>
      <c r="R299" s="6">
        <v>-2747.65</v>
      </c>
      <c r="S299" s="7">
        <v>0</v>
      </c>
      <c r="T299" s="11">
        <v>-2157.42</v>
      </c>
      <c r="U299" s="6">
        <v>-1926.2700000000004</v>
      </c>
      <c r="V299" s="6">
        <v>0</v>
      </c>
      <c r="W299" s="6">
        <v>-819.27</v>
      </c>
      <c r="X299" s="46">
        <v>45815</v>
      </c>
      <c r="Y299" s="1">
        <v>25016240</v>
      </c>
      <c r="Z299" s="1">
        <v>25016241</v>
      </c>
      <c r="AI299" s="2">
        <v>561995</v>
      </c>
      <c r="AJ299" s="2">
        <v>41535</v>
      </c>
      <c r="AK299" s="2">
        <v>25089.06</v>
      </c>
      <c r="AL299" s="2">
        <v>1854.24</v>
      </c>
      <c r="AM299" s="5">
        <v>5388.66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36211.800000000003</v>
      </c>
      <c r="AT299" s="12">
        <v>32331.960000000003</v>
      </c>
      <c r="AU299" s="2">
        <v>0</v>
      </c>
      <c r="AV299" s="5">
        <v>3017.65</v>
      </c>
      <c r="AX299" s="2">
        <v>0</v>
      </c>
      <c r="AY299" s="2">
        <v>0</v>
      </c>
      <c r="AZ299" s="2">
        <v>0</v>
      </c>
      <c r="BA299" s="2">
        <v>0</v>
      </c>
      <c r="BB299" s="5">
        <v>0</v>
      </c>
      <c r="BC299" s="12">
        <v>705836.99999999988</v>
      </c>
      <c r="BD299" s="2">
        <v>61547.399999999994</v>
      </c>
      <c r="BE299" s="2">
        <v>31510.58</v>
      </c>
      <c r="BF299" s="2">
        <v>2747.65</v>
      </c>
      <c r="BG299" s="5">
        <v>0</v>
      </c>
      <c r="BH299" s="2">
        <v>38369.22</v>
      </c>
      <c r="BI299" s="12">
        <v>34258.230000000003</v>
      </c>
      <c r="BJ299" s="2">
        <v>0</v>
      </c>
      <c r="BK299" s="5">
        <v>3836.92</v>
      </c>
      <c r="BL299" s="1" t="s">
        <v>130</v>
      </c>
    </row>
    <row r="300" spans="1:64" x14ac:dyDescent="0.3">
      <c r="A300" t="s">
        <v>991</v>
      </c>
      <c r="B300" s="1" t="s">
        <v>991</v>
      </c>
      <c r="C300" s="9" t="s">
        <v>992</v>
      </c>
      <c r="D300" s="1" t="s">
        <v>95</v>
      </c>
      <c r="E300" s="1" t="s">
        <v>128</v>
      </c>
      <c r="F300" s="10" t="s">
        <v>355</v>
      </c>
      <c r="G300" s="1">
        <v>0</v>
      </c>
      <c r="H300" s="1">
        <v>0.05</v>
      </c>
      <c r="I300" s="8">
        <v>44326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637701</v>
      </c>
      <c r="AJ300" s="2">
        <v>66958</v>
      </c>
      <c r="AK300" s="2">
        <v>28468.789999999997</v>
      </c>
      <c r="AL300" s="2">
        <v>2989.2000000000003</v>
      </c>
      <c r="AM300" s="5">
        <v>6291.6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42279.54</v>
      </c>
      <c r="AT300" s="12">
        <v>37749.589999999997</v>
      </c>
      <c r="AU300" s="2">
        <v>0</v>
      </c>
      <c r="AV300" s="5">
        <v>3523.29</v>
      </c>
      <c r="AX300" s="2">
        <v>637701</v>
      </c>
      <c r="AY300" s="2">
        <v>66958</v>
      </c>
      <c r="AZ300" s="2">
        <v>28468.789999999997</v>
      </c>
      <c r="BA300" s="2">
        <v>2989.2000000000003</v>
      </c>
      <c r="BB300" s="5">
        <v>6291.6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42279.54</v>
      </c>
      <c r="BI300" s="12">
        <v>37749.589999999997</v>
      </c>
      <c r="BJ300" s="2">
        <v>0</v>
      </c>
      <c r="BK300" s="5">
        <v>3523.29</v>
      </c>
      <c r="BL300" s="1" t="s">
        <v>130</v>
      </c>
    </row>
    <row r="301" spans="1:64" x14ac:dyDescent="0.3">
      <c r="A301" t="s">
        <v>1005</v>
      </c>
      <c r="B301" s="1" t="s">
        <v>1005</v>
      </c>
      <c r="C301" s="9" t="s">
        <v>1006</v>
      </c>
      <c r="D301" s="1" t="s">
        <v>95</v>
      </c>
      <c r="E301" s="1" t="s">
        <v>135</v>
      </c>
      <c r="F301" s="10" t="s">
        <v>435</v>
      </c>
      <c r="G301" s="1">
        <v>0</v>
      </c>
      <c r="H301" s="1">
        <v>0.05</v>
      </c>
      <c r="I301" s="8">
        <v>44354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327238</v>
      </c>
      <c r="AJ301" s="2">
        <v>86955</v>
      </c>
      <c r="AK301" s="2">
        <v>14608.84</v>
      </c>
      <c r="AL301" s="2">
        <v>3881.92</v>
      </c>
      <c r="AM301" s="5">
        <v>3698.15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24851.58</v>
      </c>
      <c r="AT301" s="12">
        <v>22188.910000000003</v>
      </c>
      <c r="AU301" s="2">
        <v>0</v>
      </c>
      <c r="AV301" s="5">
        <v>2070.96</v>
      </c>
      <c r="AX301" s="2">
        <v>327238</v>
      </c>
      <c r="AY301" s="2">
        <v>86955</v>
      </c>
      <c r="AZ301" s="2">
        <v>14608.84</v>
      </c>
      <c r="BA301" s="2">
        <v>3881.92</v>
      </c>
      <c r="BB301" s="5">
        <v>3698.15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24851.58</v>
      </c>
      <c r="BI301" s="12">
        <v>22188.910000000003</v>
      </c>
      <c r="BJ301" s="2">
        <v>0</v>
      </c>
      <c r="BK301" s="5">
        <v>2070.96</v>
      </c>
      <c r="BL301" s="1" t="s">
        <v>137</v>
      </c>
    </row>
    <row r="302" spans="1:64" x14ac:dyDescent="0.3">
      <c r="A302" t="s">
        <v>1007</v>
      </c>
      <c r="B302" s="1" t="s">
        <v>1007</v>
      </c>
      <c r="C302" s="9" t="s">
        <v>1008</v>
      </c>
      <c r="D302" s="1" t="s">
        <v>95</v>
      </c>
      <c r="E302" s="1" t="s">
        <v>135</v>
      </c>
      <c r="F302" s="10" t="s">
        <v>435</v>
      </c>
      <c r="G302" s="1">
        <v>0</v>
      </c>
      <c r="H302" s="1">
        <v>0.05</v>
      </c>
      <c r="I302" s="8">
        <v>44361</v>
      </c>
      <c r="J302" s="6">
        <v>340951</v>
      </c>
      <c r="K302" s="6">
        <v>106371</v>
      </c>
      <c r="L302" s="6">
        <v>15221.03</v>
      </c>
      <c r="M302" s="6">
        <v>4748.71</v>
      </c>
      <c r="N302" s="7">
        <v>3993.95</v>
      </c>
      <c r="O302" s="6">
        <v>-453136.8</v>
      </c>
      <c r="P302" s="6">
        <v>-33670.800000000003</v>
      </c>
      <c r="Q302" s="6">
        <v>-20229.32</v>
      </c>
      <c r="R302" s="6">
        <v>-1503.16</v>
      </c>
      <c r="S302" s="7">
        <v>0</v>
      </c>
      <c r="T302" s="11">
        <v>2498.96</v>
      </c>
      <c r="U302" s="6">
        <v>2231.2100000000028</v>
      </c>
      <c r="V302" s="6">
        <v>0</v>
      </c>
      <c r="W302" s="6">
        <v>-197.42999999999984</v>
      </c>
      <c r="X302" s="46">
        <v>45815</v>
      </c>
      <c r="Y302" s="1">
        <v>25112189</v>
      </c>
      <c r="Z302" s="1">
        <v>25112190</v>
      </c>
      <c r="AI302" s="2">
        <v>340951</v>
      </c>
      <c r="AJ302" s="2">
        <v>106371</v>
      </c>
      <c r="AK302" s="2">
        <v>15221.03</v>
      </c>
      <c r="AL302" s="2">
        <v>4748.71</v>
      </c>
      <c r="AM302" s="5">
        <v>3993.95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26839.33</v>
      </c>
      <c r="AT302" s="12">
        <v>23963.690000000002</v>
      </c>
      <c r="AU302" s="2">
        <v>0</v>
      </c>
      <c r="AV302" s="5">
        <v>2236.61</v>
      </c>
      <c r="AX302" s="2">
        <v>0</v>
      </c>
      <c r="AY302" s="2">
        <v>0</v>
      </c>
      <c r="AZ302" s="2">
        <v>0</v>
      </c>
      <c r="BA302" s="2">
        <v>0</v>
      </c>
      <c r="BB302" s="5">
        <v>0</v>
      </c>
      <c r="BC302" s="12">
        <v>453136.8</v>
      </c>
      <c r="BD302" s="2">
        <v>33670.800000000003</v>
      </c>
      <c r="BE302" s="2">
        <v>20229.32</v>
      </c>
      <c r="BF302" s="2">
        <v>1503.16</v>
      </c>
      <c r="BG302" s="5">
        <v>0</v>
      </c>
      <c r="BH302" s="2">
        <v>24340.38</v>
      </c>
      <c r="BI302" s="12">
        <v>21732.48</v>
      </c>
      <c r="BJ302" s="2">
        <v>0</v>
      </c>
      <c r="BK302" s="5">
        <v>2434.04</v>
      </c>
      <c r="BL302" s="1" t="s">
        <v>137</v>
      </c>
    </row>
    <row r="303" spans="1:64" x14ac:dyDescent="0.3">
      <c r="A303" t="s">
        <v>1015</v>
      </c>
      <c r="B303" s="1" t="s">
        <v>1015</v>
      </c>
      <c r="C303" s="9" t="s">
        <v>1016</v>
      </c>
      <c r="D303" s="1" t="s">
        <v>95</v>
      </c>
      <c r="E303" s="1" t="s">
        <v>128</v>
      </c>
      <c r="F303" s="10" t="s">
        <v>147</v>
      </c>
      <c r="G303" s="1">
        <v>4.4999999999999998E-2</v>
      </c>
      <c r="H303" s="1">
        <v>0.05</v>
      </c>
      <c r="I303" s="8">
        <v>45559</v>
      </c>
      <c r="J303" s="6">
        <v>768341</v>
      </c>
      <c r="K303" s="6">
        <v>33360</v>
      </c>
      <c r="L303" s="6">
        <v>34300.94</v>
      </c>
      <c r="M303" s="6">
        <v>1489.28</v>
      </c>
      <c r="N303" s="7">
        <v>7158.0500000000011</v>
      </c>
      <c r="O303" s="6">
        <v>-555065.4</v>
      </c>
      <c r="P303" s="6">
        <v>-72449.7</v>
      </c>
      <c r="Q303" s="6">
        <v>-24779.7</v>
      </c>
      <c r="R303" s="6">
        <v>-3234.36</v>
      </c>
      <c r="S303" s="7">
        <v>-4332.05</v>
      </c>
      <c r="T303" s="11">
        <v>11874.42</v>
      </c>
      <c r="U303" s="6">
        <v>10602.16</v>
      </c>
      <c r="V303" s="6">
        <v>0</v>
      </c>
      <c r="W303" s="6">
        <v>870.93000000000006</v>
      </c>
      <c r="X303" s="46">
        <v>45815</v>
      </c>
      <c r="Y303" s="1">
        <v>25112191</v>
      </c>
      <c r="Z303" s="1">
        <v>25112192</v>
      </c>
      <c r="AI303" s="2">
        <v>768341</v>
      </c>
      <c r="AJ303" s="2">
        <v>33360</v>
      </c>
      <c r="AK303" s="2">
        <v>34300.94</v>
      </c>
      <c r="AL303" s="2">
        <v>1489.28</v>
      </c>
      <c r="AM303" s="5">
        <v>7158.0500000000011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48102.06</v>
      </c>
      <c r="AT303" s="12">
        <v>42948.270000000004</v>
      </c>
      <c r="AU303" s="2">
        <v>0</v>
      </c>
      <c r="AV303" s="5">
        <v>4008.51</v>
      </c>
      <c r="AX303" s="2">
        <v>0</v>
      </c>
      <c r="AY303" s="2">
        <v>0</v>
      </c>
      <c r="AZ303" s="2">
        <v>0</v>
      </c>
      <c r="BA303" s="2">
        <v>0</v>
      </c>
      <c r="BB303" s="5">
        <v>0</v>
      </c>
      <c r="BC303" s="12">
        <v>555065.4</v>
      </c>
      <c r="BD303" s="2">
        <v>72449.7</v>
      </c>
      <c r="BE303" s="2">
        <v>24779.7</v>
      </c>
      <c r="BF303" s="2">
        <v>3234.36</v>
      </c>
      <c r="BG303" s="5">
        <v>4332.05</v>
      </c>
      <c r="BH303" s="2">
        <v>36227.64</v>
      </c>
      <c r="BI303" s="12">
        <v>32346.11</v>
      </c>
      <c r="BJ303" s="2">
        <v>0</v>
      </c>
      <c r="BK303" s="5">
        <v>3137.58</v>
      </c>
      <c r="BL303" s="1" t="s">
        <v>130</v>
      </c>
    </row>
    <row r="304" spans="1:64" x14ac:dyDescent="0.3">
      <c r="A304" t="s">
        <v>1033</v>
      </c>
      <c r="B304" s="1" t="s">
        <v>1033</v>
      </c>
      <c r="C304" s="9" t="s">
        <v>1034</v>
      </c>
      <c r="D304" s="1" t="s">
        <v>95</v>
      </c>
      <c r="E304" s="1" t="s">
        <v>135</v>
      </c>
      <c r="F304" s="10" t="s">
        <v>435</v>
      </c>
      <c r="G304" s="1">
        <v>0</v>
      </c>
      <c r="H304" s="1">
        <v>0.05</v>
      </c>
      <c r="I304" s="8">
        <v>44497</v>
      </c>
      <c r="J304" s="6">
        <v>458704</v>
      </c>
      <c r="K304" s="6">
        <v>105901</v>
      </c>
      <c r="L304" s="6">
        <v>20477.86</v>
      </c>
      <c r="M304" s="6">
        <v>4727.72</v>
      </c>
      <c r="N304" s="7">
        <v>5041.12</v>
      </c>
      <c r="O304" s="6">
        <v>-487331.1</v>
      </c>
      <c r="P304" s="6">
        <v>-37772.69999999999</v>
      </c>
      <c r="Q304" s="6">
        <v>-21755.86</v>
      </c>
      <c r="R304" s="6">
        <v>-1686.28</v>
      </c>
      <c r="S304" s="7">
        <v>0</v>
      </c>
      <c r="T304" s="11">
        <v>7621.11</v>
      </c>
      <c r="U304" s="6">
        <v>6804.5600000000013</v>
      </c>
      <c r="V304" s="6">
        <v>0</v>
      </c>
      <c r="W304" s="6">
        <v>197.5</v>
      </c>
      <c r="X304" s="46">
        <v>45815</v>
      </c>
      <c r="Y304" s="1">
        <v>25112193</v>
      </c>
      <c r="Z304" s="1">
        <v>25112194</v>
      </c>
      <c r="AI304" s="2">
        <v>458704</v>
      </c>
      <c r="AJ304" s="2">
        <v>105901</v>
      </c>
      <c r="AK304" s="2">
        <v>20477.86</v>
      </c>
      <c r="AL304" s="2">
        <v>4727.72</v>
      </c>
      <c r="AM304" s="5">
        <v>5041.12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33876.300000000003</v>
      </c>
      <c r="AT304" s="12">
        <v>30246.7</v>
      </c>
      <c r="AU304" s="2">
        <v>0</v>
      </c>
      <c r="AV304" s="5">
        <v>2823.02</v>
      </c>
      <c r="AX304" s="2">
        <v>0</v>
      </c>
      <c r="AY304" s="2">
        <v>0</v>
      </c>
      <c r="AZ304" s="2">
        <v>0</v>
      </c>
      <c r="BA304" s="2">
        <v>0</v>
      </c>
      <c r="BB304" s="5">
        <v>0</v>
      </c>
      <c r="BC304" s="12">
        <v>487331.1</v>
      </c>
      <c r="BD304" s="2">
        <v>37772.69999999999</v>
      </c>
      <c r="BE304" s="2">
        <v>21755.86</v>
      </c>
      <c r="BF304" s="2">
        <v>1686.28</v>
      </c>
      <c r="BG304" s="5">
        <v>0</v>
      </c>
      <c r="BH304" s="2">
        <v>26255.200000000001</v>
      </c>
      <c r="BI304" s="12">
        <v>23442.14</v>
      </c>
      <c r="BJ304" s="2">
        <v>0</v>
      </c>
      <c r="BK304" s="5">
        <v>2625.52</v>
      </c>
      <c r="BL304" s="1" t="s">
        <v>137</v>
      </c>
    </row>
    <row r="305" spans="1:64" x14ac:dyDescent="0.3">
      <c r="A305" t="s">
        <v>1035</v>
      </c>
      <c r="B305" s="1" t="s">
        <v>1035</v>
      </c>
      <c r="C305" s="9" t="s">
        <v>1036</v>
      </c>
      <c r="D305" s="1" t="s">
        <v>95</v>
      </c>
      <c r="E305" s="1" t="s">
        <v>135</v>
      </c>
      <c r="F305" s="10" t="s">
        <v>435</v>
      </c>
      <c r="G305" s="1">
        <v>0</v>
      </c>
      <c r="H305" s="1">
        <v>0.05</v>
      </c>
      <c r="I305" s="8">
        <v>44540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334788</v>
      </c>
      <c r="AJ305" s="2">
        <v>50210</v>
      </c>
      <c r="AK305" s="2">
        <v>14945.89</v>
      </c>
      <c r="AL305" s="2">
        <v>2241.52</v>
      </c>
      <c r="AM305" s="5">
        <v>3437.48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23099.88</v>
      </c>
      <c r="AT305" s="12">
        <v>20624.89</v>
      </c>
      <c r="AU305" s="2">
        <v>0</v>
      </c>
      <c r="AV305" s="5">
        <v>1924.99</v>
      </c>
      <c r="AX305" s="2">
        <v>334788</v>
      </c>
      <c r="AY305" s="2">
        <v>50210</v>
      </c>
      <c r="AZ305" s="2">
        <v>14945.89</v>
      </c>
      <c r="BA305" s="2">
        <v>2241.52</v>
      </c>
      <c r="BB305" s="5">
        <v>3437.48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23099.88</v>
      </c>
      <c r="BI305" s="12">
        <v>20624.89</v>
      </c>
      <c r="BJ305" s="2">
        <v>0</v>
      </c>
      <c r="BK305" s="5">
        <v>1924.99</v>
      </c>
      <c r="BL305" s="1" t="s">
        <v>137</v>
      </c>
    </row>
    <row r="306" spans="1:64" x14ac:dyDescent="0.3">
      <c r="A306" t="s">
        <v>1037</v>
      </c>
      <c r="B306" s="1" t="s">
        <v>1037</v>
      </c>
      <c r="C306" s="9" t="s">
        <v>1038</v>
      </c>
      <c r="D306" s="1" t="s">
        <v>95</v>
      </c>
      <c r="E306" s="1" t="s">
        <v>135</v>
      </c>
      <c r="F306" s="10" t="s">
        <v>435</v>
      </c>
      <c r="G306" s="1">
        <v>0</v>
      </c>
      <c r="H306" s="1">
        <v>0.05</v>
      </c>
      <c r="I306" s="8">
        <v>44642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406486</v>
      </c>
      <c r="AJ306" s="2">
        <v>73030</v>
      </c>
      <c r="AK306" s="2">
        <v>18146.7</v>
      </c>
      <c r="AL306" s="2">
        <v>3260.27</v>
      </c>
      <c r="AM306" s="5">
        <v>4281.3900000000003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28770.959999999999</v>
      </c>
      <c r="AT306" s="12">
        <v>25688.36</v>
      </c>
      <c r="AU306" s="2">
        <v>0</v>
      </c>
      <c r="AV306" s="5">
        <v>2397.58</v>
      </c>
      <c r="AX306" s="2">
        <v>406486</v>
      </c>
      <c r="AY306" s="2">
        <v>73030</v>
      </c>
      <c r="AZ306" s="2">
        <v>18146.7</v>
      </c>
      <c r="BA306" s="2">
        <v>3260.27</v>
      </c>
      <c r="BB306" s="5">
        <v>4281.3900000000003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28770.959999999999</v>
      </c>
      <c r="BI306" s="12">
        <v>25688.36</v>
      </c>
      <c r="BJ306" s="2">
        <v>0</v>
      </c>
      <c r="BK306" s="5">
        <v>2397.58</v>
      </c>
      <c r="BL306" s="1" t="s">
        <v>137</v>
      </c>
    </row>
    <row r="307" spans="1:64" x14ac:dyDescent="0.3">
      <c r="A307" t="s">
        <v>1039</v>
      </c>
      <c r="B307" s="1" t="s">
        <v>1039</v>
      </c>
      <c r="C307" s="9" t="s">
        <v>1040</v>
      </c>
      <c r="D307" s="1" t="s">
        <v>95</v>
      </c>
      <c r="E307" s="1" t="s">
        <v>135</v>
      </c>
      <c r="F307" s="10" t="s">
        <v>193</v>
      </c>
      <c r="G307" s="1">
        <v>0</v>
      </c>
      <c r="H307" s="1">
        <v>0.05</v>
      </c>
      <c r="I307" s="8">
        <v>44572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333406.5</v>
      </c>
      <c r="AJ307" s="2">
        <v>102455</v>
      </c>
      <c r="AK307" s="2">
        <v>14884.21</v>
      </c>
      <c r="AL307" s="2">
        <v>4573.88</v>
      </c>
      <c r="AM307" s="5">
        <v>3891.62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26151.68</v>
      </c>
      <c r="AT307" s="12">
        <v>23349.71</v>
      </c>
      <c r="AU307" s="2">
        <v>0</v>
      </c>
      <c r="AV307" s="5">
        <v>2179.31</v>
      </c>
      <c r="AX307" s="2">
        <v>333406.5</v>
      </c>
      <c r="AY307" s="2">
        <v>102455</v>
      </c>
      <c r="AZ307" s="2">
        <v>14884.21</v>
      </c>
      <c r="BA307" s="2">
        <v>4573.88</v>
      </c>
      <c r="BB307" s="5">
        <v>3891.62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26151.68</v>
      </c>
      <c r="BI307" s="12">
        <v>23349.71</v>
      </c>
      <c r="BJ307" s="2">
        <v>0</v>
      </c>
      <c r="BK307" s="5">
        <v>2179.31</v>
      </c>
      <c r="BL307" s="1" t="s">
        <v>137</v>
      </c>
    </row>
    <row r="308" spans="1:64" x14ac:dyDescent="0.3">
      <c r="A308" t="s">
        <v>1041</v>
      </c>
      <c r="B308" s="1" t="s">
        <v>1041</v>
      </c>
      <c r="C308" s="9" t="s">
        <v>1042</v>
      </c>
      <c r="D308" s="1" t="s">
        <v>95</v>
      </c>
      <c r="E308" s="1" t="s">
        <v>135</v>
      </c>
      <c r="F308" s="10" t="s">
        <v>193</v>
      </c>
      <c r="G308" s="1">
        <v>0</v>
      </c>
      <c r="H308" s="1">
        <v>0.05</v>
      </c>
      <c r="I308" s="8">
        <v>44548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310090</v>
      </c>
      <c r="AJ308" s="2">
        <v>85523</v>
      </c>
      <c r="AK308" s="2">
        <v>13843.3</v>
      </c>
      <c r="AL308" s="2">
        <v>3817.99</v>
      </c>
      <c r="AM308" s="5">
        <v>3532.26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23736.78</v>
      </c>
      <c r="AT308" s="12">
        <v>21193.550000000003</v>
      </c>
      <c r="AU308" s="2">
        <v>0</v>
      </c>
      <c r="AV308" s="5">
        <v>1978.06</v>
      </c>
      <c r="AX308" s="2">
        <v>310090</v>
      </c>
      <c r="AY308" s="2">
        <v>85523</v>
      </c>
      <c r="AZ308" s="2">
        <v>13843.3</v>
      </c>
      <c r="BA308" s="2">
        <v>3817.99</v>
      </c>
      <c r="BB308" s="5">
        <v>3532.26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23736.78</v>
      </c>
      <c r="BI308" s="12">
        <v>21193.550000000003</v>
      </c>
      <c r="BJ308" s="2">
        <v>0</v>
      </c>
      <c r="BK308" s="5">
        <v>1978.06</v>
      </c>
      <c r="BL308" s="1" t="s">
        <v>137</v>
      </c>
    </row>
    <row r="309" spans="1:64" x14ac:dyDescent="0.3">
      <c r="A309" t="s">
        <v>1043</v>
      </c>
      <c r="B309" s="1" t="s">
        <v>1043</v>
      </c>
      <c r="C309" s="9" t="s">
        <v>1044</v>
      </c>
      <c r="D309" s="1" t="s">
        <v>95</v>
      </c>
      <c r="E309" s="1" t="s">
        <v>128</v>
      </c>
      <c r="F309" s="10" t="s">
        <v>309</v>
      </c>
      <c r="G309" s="1">
        <v>0</v>
      </c>
      <c r="H309" s="1">
        <v>0.05</v>
      </c>
      <c r="I309" s="8">
        <v>44851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647768</v>
      </c>
      <c r="AJ309" s="2">
        <v>0</v>
      </c>
      <c r="AK309" s="2">
        <v>28918.21</v>
      </c>
      <c r="AL309" s="2">
        <v>0</v>
      </c>
      <c r="AM309" s="5">
        <v>5783.64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38866.07</v>
      </c>
      <c r="AT309" s="12">
        <v>34701.85</v>
      </c>
      <c r="AU309" s="2">
        <v>0</v>
      </c>
      <c r="AV309" s="5">
        <v>3238.84</v>
      </c>
      <c r="AX309" s="2">
        <v>647768</v>
      </c>
      <c r="AY309" s="2">
        <v>0</v>
      </c>
      <c r="AZ309" s="2">
        <v>28918.21</v>
      </c>
      <c r="BA309" s="2">
        <v>0</v>
      </c>
      <c r="BB309" s="5">
        <v>5783.64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38866.07</v>
      </c>
      <c r="BI309" s="12">
        <v>34701.85</v>
      </c>
      <c r="BJ309" s="2">
        <v>0</v>
      </c>
      <c r="BK309" s="5">
        <v>3238.84</v>
      </c>
      <c r="BL309" s="1" t="s">
        <v>130</v>
      </c>
    </row>
    <row r="310" spans="1:64" x14ac:dyDescent="0.3">
      <c r="A310" t="s">
        <v>1045</v>
      </c>
      <c r="B310" s="1" t="s">
        <v>1045</v>
      </c>
      <c r="C310" s="9" t="s">
        <v>1046</v>
      </c>
      <c r="D310" s="1" t="s">
        <v>95</v>
      </c>
      <c r="E310" s="1" t="s">
        <v>128</v>
      </c>
      <c r="F310" s="10" t="s">
        <v>129</v>
      </c>
      <c r="G310" s="1">
        <v>0</v>
      </c>
      <c r="H310" s="1">
        <v>0.05</v>
      </c>
      <c r="I310" s="8">
        <v>44550</v>
      </c>
      <c r="J310" s="6">
        <v>23516</v>
      </c>
      <c r="K310" s="6">
        <v>880</v>
      </c>
      <c r="L310" s="6">
        <v>-78.119999999998697</v>
      </c>
      <c r="M310" s="6">
        <v>6.3300000000000729</v>
      </c>
      <c r="N310" s="7">
        <v>217.81999999999948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163.55000000000001</v>
      </c>
      <c r="U310" s="6">
        <v>146.03000000000179</v>
      </c>
      <c r="V310" s="6">
        <v>0</v>
      </c>
      <c r="W310" s="6">
        <v>121.98000000000044</v>
      </c>
      <c r="X310" s="46">
        <v>45815</v>
      </c>
      <c r="Y310" s="1">
        <v>25112195</v>
      </c>
      <c r="Z310" s="1">
        <v>25112196</v>
      </c>
      <c r="AI310" s="2">
        <v>625733</v>
      </c>
      <c r="AJ310" s="2">
        <v>28711</v>
      </c>
      <c r="AK310" s="2">
        <v>26806.57</v>
      </c>
      <c r="AL310" s="2">
        <v>1248.7900000000002</v>
      </c>
      <c r="AM310" s="5">
        <v>5843.25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37966.44</v>
      </c>
      <c r="AT310" s="12">
        <v>33898.61</v>
      </c>
      <c r="AU310" s="2">
        <v>0</v>
      </c>
      <c r="AV310" s="5">
        <v>3272.2200000000003</v>
      </c>
      <c r="AX310" s="2">
        <v>602217</v>
      </c>
      <c r="AY310" s="2">
        <v>27831</v>
      </c>
      <c r="AZ310" s="2">
        <v>26884.69</v>
      </c>
      <c r="BA310" s="2">
        <v>1242.46</v>
      </c>
      <c r="BB310" s="5">
        <v>5625.43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37802.89</v>
      </c>
      <c r="BI310" s="12">
        <v>33752.58</v>
      </c>
      <c r="BJ310" s="2">
        <v>0</v>
      </c>
      <c r="BK310" s="5">
        <v>3150.24</v>
      </c>
      <c r="BL310" s="1" t="s">
        <v>130</v>
      </c>
    </row>
    <row r="311" spans="1:64" x14ac:dyDescent="0.3">
      <c r="A311" t="s">
        <v>1055</v>
      </c>
      <c r="B311" s="1" t="s">
        <v>1055</v>
      </c>
      <c r="C311" s="9" t="s">
        <v>1056</v>
      </c>
      <c r="D311" s="1" t="s">
        <v>95</v>
      </c>
      <c r="E311" s="1" t="s">
        <v>88</v>
      </c>
      <c r="F311" s="10" t="s">
        <v>441</v>
      </c>
      <c r="G311" s="1">
        <v>0</v>
      </c>
      <c r="H311" s="1">
        <v>0.05</v>
      </c>
      <c r="I311" s="8">
        <v>44655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213000</v>
      </c>
      <c r="AJ311" s="2">
        <v>46428</v>
      </c>
      <c r="AK311" s="2">
        <v>9508.93</v>
      </c>
      <c r="AL311" s="2">
        <v>2072.6799999999998</v>
      </c>
      <c r="AM311" s="5">
        <v>2316.3200000000002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15565.68</v>
      </c>
      <c r="AT311" s="12">
        <v>13897.93</v>
      </c>
      <c r="AU311" s="2">
        <v>0</v>
      </c>
      <c r="AV311" s="5">
        <v>1297.1400000000001</v>
      </c>
      <c r="AX311" s="2">
        <v>213000</v>
      </c>
      <c r="AY311" s="2">
        <v>46428</v>
      </c>
      <c r="AZ311" s="2">
        <v>9508.93</v>
      </c>
      <c r="BA311" s="2">
        <v>2072.6799999999998</v>
      </c>
      <c r="BB311" s="5">
        <v>2316.3200000000002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15565.68</v>
      </c>
      <c r="BI311" s="12">
        <v>13897.93</v>
      </c>
      <c r="BJ311" s="2">
        <v>0</v>
      </c>
      <c r="BK311" s="5">
        <v>1297.1400000000001</v>
      </c>
      <c r="BL311" s="1" t="s">
        <v>90</v>
      </c>
    </row>
    <row r="312" spans="1:64" x14ac:dyDescent="0.3">
      <c r="A312" t="s">
        <v>1059</v>
      </c>
      <c r="B312" s="1" t="s">
        <v>1059</v>
      </c>
      <c r="C312" s="9" t="s">
        <v>1060</v>
      </c>
      <c r="D312" s="1" t="s">
        <v>95</v>
      </c>
      <c r="E312" s="1" t="s">
        <v>88</v>
      </c>
      <c r="F312" s="10" t="s">
        <v>441</v>
      </c>
      <c r="G312" s="1">
        <v>0</v>
      </c>
      <c r="H312" s="1">
        <v>0.05</v>
      </c>
      <c r="I312" s="8">
        <v>44735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143422</v>
      </c>
      <c r="AJ312" s="2">
        <v>49290</v>
      </c>
      <c r="AK312" s="2">
        <v>6402.77</v>
      </c>
      <c r="AL312" s="2">
        <v>2200.4499999999998</v>
      </c>
      <c r="AM312" s="5">
        <v>1720.64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11562.72</v>
      </c>
      <c r="AT312" s="12">
        <v>10323.86</v>
      </c>
      <c r="AU312" s="2">
        <v>0</v>
      </c>
      <c r="AV312" s="5">
        <v>963.56</v>
      </c>
      <c r="AX312" s="2">
        <v>143422</v>
      </c>
      <c r="AY312" s="2">
        <v>49290</v>
      </c>
      <c r="AZ312" s="2">
        <v>6402.77</v>
      </c>
      <c r="BA312" s="2">
        <v>2200.4499999999998</v>
      </c>
      <c r="BB312" s="5">
        <v>1720.64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11562.72</v>
      </c>
      <c r="BI312" s="12">
        <v>10323.86</v>
      </c>
      <c r="BJ312" s="2">
        <v>0</v>
      </c>
      <c r="BK312" s="5">
        <v>963.56</v>
      </c>
      <c r="BL312" s="1" t="s">
        <v>90</v>
      </c>
    </row>
    <row r="313" spans="1:64" x14ac:dyDescent="0.3">
      <c r="A313" t="s">
        <v>1063</v>
      </c>
      <c r="B313" s="1" t="s">
        <v>1063</v>
      </c>
      <c r="C313" s="9" t="s">
        <v>1064</v>
      </c>
      <c r="D313" s="1" t="s">
        <v>95</v>
      </c>
      <c r="E313" s="1" t="s">
        <v>135</v>
      </c>
      <c r="F313" s="10" t="s">
        <v>193</v>
      </c>
      <c r="G313" s="1">
        <v>0</v>
      </c>
      <c r="H313" s="1">
        <v>0.05</v>
      </c>
      <c r="I313" s="8">
        <v>44669</v>
      </c>
      <c r="J313" s="6">
        <v>27025</v>
      </c>
      <c r="K313" s="6">
        <v>5577</v>
      </c>
      <c r="L313" s="6">
        <v>1206.4799999999996</v>
      </c>
      <c r="M313" s="6">
        <v>248.98000000000002</v>
      </c>
      <c r="N313" s="7">
        <v>291.09000000000015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1956.14</v>
      </c>
      <c r="U313" s="6">
        <v>1746.5500000000029</v>
      </c>
      <c r="V313" s="6">
        <v>0</v>
      </c>
      <c r="W313" s="6">
        <v>163</v>
      </c>
      <c r="X313" s="46">
        <v>45815</v>
      </c>
      <c r="Y313" s="1">
        <v>25112197</v>
      </c>
      <c r="Z313" s="1">
        <v>25112198</v>
      </c>
      <c r="AI313" s="2">
        <v>669128</v>
      </c>
      <c r="AJ313" s="2">
        <v>70585</v>
      </c>
      <c r="AK313" s="2">
        <v>29871.79</v>
      </c>
      <c r="AL313" s="2">
        <v>3151.12</v>
      </c>
      <c r="AM313" s="5">
        <v>6604.58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44382.79</v>
      </c>
      <c r="AT313" s="12">
        <v>39627.490000000005</v>
      </c>
      <c r="AU313" s="2">
        <v>0</v>
      </c>
      <c r="AV313" s="5">
        <v>3698.56</v>
      </c>
      <c r="AX313" s="2">
        <v>642103</v>
      </c>
      <c r="AY313" s="2">
        <v>65008</v>
      </c>
      <c r="AZ313" s="2">
        <v>28665.31</v>
      </c>
      <c r="BA313" s="2">
        <v>2902.14</v>
      </c>
      <c r="BB313" s="5">
        <v>6313.49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42426.65</v>
      </c>
      <c r="BI313" s="12">
        <v>37880.94</v>
      </c>
      <c r="BJ313" s="2">
        <v>0</v>
      </c>
      <c r="BK313" s="5">
        <v>3535.56</v>
      </c>
      <c r="BL313" s="1" t="s">
        <v>137</v>
      </c>
    </row>
    <row r="314" spans="1:64" x14ac:dyDescent="0.3">
      <c r="A314" t="s">
        <v>1065</v>
      </c>
      <c r="B314" s="1" t="s">
        <v>1065</v>
      </c>
      <c r="C314" s="9" t="s">
        <v>1066</v>
      </c>
      <c r="D314" s="1" t="s">
        <v>95</v>
      </c>
      <c r="E314" s="1" t="s">
        <v>135</v>
      </c>
      <c r="F314" s="10" t="s">
        <v>435</v>
      </c>
      <c r="G314" s="1">
        <v>0</v>
      </c>
      <c r="H314" s="1">
        <v>0.05</v>
      </c>
      <c r="I314" s="8">
        <v>44628</v>
      </c>
      <c r="J314" s="6">
        <v>276624</v>
      </c>
      <c r="K314" s="6">
        <v>87189</v>
      </c>
      <c r="L314" s="6">
        <v>12349.29</v>
      </c>
      <c r="M314" s="6">
        <v>3892.37</v>
      </c>
      <c r="N314" s="7">
        <v>3248.33</v>
      </c>
      <c r="O314" s="6">
        <v>-436023</v>
      </c>
      <c r="P314" s="6">
        <v>-44990.400000000001</v>
      </c>
      <c r="Q314" s="6">
        <v>-19465.310000000001</v>
      </c>
      <c r="R314" s="6">
        <v>-2008.5</v>
      </c>
      <c r="S314" s="7">
        <v>0</v>
      </c>
      <c r="T314" s="11">
        <v>-2221.88</v>
      </c>
      <c r="U314" s="6">
        <v>-1983.8200000000033</v>
      </c>
      <c r="V314" s="6">
        <v>0</v>
      </c>
      <c r="W314" s="6">
        <v>-586.01000000000022</v>
      </c>
      <c r="X314" s="46">
        <v>45815</v>
      </c>
      <c r="Y314" s="1">
        <v>25016242</v>
      </c>
      <c r="Z314" s="1">
        <v>25016243</v>
      </c>
      <c r="AI314" s="2">
        <v>276624</v>
      </c>
      <c r="AJ314" s="2">
        <v>87189</v>
      </c>
      <c r="AK314" s="2">
        <v>12349.29</v>
      </c>
      <c r="AL314" s="2">
        <v>3892.37</v>
      </c>
      <c r="AM314" s="5">
        <v>3248.33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21828.79</v>
      </c>
      <c r="AT314" s="12">
        <v>19489.989999999998</v>
      </c>
      <c r="AU314" s="2">
        <v>0</v>
      </c>
      <c r="AV314" s="5">
        <v>1819.06</v>
      </c>
      <c r="AX314" s="2">
        <v>0</v>
      </c>
      <c r="AY314" s="2">
        <v>0</v>
      </c>
      <c r="AZ314" s="2">
        <v>0</v>
      </c>
      <c r="BA314" s="2">
        <v>0</v>
      </c>
      <c r="BB314" s="5">
        <v>0</v>
      </c>
      <c r="BC314" s="12">
        <v>436023</v>
      </c>
      <c r="BD314" s="2">
        <v>44990.400000000001</v>
      </c>
      <c r="BE314" s="2">
        <v>19465.310000000001</v>
      </c>
      <c r="BF314" s="2">
        <v>2008.5</v>
      </c>
      <c r="BG314" s="5">
        <v>0</v>
      </c>
      <c r="BH314" s="2">
        <v>24050.67</v>
      </c>
      <c r="BI314" s="12">
        <v>21473.81</v>
      </c>
      <c r="BJ314" s="2">
        <v>0</v>
      </c>
      <c r="BK314" s="5">
        <v>2405.0700000000002</v>
      </c>
      <c r="BL314" s="1" t="s">
        <v>137</v>
      </c>
    </row>
    <row r="315" spans="1:64" x14ac:dyDescent="0.3">
      <c r="A315" t="s">
        <v>1073</v>
      </c>
      <c r="B315" s="1" t="s">
        <v>1073</v>
      </c>
      <c r="C315" s="9" t="s">
        <v>1074</v>
      </c>
      <c r="D315" s="1" t="s">
        <v>95</v>
      </c>
      <c r="E315" s="1" t="s">
        <v>135</v>
      </c>
      <c r="F315" s="10" t="s">
        <v>1075</v>
      </c>
      <c r="G315" s="1">
        <v>0</v>
      </c>
      <c r="H315" s="1">
        <v>0.05</v>
      </c>
      <c r="I315" s="8">
        <v>44887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714265</v>
      </c>
      <c r="AJ315" s="2">
        <v>51761</v>
      </c>
      <c r="AK315" s="2">
        <v>31886.83</v>
      </c>
      <c r="AL315" s="2">
        <v>2310.7600000000002</v>
      </c>
      <c r="AM315" s="5">
        <v>6839.52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45961.56</v>
      </c>
      <c r="AT315" s="12">
        <v>41037.11</v>
      </c>
      <c r="AU315" s="2">
        <v>0</v>
      </c>
      <c r="AV315" s="5">
        <v>3830.13</v>
      </c>
      <c r="AX315" s="2">
        <v>714265</v>
      </c>
      <c r="AY315" s="2">
        <v>51761</v>
      </c>
      <c r="AZ315" s="2">
        <v>31886.83</v>
      </c>
      <c r="BA315" s="2">
        <v>2310.7600000000002</v>
      </c>
      <c r="BB315" s="5">
        <v>6839.52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45961.56</v>
      </c>
      <c r="BI315" s="12">
        <v>41037.11</v>
      </c>
      <c r="BJ315" s="2">
        <v>0</v>
      </c>
      <c r="BK315" s="5">
        <v>3830.13</v>
      </c>
      <c r="BL315" s="1" t="s">
        <v>137</v>
      </c>
    </row>
    <row r="316" spans="1:64" x14ac:dyDescent="0.3">
      <c r="A316" t="s">
        <v>1076</v>
      </c>
      <c r="B316" s="1" t="s">
        <v>1076</v>
      </c>
      <c r="C316" s="9" t="s">
        <v>1077</v>
      </c>
      <c r="D316" s="1" t="s">
        <v>95</v>
      </c>
      <c r="E316" s="1" t="s">
        <v>135</v>
      </c>
      <c r="F316" s="10" t="s">
        <v>136</v>
      </c>
      <c r="G316" s="1">
        <v>0</v>
      </c>
      <c r="H316" s="1">
        <v>0.05</v>
      </c>
      <c r="I316" s="8">
        <v>44767</v>
      </c>
      <c r="J316" s="6">
        <v>382656</v>
      </c>
      <c r="K316" s="6">
        <v>35770</v>
      </c>
      <c r="L316" s="6">
        <v>17082.86</v>
      </c>
      <c r="M316" s="6">
        <v>1596.8700000000001</v>
      </c>
      <c r="N316" s="7">
        <v>3735.95</v>
      </c>
      <c r="O316" s="6">
        <v>-1224937.8</v>
      </c>
      <c r="P316" s="6">
        <v>-89433.3</v>
      </c>
      <c r="Q316" s="6">
        <v>-54684.71</v>
      </c>
      <c r="R316" s="6">
        <v>-3992.56</v>
      </c>
      <c r="S316" s="7">
        <v>0</v>
      </c>
      <c r="T316" s="11">
        <v>-40612.980000000003</v>
      </c>
      <c r="U316" s="6">
        <v>-36261.589999999997</v>
      </c>
      <c r="V316" s="6">
        <v>0</v>
      </c>
      <c r="W316" s="6">
        <v>-4479.7199999999993</v>
      </c>
      <c r="X316" s="46">
        <v>45815</v>
      </c>
      <c r="Y316" s="1">
        <v>25016244</v>
      </c>
      <c r="Z316" s="1">
        <v>25016245</v>
      </c>
      <c r="AI316" s="2">
        <v>382656</v>
      </c>
      <c r="AJ316" s="2">
        <v>35770</v>
      </c>
      <c r="AK316" s="2">
        <v>17082.86</v>
      </c>
      <c r="AL316" s="2">
        <v>1596.8700000000001</v>
      </c>
      <c r="AM316" s="5">
        <v>3735.95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25105.56</v>
      </c>
      <c r="AT316" s="12">
        <v>22415.68</v>
      </c>
      <c r="AU316" s="2">
        <v>0</v>
      </c>
      <c r="AV316" s="5">
        <v>2092.14</v>
      </c>
      <c r="AX316" s="2">
        <v>0</v>
      </c>
      <c r="AY316" s="2">
        <v>0</v>
      </c>
      <c r="AZ316" s="2">
        <v>0</v>
      </c>
      <c r="BA316" s="2">
        <v>0</v>
      </c>
      <c r="BB316" s="5">
        <v>0</v>
      </c>
      <c r="BC316" s="12">
        <v>1224937.8</v>
      </c>
      <c r="BD316" s="2">
        <v>89433.3</v>
      </c>
      <c r="BE316" s="2">
        <v>54684.71</v>
      </c>
      <c r="BF316" s="2">
        <v>3992.56</v>
      </c>
      <c r="BG316" s="5">
        <v>0</v>
      </c>
      <c r="BH316" s="2">
        <v>65718.539999999994</v>
      </c>
      <c r="BI316" s="12">
        <v>58677.270000000004</v>
      </c>
      <c r="BJ316" s="2">
        <v>0</v>
      </c>
      <c r="BK316" s="5">
        <v>6571.86</v>
      </c>
      <c r="BL316" s="1" t="s">
        <v>137</v>
      </c>
    </row>
    <row r="317" spans="1:64" x14ac:dyDescent="0.3">
      <c r="A317" t="s">
        <v>1080</v>
      </c>
      <c r="B317" s="1" t="s">
        <v>1080</v>
      </c>
      <c r="C317" s="9" t="s">
        <v>1081</v>
      </c>
      <c r="D317" s="1" t="s">
        <v>95</v>
      </c>
      <c r="E317" s="1" t="s">
        <v>135</v>
      </c>
      <c r="F317" s="10" t="s">
        <v>136</v>
      </c>
      <c r="G317" s="1">
        <v>3.5000000000000003E-2</v>
      </c>
      <c r="H317" s="1">
        <v>0.05</v>
      </c>
      <c r="I317" s="8">
        <v>44441</v>
      </c>
      <c r="J317" s="6">
        <v>138805</v>
      </c>
      <c r="K317" s="6">
        <v>37997</v>
      </c>
      <c r="L317" s="6">
        <v>6196.65</v>
      </c>
      <c r="M317" s="6">
        <v>1696.29</v>
      </c>
      <c r="N317" s="7">
        <v>1578.59</v>
      </c>
      <c r="O317" s="6">
        <v>-547150.5</v>
      </c>
      <c r="P317" s="6">
        <v>-44003.399999999994</v>
      </c>
      <c r="Q317" s="6">
        <v>-24426.36</v>
      </c>
      <c r="R317" s="6">
        <v>-1964.44</v>
      </c>
      <c r="S317" s="7">
        <v>-5278.16</v>
      </c>
      <c r="T317" s="11">
        <v>-24861.119999999999</v>
      </c>
      <c r="U317" s="6">
        <v>-22197.43</v>
      </c>
      <c r="V317" s="6">
        <v>0</v>
      </c>
      <c r="W317" s="6">
        <v>-2071.7600000000002</v>
      </c>
      <c r="X317" s="46">
        <v>45815</v>
      </c>
      <c r="Y317" s="1">
        <v>25016246</v>
      </c>
      <c r="Z317" s="1">
        <v>25016247</v>
      </c>
      <c r="AI317" s="2">
        <v>138805</v>
      </c>
      <c r="AJ317" s="2">
        <v>37997</v>
      </c>
      <c r="AK317" s="2">
        <v>6196.65</v>
      </c>
      <c r="AL317" s="2">
        <v>1696.29</v>
      </c>
      <c r="AM317" s="5">
        <v>1578.59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10608.11</v>
      </c>
      <c r="AT317" s="12">
        <v>9471.5299999999988</v>
      </c>
      <c r="AU317" s="2">
        <v>0</v>
      </c>
      <c r="AV317" s="5">
        <v>884.01</v>
      </c>
      <c r="AX317" s="2">
        <v>0</v>
      </c>
      <c r="AY317" s="2">
        <v>0</v>
      </c>
      <c r="AZ317" s="2">
        <v>0</v>
      </c>
      <c r="BA317" s="2">
        <v>0</v>
      </c>
      <c r="BB317" s="5">
        <v>0</v>
      </c>
      <c r="BC317" s="12">
        <v>547150.5</v>
      </c>
      <c r="BD317" s="2">
        <v>44003.399999999994</v>
      </c>
      <c r="BE317" s="2">
        <v>24426.36</v>
      </c>
      <c r="BF317" s="2">
        <v>1964.44</v>
      </c>
      <c r="BG317" s="5">
        <v>5278.16</v>
      </c>
      <c r="BH317" s="2">
        <v>35469.24</v>
      </c>
      <c r="BI317" s="12">
        <v>31668.959999999999</v>
      </c>
      <c r="BJ317" s="2">
        <v>0</v>
      </c>
      <c r="BK317" s="5">
        <v>2955.77</v>
      </c>
      <c r="BL317" s="1" t="s">
        <v>137</v>
      </c>
    </row>
    <row r="318" spans="1:64" x14ac:dyDescent="0.3">
      <c r="A318" t="s">
        <v>1082</v>
      </c>
      <c r="B318" s="1" t="s">
        <v>1082</v>
      </c>
      <c r="C318" s="9" t="s">
        <v>1083</v>
      </c>
      <c r="D318" s="1" t="s">
        <v>95</v>
      </c>
      <c r="E318" s="1" t="s">
        <v>135</v>
      </c>
      <c r="F318" s="10" t="s">
        <v>1075</v>
      </c>
      <c r="G318" s="1">
        <v>0</v>
      </c>
      <c r="H318" s="1">
        <v>0.05</v>
      </c>
      <c r="I318" s="8">
        <v>44770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621816</v>
      </c>
      <c r="AJ318" s="2">
        <v>122391</v>
      </c>
      <c r="AK318" s="2">
        <v>27759.64</v>
      </c>
      <c r="AL318" s="2">
        <v>5463.88</v>
      </c>
      <c r="AM318" s="5">
        <v>6644.71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44652.42</v>
      </c>
      <c r="AT318" s="12">
        <v>39868.229999999996</v>
      </c>
      <c r="AU318" s="2">
        <v>0</v>
      </c>
      <c r="AV318" s="5">
        <v>3721.04</v>
      </c>
      <c r="AX318" s="2">
        <v>621816</v>
      </c>
      <c r="AY318" s="2">
        <v>122391</v>
      </c>
      <c r="AZ318" s="2">
        <v>27759.64</v>
      </c>
      <c r="BA318" s="2">
        <v>5463.88</v>
      </c>
      <c r="BB318" s="5">
        <v>6644.71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44652.42</v>
      </c>
      <c r="BI318" s="12">
        <v>39868.229999999996</v>
      </c>
      <c r="BJ318" s="2">
        <v>0</v>
      </c>
      <c r="BK318" s="5">
        <v>3721.04</v>
      </c>
      <c r="BL318" s="1" t="s">
        <v>137</v>
      </c>
    </row>
    <row r="319" spans="1:64" x14ac:dyDescent="0.3">
      <c r="A319" t="s">
        <v>1088</v>
      </c>
      <c r="B319" s="1" t="s">
        <v>1089</v>
      </c>
      <c r="C319" s="9" t="s">
        <v>1090</v>
      </c>
      <c r="D319" s="1" t="s">
        <v>95</v>
      </c>
      <c r="E319" s="1" t="s">
        <v>128</v>
      </c>
      <c r="F319" s="10" t="s">
        <v>309</v>
      </c>
      <c r="G319" s="1">
        <v>0</v>
      </c>
      <c r="H319" s="1">
        <v>0.05</v>
      </c>
      <c r="I319" s="8">
        <v>44755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3685532</v>
      </c>
      <c r="AJ319" s="2">
        <v>42555</v>
      </c>
      <c r="AK319" s="2">
        <v>164532.68000000002</v>
      </c>
      <c r="AL319" s="2">
        <v>1899.78</v>
      </c>
      <c r="AM319" s="5">
        <v>33286.49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223685.22</v>
      </c>
      <c r="AT319" s="12">
        <v>199718.95</v>
      </c>
      <c r="AU319" s="2">
        <v>0</v>
      </c>
      <c r="AV319" s="5">
        <v>18640.45</v>
      </c>
      <c r="AX319" s="2">
        <v>3685532</v>
      </c>
      <c r="AY319" s="2">
        <v>42555</v>
      </c>
      <c r="AZ319" s="2">
        <v>164532.68000000002</v>
      </c>
      <c r="BA319" s="2">
        <v>1899.78</v>
      </c>
      <c r="BB319" s="5">
        <v>33286.49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223685.22</v>
      </c>
      <c r="BI319" s="12">
        <v>199718.95</v>
      </c>
      <c r="BJ319" s="2">
        <v>0</v>
      </c>
      <c r="BK319" s="5">
        <v>18640.45</v>
      </c>
      <c r="BL319" s="1" t="s">
        <v>130</v>
      </c>
    </row>
    <row r="320" spans="1:64" x14ac:dyDescent="0.3">
      <c r="A320" t="s">
        <v>1116</v>
      </c>
      <c r="B320" s="1" t="s">
        <v>1116</v>
      </c>
      <c r="C320" s="9" t="s">
        <v>1117</v>
      </c>
      <c r="D320" s="1" t="s">
        <v>95</v>
      </c>
      <c r="E320" s="1" t="s">
        <v>88</v>
      </c>
      <c r="F320" s="10" t="s">
        <v>534</v>
      </c>
      <c r="G320" s="1">
        <v>0</v>
      </c>
      <c r="H320" s="1">
        <v>0.05</v>
      </c>
      <c r="I320" s="8">
        <v>45004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5917.01</v>
      </c>
      <c r="T320" s="11">
        <v>6627.05</v>
      </c>
      <c r="U320" s="6">
        <v>5917.0099999999984</v>
      </c>
      <c r="V320" s="6">
        <v>0</v>
      </c>
      <c r="W320" s="6">
        <v>0</v>
      </c>
      <c r="X320" s="46">
        <v>45815</v>
      </c>
      <c r="Y320" s="1">
        <v>25112199</v>
      </c>
      <c r="Z320" s="1">
        <v>25112200</v>
      </c>
      <c r="AI320" s="2">
        <v>0</v>
      </c>
      <c r="AJ320" s="2">
        <v>0</v>
      </c>
      <c r="AK320" s="2">
        <v>0</v>
      </c>
      <c r="AL320" s="2">
        <v>0</v>
      </c>
      <c r="AM320" s="5">
        <v>0</v>
      </c>
      <c r="AN320" s="12">
        <v>589272.60000000009</v>
      </c>
      <c r="AO320" s="2">
        <v>73431.899999999994</v>
      </c>
      <c r="AP320" s="2">
        <v>26306.81</v>
      </c>
      <c r="AQ320" s="2">
        <v>3278.21</v>
      </c>
      <c r="AR320" s="5">
        <v>5917.01</v>
      </c>
      <c r="AS320" s="2">
        <v>39762.269999999997</v>
      </c>
      <c r="AT320" s="12">
        <v>35502.03</v>
      </c>
      <c r="AU320" s="2">
        <v>0</v>
      </c>
      <c r="AV320" s="5">
        <v>3313.52</v>
      </c>
      <c r="AX320" s="2">
        <v>0</v>
      </c>
      <c r="AY320" s="2">
        <v>0</v>
      </c>
      <c r="AZ320" s="2">
        <v>0</v>
      </c>
      <c r="BA320" s="2">
        <v>0</v>
      </c>
      <c r="BB320" s="5">
        <v>0</v>
      </c>
      <c r="BC320" s="12">
        <v>589272.60000000009</v>
      </c>
      <c r="BD320" s="2">
        <v>73431.899999999994</v>
      </c>
      <c r="BE320" s="2">
        <v>26306.81</v>
      </c>
      <c r="BF320" s="2">
        <v>3278.21</v>
      </c>
      <c r="BG320" s="5">
        <v>0</v>
      </c>
      <c r="BH320" s="2">
        <v>33135.22</v>
      </c>
      <c r="BI320" s="12">
        <v>29585.02</v>
      </c>
      <c r="BJ320" s="2">
        <v>0</v>
      </c>
      <c r="BK320" s="5">
        <v>3313.52</v>
      </c>
      <c r="BL320" s="1" t="s">
        <v>90</v>
      </c>
    </row>
    <row r="321" spans="1:64" x14ac:dyDescent="0.3">
      <c r="A321" t="s">
        <v>1118</v>
      </c>
      <c r="B321" s="1" t="s">
        <v>1118</v>
      </c>
      <c r="C321" s="9" t="s">
        <v>1119</v>
      </c>
      <c r="D321" s="1" t="s">
        <v>95</v>
      </c>
      <c r="E321" s="1" t="s">
        <v>135</v>
      </c>
      <c r="F321" s="10" t="s">
        <v>435</v>
      </c>
      <c r="G321" s="1">
        <v>0</v>
      </c>
      <c r="H321" s="1">
        <v>0.05</v>
      </c>
      <c r="I321" s="8">
        <v>44879</v>
      </c>
      <c r="J321" s="6">
        <v>1123634</v>
      </c>
      <c r="K321" s="6">
        <v>157506</v>
      </c>
      <c r="L321" s="6">
        <v>50162.23</v>
      </c>
      <c r="M321" s="6">
        <v>7031.52</v>
      </c>
      <c r="N321" s="7">
        <v>11438.75</v>
      </c>
      <c r="O321" s="6">
        <v>-573654.30000000016</v>
      </c>
      <c r="P321" s="6">
        <v>-46283.1</v>
      </c>
      <c r="Q321" s="6">
        <v>-25609.57</v>
      </c>
      <c r="R321" s="6">
        <v>-2066.21</v>
      </c>
      <c r="S321" s="7">
        <v>0</v>
      </c>
      <c r="T321" s="11">
        <v>45871.53</v>
      </c>
      <c r="U321" s="6">
        <v>40956.720000000001</v>
      </c>
      <c r="V321" s="6">
        <v>0</v>
      </c>
      <c r="W321" s="6">
        <v>3306.0099999999998</v>
      </c>
      <c r="X321" s="46">
        <v>45815</v>
      </c>
      <c r="Y321" s="1">
        <v>25112201</v>
      </c>
      <c r="Z321" s="1">
        <v>25112202</v>
      </c>
      <c r="AI321" s="2">
        <v>1123634</v>
      </c>
      <c r="AJ321" s="2">
        <v>157506</v>
      </c>
      <c r="AK321" s="2">
        <v>50162.23</v>
      </c>
      <c r="AL321" s="2">
        <v>7031.52</v>
      </c>
      <c r="AM321" s="5">
        <v>11438.75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76868.399999999994</v>
      </c>
      <c r="AT321" s="12">
        <v>68632.5</v>
      </c>
      <c r="AU321" s="2">
        <v>0</v>
      </c>
      <c r="AV321" s="5">
        <v>6405.7</v>
      </c>
      <c r="AX321" s="2">
        <v>0</v>
      </c>
      <c r="AY321" s="2">
        <v>0</v>
      </c>
      <c r="AZ321" s="2">
        <v>0</v>
      </c>
      <c r="BA321" s="2">
        <v>0</v>
      </c>
      <c r="BB321" s="5">
        <v>0</v>
      </c>
      <c r="BC321" s="12">
        <v>573654.30000000016</v>
      </c>
      <c r="BD321" s="2">
        <v>46283.1</v>
      </c>
      <c r="BE321" s="2">
        <v>25609.57</v>
      </c>
      <c r="BF321" s="2">
        <v>2066.21</v>
      </c>
      <c r="BG321" s="5">
        <v>0</v>
      </c>
      <c r="BH321" s="2">
        <v>30996.87</v>
      </c>
      <c r="BI321" s="12">
        <v>27675.78</v>
      </c>
      <c r="BJ321" s="2">
        <v>0</v>
      </c>
      <c r="BK321" s="5">
        <v>3099.69</v>
      </c>
      <c r="BL321" s="1" t="s">
        <v>137</v>
      </c>
    </row>
    <row r="322" spans="1:64" x14ac:dyDescent="0.3">
      <c r="A322" t="s">
        <v>1140</v>
      </c>
      <c r="B322" s="1" t="s">
        <v>1140</v>
      </c>
      <c r="C322" s="9" t="s">
        <v>1141</v>
      </c>
      <c r="D322" s="1" t="s">
        <v>95</v>
      </c>
      <c r="E322" s="1" t="s">
        <v>135</v>
      </c>
      <c r="F322" s="10" t="s">
        <v>136</v>
      </c>
      <c r="G322" s="1">
        <v>0</v>
      </c>
      <c r="H322" s="1">
        <v>0.05</v>
      </c>
      <c r="I322" s="8">
        <v>45123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1087436</v>
      </c>
      <c r="AJ322" s="2">
        <v>134752</v>
      </c>
      <c r="AK322" s="2">
        <v>48546.25</v>
      </c>
      <c r="AL322" s="2">
        <v>6015.71</v>
      </c>
      <c r="AM322" s="5">
        <v>10912.39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73331.27</v>
      </c>
      <c r="AT322" s="12">
        <v>65474.35</v>
      </c>
      <c r="AU322" s="2">
        <v>0</v>
      </c>
      <c r="AV322" s="5">
        <v>6110.94</v>
      </c>
      <c r="AX322" s="2">
        <v>1087436</v>
      </c>
      <c r="AY322" s="2">
        <v>134752</v>
      </c>
      <c r="AZ322" s="2">
        <v>48546.25</v>
      </c>
      <c r="BA322" s="2">
        <v>6015.71</v>
      </c>
      <c r="BB322" s="5">
        <v>10912.39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73331.27</v>
      </c>
      <c r="BI322" s="12">
        <v>65474.35</v>
      </c>
      <c r="BJ322" s="2">
        <v>0</v>
      </c>
      <c r="BK322" s="5">
        <v>6110.94</v>
      </c>
      <c r="BL322" s="1" t="s">
        <v>137</v>
      </c>
    </row>
    <row r="323" spans="1:64" x14ac:dyDescent="0.3">
      <c r="A323" t="s">
        <v>1142</v>
      </c>
      <c r="B323" s="1" t="s">
        <v>1142</v>
      </c>
      <c r="C323" s="9" t="s">
        <v>1143</v>
      </c>
      <c r="D323" s="1" t="s">
        <v>95</v>
      </c>
      <c r="E323" s="1" t="s">
        <v>135</v>
      </c>
      <c r="F323" s="10" t="s">
        <v>193</v>
      </c>
      <c r="G323" s="1">
        <v>0</v>
      </c>
      <c r="H323" s="1">
        <v>0.05</v>
      </c>
      <c r="I323" s="8">
        <v>44774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296399</v>
      </c>
      <c r="AJ323" s="2">
        <v>56211</v>
      </c>
      <c r="AK323" s="2">
        <v>13232.1</v>
      </c>
      <c r="AL323" s="2">
        <v>2509.42</v>
      </c>
      <c r="AM323" s="5">
        <v>3148.3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21156.6</v>
      </c>
      <c r="AT323" s="12">
        <v>18889.82</v>
      </c>
      <c r="AU323" s="2">
        <v>0</v>
      </c>
      <c r="AV323" s="5">
        <v>1763.05</v>
      </c>
      <c r="AX323" s="2">
        <v>296399</v>
      </c>
      <c r="AY323" s="2">
        <v>56211</v>
      </c>
      <c r="AZ323" s="2">
        <v>13232.1</v>
      </c>
      <c r="BA323" s="2">
        <v>2509.42</v>
      </c>
      <c r="BB323" s="5">
        <v>3148.3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21156.6</v>
      </c>
      <c r="BI323" s="12">
        <v>18889.82</v>
      </c>
      <c r="BJ323" s="2">
        <v>0</v>
      </c>
      <c r="BK323" s="5">
        <v>1763.05</v>
      </c>
      <c r="BL323" s="1" t="s">
        <v>137</v>
      </c>
    </row>
    <row r="324" spans="1:64" x14ac:dyDescent="0.3">
      <c r="A324" t="s">
        <v>1144</v>
      </c>
      <c r="B324" s="1" t="s">
        <v>1144</v>
      </c>
      <c r="C324" s="9" t="s">
        <v>1145</v>
      </c>
      <c r="D324" s="1" t="s">
        <v>95</v>
      </c>
      <c r="E324" s="1" t="s">
        <v>135</v>
      </c>
      <c r="F324" s="10" t="s">
        <v>193</v>
      </c>
      <c r="G324" s="1">
        <v>0</v>
      </c>
      <c r="H324" s="1">
        <v>0.05</v>
      </c>
      <c r="I324" s="8">
        <v>44774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610271</v>
      </c>
      <c r="AJ324" s="2">
        <v>132485</v>
      </c>
      <c r="AK324" s="2">
        <v>27244.23</v>
      </c>
      <c r="AL324" s="2">
        <v>5914.51</v>
      </c>
      <c r="AM324" s="5">
        <v>6631.75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44565.35</v>
      </c>
      <c r="AT324" s="12">
        <v>39790.49</v>
      </c>
      <c r="AU324" s="2">
        <v>0</v>
      </c>
      <c r="AV324" s="5">
        <v>3713.79</v>
      </c>
      <c r="AX324" s="2">
        <v>610271</v>
      </c>
      <c r="AY324" s="2">
        <v>132485</v>
      </c>
      <c r="AZ324" s="2">
        <v>27244.23</v>
      </c>
      <c r="BA324" s="2">
        <v>5914.51</v>
      </c>
      <c r="BB324" s="5">
        <v>6631.75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44565.35</v>
      </c>
      <c r="BI324" s="12">
        <v>39790.49</v>
      </c>
      <c r="BJ324" s="2">
        <v>0</v>
      </c>
      <c r="BK324" s="5">
        <v>3713.79</v>
      </c>
      <c r="BL324" s="1" t="s">
        <v>137</v>
      </c>
    </row>
    <row r="325" spans="1:64" x14ac:dyDescent="0.3">
      <c r="A325" t="s">
        <v>1150</v>
      </c>
      <c r="B325" s="1" t="s">
        <v>1150</v>
      </c>
      <c r="C325" s="9" t="s">
        <v>1151</v>
      </c>
      <c r="D325" s="1" t="s">
        <v>95</v>
      </c>
      <c r="E325" s="1" t="s">
        <v>88</v>
      </c>
      <c r="F325" s="10" t="s">
        <v>534</v>
      </c>
      <c r="G325" s="1">
        <v>0</v>
      </c>
      <c r="H325" s="1">
        <v>0.05</v>
      </c>
      <c r="I325" s="8">
        <v>44638</v>
      </c>
      <c r="J325" s="6">
        <v>188035</v>
      </c>
      <c r="K325" s="6">
        <v>17205</v>
      </c>
      <c r="L325" s="6">
        <v>8394.42</v>
      </c>
      <c r="M325" s="6">
        <v>768.08</v>
      </c>
      <c r="N325" s="7">
        <v>1832.5</v>
      </c>
      <c r="O325" s="6">
        <v>-523928.4</v>
      </c>
      <c r="P325" s="6">
        <v>-42271.5</v>
      </c>
      <c r="Q325" s="6">
        <v>-23389.66</v>
      </c>
      <c r="R325" s="6">
        <v>-1887.12</v>
      </c>
      <c r="S325" s="7">
        <v>0</v>
      </c>
      <c r="T325" s="11">
        <v>-15995.59</v>
      </c>
      <c r="U325" s="6">
        <v>-14281.779999999999</v>
      </c>
      <c r="V325" s="6">
        <v>0</v>
      </c>
      <c r="W325" s="6">
        <v>-1804.8</v>
      </c>
      <c r="X325" s="46">
        <v>45815</v>
      </c>
      <c r="Y325" s="1">
        <v>25016248</v>
      </c>
      <c r="Z325" s="1">
        <v>25016249</v>
      </c>
      <c r="AI325" s="2">
        <v>188035</v>
      </c>
      <c r="AJ325" s="2">
        <v>17205</v>
      </c>
      <c r="AK325" s="2">
        <v>8394.42</v>
      </c>
      <c r="AL325" s="2">
        <v>768.08</v>
      </c>
      <c r="AM325" s="5">
        <v>1832.5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12314.4</v>
      </c>
      <c r="AT325" s="12">
        <v>10995</v>
      </c>
      <c r="AU325" s="2">
        <v>0</v>
      </c>
      <c r="AV325" s="5">
        <v>1026.2</v>
      </c>
      <c r="AX325" s="2">
        <v>0</v>
      </c>
      <c r="AY325" s="2">
        <v>0</v>
      </c>
      <c r="AZ325" s="2">
        <v>0</v>
      </c>
      <c r="BA325" s="2">
        <v>0</v>
      </c>
      <c r="BB325" s="5">
        <v>0</v>
      </c>
      <c r="BC325" s="12">
        <v>523928.4</v>
      </c>
      <c r="BD325" s="2">
        <v>42271.5</v>
      </c>
      <c r="BE325" s="2">
        <v>23389.66</v>
      </c>
      <c r="BF325" s="2">
        <v>1887.12</v>
      </c>
      <c r="BG325" s="5">
        <v>0</v>
      </c>
      <c r="BH325" s="2">
        <v>28309.99</v>
      </c>
      <c r="BI325" s="12">
        <v>25276.78</v>
      </c>
      <c r="BJ325" s="2">
        <v>0</v>
      </c>
      <c r="BK325" s="5">
        <v>2831</v>
      </c>
      <c r="BL325" s="1" t="s">
        <v>90</v>
      </c>
    </row>
    <row r="326" spans="1:64" x14ac:dyDescent="0.3">
      <c r="A326" t="s">
        <v>1156</v>
      </c>
      <c r="B326" s="1" t="s">
        <v>1156</v>
      </c>
      <c r="C326" s="9" t="s">
        <v>1157</v>
      </c>
      <c r="D326" s="1" t="s">
        <v>95</v>
      </c>
      <c r="E326" s="1" t="s">
        <v>135</v>
      </c>
      <c r="F326" s="10" t="s">
        <v>435</v>
      </c>
      <c r="G326" s="1">
        <v>0</v>
      </c>
      <c r="H326" s="1">
        <v>0.05</v>
      </c>
      <c r="I326" s="8">
        <v>44942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394776</v>
      </c>
      <c r="AJ326" s="2">
        <v>62420</v>
      </c>
      <c r="AK326" s="2">
        <v>17623.93</v>
      </c>
      <c r="AL326" s="2">
        <v>2786.61</v>
      </c>
      <c r="AM326" s="5">
        <v>4082.11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27431.77</v>
      </c>
      <c r="AT326" s="12">
        <v>24492.65</v>
      </c>
      <c r="AU326" s="2">
        <v>0</v>
      </c>
      <c r="AV326" s="5">
        <v>2285.98</v>
      </c>
      <c r="AX326" s="2">
        <v>394776</v>
      </c>
      <c r="AY326" s="2">
        <v>62420</v>
      </c>
      <c r="AZ326" s="2">
        <v>17623.93</v>
      </c>
      <c r="BA326" s="2">
        <v>2786.61</v>
      </c>
      <c r="BB326" s="5">
        <v>4082.11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27431.77</v>
      </c>
      <c r="BI326" s="12">
        <v>24492.65</v>
      </c>
      <c r="BJ326" s="2">
        <v>0</v>
      </c>
      <c r="BK326" s="5">
        <v>2285.98</v>
      </c>
      <c r="BL326" s="1" t="s">
        <v>137</v>
      </c>
    </row>
    <row r="327" spans="1:64" x14ac:dyDescent="0.3">
      <c r="A327" t="s">
        <v>1158</v>
      </c>
      <c r="B327" s="1" t="s">
        <v>1158</v>
      </c>
      <c r="C327" s="9" t="s">
        <v>1159</v>
      </c>
      <c r="D327" s="1" t="s">
        <v>95</v>
      </c>
      <c r="E327" s="1" t="s">
        <v>135</v>
      </c>
      <c r="F327" s="10" t="s">
        <v>193</v>
      </c>
      <c r="G327" s="1">
        <v>0</v>
      </c>
      <c r="H327" s="1">
        <v>0.05</v>
      </c>
      <c r="I327" s="8">
        <v>44948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298480.5</v>
      </c>
      <c r="AJ327" s="2">
        <v>60429</v>
      </c>
      <c r="AK327" s="2">
        <v>13325.03</v>
      </c>
      <c r="AL327" s="2">
        <v>2697.72</v>
      </c>
      <c r="AM327" s="5">
        <v>3204.55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21534.58</v>
      </c>
      <c r="AT327" s="12">
        <v>19227.3</v>
      </c>
      <c r="AU327" s="2">
        <v>0</v>
      </c>
      <c r="AV327" s="5">
        <v>1794.55</v>
      </c>
      <c r="AX327" s="2">
        <v>298480.5</v>
      </c>
      <c r="AY327" s="2">
        <v>60429</v>
      </c>
      <c r="AZ327" s="2">
        <v>13325.03</v>
      </c>
      <c r="BA327" s="2">
        <v>2697.72</v>
      </c>
      <c r="BB327" s="5">
        <v>3204.55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21534.58</v>
      </c>
      <c r="BI327" s="12">
        <v>19227.3</v>
      </c>
      <c r="BJ327" s="2">
        <v>0</v>
      </c>
      <c r="BK327" s="5">
        <v>1794.55</v>
      </c>
      <c r="BL327" s="1" t="s">
        <v>137</v>
      </c>
    </row>
    <row r="328" spans="1:64" x14ac:dyDescent="0.3">
      <c r="A328" t="s">
        <v>1160</v>
      </c>
      <c r="B328" s="1" t="s">
        <v>1160</v>
      </c>
      <c r="C328" s="9" t="s">
        <v>1161</v>
      </c>
      <c r="D328" s="1" t="s">
        <v>95</v>
      </c>
      <c r="E328" s="1" t="s">
        <v>135</v>
      </c>
      <c r="F328" s="10" t="s">
        <v>435</v>
      </c>
      <c r="G328" s="1">
        <v>0</v>
      </c>
      <c r="H328" s="1">
        <v>0.05</v>
      </c>
      <c r="I328" s="8">
        <v>44040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1022634</v>
      </c>
      <c r="AJ328" s="2">
        <v>113679</v>
      </c>
      <c r="AK328" s="2">
        <v>45653.3</v>
      </c>
      <c r="AL328" s="2">
        <v>5074.96</v>
      </c>
      <c r="AM328" s="5">
        <v>10145.65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68178.78</v>
      </c>
      <c r="AT328" s="12">
        <v>60873.91</v>
      </c>
      <c r="AU328" s="2">
        <v>0</v>
      </c>
      <c r="AV328" s="5">
        <v>5681.56</v>
      </c>
      <c r="AX328" s="2">
        <v>1022634</v>
      </c>
      <c r="AY328" s="2">
        <v>113679</v>
      </c>
      <c r="AZ328" s="2">
        <v>45653.3</v>
      </c>
      <c r="BA328" s="2">
        <v>5074.96</v>
      </c>
      <c r="BB328" s="5">
        <v>10145.65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68178.78</v>
      </c>
      <c r="BI328" s="12">
        <v>60873.91</v>
      </c>
      <c r="BJ328" s="2">
        <v>0</v>
      </c>
      <c r="BK328" s="5">
        <v>5681.56</v>
      </c>
      <c r="BL328" s="1" t="s">
        <v>302</v>
      </c>
    </row>
    <row r="329" spans="1:64" x14ac:dyDescent="0.3">
      <c r="A329" t="s">
        <v>1162</v>
      </c>
      <c r="B329" s="1" t="s">
        <v>1162</v>
      </c>
      <c r="C329" s="9" t="s">
        <v>1163</v>
      </c>
      <c r="D329" s="1" t="s">
        <v>95</v>
      </c>
      <c r="E329" s="1" t="s">
        <v>135</v>
      </c>
      <c r="F329" s="10" t="s">
        <v>136</v>
      </c>
      <c r="G329" s="1">
        <v>0</v>
      </c>
      <c r="H329" s="1">
        <v>0.05</v>
      </c>
      <c r="I329" s="8">
        <v>44878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1232128</v>
      </c>
      <c r="AJ329" s="2">
        <v>156216</v>
      </c>
      <c r="AK329" s="2">
        <v>55005.71</v>
      </c>
      <c r="AL329" s="2">
        <v>6973.93</v>
      </c>
      <c r="AM329" s="5">
        <v>12395.93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83300.639999999999</v>
      </c>
      <c r="AT329" s="12">
        <v>74375.570000000007</v>
      </c>
      <c r="AU329" s="2">
        <v>0</v>
      </c>
      <c r="AV329" s="5">
        <v>6941.72</v>
      </c>
      <c r="AX329" s="2">
        <v>1232128</v>
      </c>
      <c r="AY329" s="2">
        <v>156216</v>
      </c>
      <c r="AZ329" s="2">
        <v>55005.71</v>
      </c>
      <c r="BA329" s="2">
        <v>6973.93</v>
      </c>
      <c r="BB329" s="5">
        <v>12395.93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83300.639999999999</v>
      </c>
      <c r="BI329" s="12">
        <v>74375.570000000007</v>
      </c>
      <c r="BJ329" s="2">
        <v>0</v>
      </c>
      <c r="BK329" s="5">
        <v>6941.72</v>
      </c>
      <c r="BL329" s="1" t="s">
        <v>302</v>
      </c>
    </row>
    <row r="330" spans="1:64" x14ac:dyDescent="0.3">
      <c r="A330" t="s">
        <v>1164</v>
      </c>
      <c r="B330" s="1" t="s">
        <v>1164</v>
      </c>
      <c r="C330" s="9" t="s">
        <v>1165</v>
      </c>
      <c r="D330" s="1" t="s">
        <v>95</v>
      </c>
      <c r="E330" s="1" t="s">
        <v>135</v>
      </c>
      <c r="F330" s="10" t="s">
        <v>193</v>
      </c>
      <c r="G330" s="1">
        <v>0</v>
      </c>
      <c r="H330" s="1">
        <v>0.05</v>
      </c>
      <c r="I330" s="8">
        <v>45000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474345</v>
      </c>
      <c r="AJ330" s="2">
        <v>47725</v>
      </c>
      <c r="AK330" s="2">
        <v>21176.12</v>
      </c>
      <c r="AL330" s="2">
        <v>2130.58</v>
      </c>
      <c r="AM330" s="5">
        <v>4661.34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31324.2</v>
      </c>
      <c r="AT330" s="12">
        <v>27968.039999999997</v>
      </c>
      <c r="AU330" s="2">
        <v>0</v>
      </c>
      <c r="AV330" s="5">
        <v>2610.35</v>
      </c>
      <c r="AX330" s="2">
        <v>474345</v>
      </c>
      <c r="AY330" s="2">
        <v>47725</v>
      </c>
      <c r="AZ330" s="2">
        <v>21176.12</v>
      </c>
      <c r="BA330" s="2">
        <v>2130.58</v>
      </c>
      <c r="BB330" s="5">
        <v>4661.34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31324.2</v>
      </c>
      <c r="BI330" s="12">
        <v>27968.039999999997</v>
      </c>
      <c r="BJ330" s="2">
        <v>0</v>
      </c>
      <c r="BK330" s="5">
        <v>2610.35</v>
      </c>
      <c r="BL330" s="1" t="s">
        <v>137</v>
      </c>
    </row>
    <row r="331" spans="1:64" x14ac:dyDescent="0.3">
      <c r="A331" t="s">
        <v>1168</v>
      </c>
      <c r="B331" s="1" t="s">
        <v>1168</v>
      </c>
      <c r="C331" s="9" t="s">
        <v>1169</v>
      </c>
      <c r="D331" s="1" t="s">
        <v>95</v>
      </c>
      <c r="E331" s="1" t="s">
        <v>88</v>
      </c>
      <c r="F331" s="10" t="s">
        <v>1170</v>
      </c>
      <c r="G331" s="1">
        <v>0</v>
      </c>
      <c r="H331" s="1">
        <v>0.05</v>
      </c>
      <c r="I331" s="8">
        <v>44915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823133</v>
      </c>
      <c r="AJ331" s="2">
        <v>153129</v>
      </c>
      <c r="AK331" s="2">
        <v>36747.01</v>
      </c>
      <c r="AL331" s="2">
        <v>6836.12</v>
      </c>
      <c r="AM331" s="5">
        <v>8716.619999999999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58575.72</v>
      </c>
      <c r="AT331" s="12">
        <v>52299.75</v>
      </c>
      <c r="AU331" s="2">
        <v>0</v>
      </c>
      <c r="AV331" s="5">
        <v>4881.3</v>
      </c>
      <c r="AX331" s="2">
        <v>823133</v>
      </c>
      <c r="AY331" s="2">
        <v>153129</v>
      </c>
      <c r="AZ331" s="2">
        <v>36747.01</v>
      </c>
      <c r="BA331" s="2">
        <v>6836.12</v>
      </c>
      <c r="BB331" s="5">
        <v>8716.619999999999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58575.72</v>
      </c>
      <c r="BI331" s="12">
        <v>52299.75</v>
      </c>
      <c r="BJ331" s="2">
        <v>0</v>
      </c>
      <c r="BK331" s="5">
        <v>4881.3</v>
      </c>
      <c r="BL331" s="1" t="s">
        <v>90</v>
      </c>
    </row>
    <row r="332" spans="1:64" x14ac:dyDescent="0.3">
      <c r="A332" t="s">
        <v>1175</v>
      </c>
      <c r="B332" s="1" t="s">
        <v>1175</v>
      </c>
      <c r="C332" s="9" t="s">
        <v>1176</v>
      </c>
      <c r="D332" s="1" t="s">
        <v>95</v>
      </c>
      <c r="E332" s="1" t="s">
        <v>135</v>
      </c>
      <c r="F332" s="10" t="s">
        <v>485</v>
      </c>
      <c r="G332" s="1">
        <v>0</v>
      </c>
      <c r="H332" s="1">
        <v>0.05</v>
      </c>
      <c r="I332" s="8">
        <v>0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0</v>
      </c>
      <c r="AJ332" s="2">
        <v>0</v>
      </c>
      <c r="AK332" s="2">
        <v>0</v>
      </c>
      <c r="AL332" s="2">
        <v>0</v>
      </c>
      <c r="AM332" s="5">
        <v>0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0</v>
      </c>
      <c r="AT332" s="12">
        <v>0</v>
      </c>
      <c r="AU332" s="2">
        <v>0</v>
      </c>
      <c r="AV332" s="5">
        <v>0</v>
      </c>
      <c r="AX332" s="2">
        <v>0</v>
      </c>
      <c r="AY332" s="2">
        <v>0</v>
      </c>
      <c r="AZ332" s="2">
        <v>0</v>
      </c>
      <c r="BA332" s="2">
        <v>0</v>
      </c>
      <c r="BB332" s="5">
        <v>0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0</v>
      </c>
      <c r="BI332" s="12">
        <v>0</v>
      </c>
      <c r="BJ332" s="2">
        <v>0</v>
      </c>
      <c r="BK332" s="5">
        <v>0</v>
      </c>
      <c r="BL332" s="1" t="s">
        <v>302</v>
      </c>
    </row>
    <row r="333" spans="1:64" x14ac:dyDescent="0.3">
      <c r="A333" t="s">
        <v>1177</v>
      </c>
      <c r="B333" s="1" t="s">
        <v>1177</v>
      </c>
      <c r="C333" s="9" t="s">
        <v>1178</v>
      </c>
      <c r="D333" s="1" t="s">
        <v>95</v>
      </c>
      <c r="E333" s="1" t="s">
        <v>135</v>
      </c>
      <c r="F333" s="10" t="s">
        <v>435</v>
      </c>
      <c r="G333" s="1">
        <v>0</v>
      </c>
      <c r="H333" s="1">
        <v>0.05</v>
      </c>
      <c r="I333" s="8">
        <v>44948</v>
      </c>
      <c r="J333" s="6">
        <v>541645</v>
      </c>
      <c r="K333" s="6">
        <v>71500</v>
      </c>
      <c r="L333" s="6">
        <v>24180.58</v>
      </c>
      <c r="M333" s="6">
        <v>3191.96</v>
      </c>
      <c r="N333" s="7">
        <v>5474.51</v>
      </c>
      <c r="O333" s="6">
        <v>-616506.89999999991</v>
      </c>
      <c r="P333" s="6">
        <v>-56328.3</v>
      </c>
      <c r="Q333" s="6">
        <v>-27522.62</v>
      </c>
      <c r="R333" s="6">
        <v>-2514.66</v>
      </c>
      <c r="S333" s="7">
        <v>0</v>
      </c>
      <c r="T333" s="11">
        <v>3146.94</v>
      </c>
      <c r="U333" s="6">
        <v>2809.7700000000041</v>
      </c>
      <c r="V333" s="6">
        <v>0</v>
      </c>
      <c r="W333" s="6">
        <v>-298.46000000000004</v>
      </c>
      <c r="X333" s="46">
        <v>45815</v>
      </c>
      <c r="Y333" s="1">
        <v>25112203</v>
      </c>
      <c r="Z333" s="1">
        <v>25112204</v>
      </c>
      <c r="AI333" s="2">
        <v>541645</v>
      </c>
      <c r="AJ333" s="2">
        <v>71500</v>
      </c>
      <c r="AK333" s="2">
        <v>24180.58</v>
      </c>
      <c r="AL333" s="2">
        <v>3191.96</v>
      </c>
      <c r="AM333" s="5">
        <v>5474.51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36788.699999999997</v>
      </c>
      <c r="AT333" s="12">
        <v>32847.050000000003</v>
      </c>
      <c r="AU333" s="2">
        <v>0</v>
      </c>
      <c r="AV333" s="5">
        <v>3065.72</v>
      </c>
      <c r="AX333" s="2">
        <v>0</v>
      </c>
      <c r="AY333" s="2">
        <v>0</v>
      </c>
      <c r="AZ333" s="2">
        <v>0</v>
      </c>
      <c r="BA333" s="2">
        <v>0</v>
      </c>
      <c r="BB333" s="5">
        <v>0</v>
      </c>
      <c r="BC333" s="12">
        <v>616506.89999999991</v>
      </c>
      <c r="BD333" s="2">
        <v>56328.3</v>
      </c>
      <c r="BE333" s="2">
        <v>27522.62</v>
      </c>
      <c r="BF333" s="2">
        <v>2514.66</v>
      </c>
      <c r="BG333" s="5">
        <v>0</v>
      </c>
      <c r="BH333" s="2">
        <v>33641.75</v>
      </c>
      <c r="BI333" s="12">
        <v>30037.279999999999</v>
      </c>
      <c r="BJ333" s="2">
        <v>0</v>
      </c>
      <c r="BK333" s="5">
        <v>3364.18</v>
      </c>
      <c r="BL333" s="1" t="s">
        <v>137</v>
      </c>
    </row>
    <row r="334" spans="1:64" x14ac:dyDescent="0.3">
      <c r="A334" t="s">
        <v>1179</v>
      </c>
      <c r="B334" s="1" t="s">
        <v>1179</v>
      </c>
      <c r="C334" s="9" t="s">
        <v>1180</v>
      </c>
      <c r="D334" s="1" t="s">
        <v>95</v>
      </c>
      <c r="E334" s="1" t="s">
        <v>135</v>
      </c>
      <c r="F334" s="10" t="s">
        <v>435</v>
      </c>
      <c r="G334" s="1">
        <v>0</v>
      </c>
      <c r="H334" s="1">
        <v>0.05</v>
      </c>
      <c r="I334" s="8">
        <v>45007</v>
      </c>
      <c r="J334" s="6">
        <v>244740</v>
      </c>
      <c r="K334" s="6">
        <v>52609</v>
      </c>
      <c r="L334" s="6">
        <v>10925.89</v>
      </c>
      <c r="M334" s="6">
        <v>2348.62</v>
      </c>
      <c r="N334" s="7">
        <v>2654.9</v>
      </c>
      <c r="O334" s="6">
        <v>-611152.5</v>
      </c>
      <c r="P334" s="6">
        <v>-67696.5</v>
      </c>
      <c r="Q334" s="6">
        <v>-27283.59</v>
      </c>
      <c r="R334" s="6">
        <v>-3022.16</v>
      </c>
      <c r="S334" s="7">
        <v>0</v>
      </c>
      <c r="T334" s="11">
        <v>-16101.5</v>
      </c>
      <c r="U334" s="6">
        <v>-14376.340000000002</v>
      </c>
      <c r="V334" s="6">
        <v>0</v>
      </c>
      <c r="W334" s="6">
        <v>-1907.4999999999998</v>
      </c>
      <c r="X334" s="46">
        <v>45815</v>
      </c>
      <c r="Y334" s="1">
        <v>25016250</v>
      </c>
      <c r="Z334" s="1">
        <v>25016251</v>
      </c>
      <c r="AI334" s="2">
        <v>244740</v>
      </c>
      <c r="AJ334" s="2">
        <v>52609</v>
      </c>
      <c r="AK334" s="2">
        <v>10925.89</v>
      </c>
      <c r="AL334" s="2">
        <v>2348.62</v>
      </c>
      <c r="AM334" s="5">
        <v>2654.9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17840.939999999999</v>
      </c>
      <c r="AT334" s="12">
        <v>15929.409999999998</v>
      </c>
      <c r="AU334" s="2">
        <v>0</v>
      </c>
      <c r="AV334" s="5">
        <v>1486.74</v>
      </c>
      <c r="AX334" s="2">
        <v>0</v>
      </c>
      <c r="AY334" s="2">
        <v>0</v>
      </c>
      <c r="AZ334" s="2">
        <v>0</v>
      </c>
      <c r="BA334" s="2">
        <v>0</v>
      </c>
      <c r="BB334" s="5">
        <v>0</v>
      </c>
      <c r="BC334" s="12">
        <v>611152.5</v>
      </c>
      <c r="BD334" s="2">
        <v>67696.5</v>
      </c>
      <c r="BE334" s="2">
        <v>27283.59</v>
      </c>
      <c r="BF334" s="2">
        <v>3022.16</v>
      </c>
      <c r="BG334" s="5">
        <v>0</v>
      </c>
      <c r="BH334" s="2">
        <v>33942.44</v>
      </c>
      <c r="BI334" s="12">
        <v>30305.75</v>
      </c>
      <c r="BJ334" s="2">
        <v>0</v>
      </c>
      <c r="BK334" s="5">
        <v>3394.24</v>
      </c>
      <c r="BL334" s="1" t="s">
        <v>137</v>
      </c>
    </row>
    <row r="335" spans="1:64" x14ac:dyDescent="0.3">
      <c r="A335" t="s">
        <v>1181</v>
      </c>
      <c r="B335" s="1" t="s">
        <v>1181</v>
      </c>
      <c r="C335" s="9" t="s">
        <v>1182</v>
      </c>
      <c r="D335" s="1" t="s">
        <v>95</v>
      </c>
      <c r="E335" s="1" t="s">
        <v>128</v>
      </c>
      <c r="F335" s="10" t="s">
        <v>309</v>
      </c>
      <c r="G335" s="1">
        <v>0</v>
      </c>
      <c r="H335" s="1">
        <v>0.05</v>
      </c>
      <c r="I335" s="8">
        <v>45092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302016</v>
      </c>
      <c r="AJ335" s="2">
        <v>12390</v>
      </c>
      <c r="AK335" s="2">
        <v>13482.86</v>
      </c>
      <c r="AL335" s="2">
        <v>553.12</v>
      </c>
      <c r="AM335" s="5">
        <v>2807.2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18864.36</v>
      </c>
      <c r="AT335" s="12">
        <v>16843.18</v>
      </c>
      <c r="AU335" s="2">
        <v>0</v>
      </c>
      <c r="AV335" s="5">
        <v>1572.03</v>
      </c>
      <c r="AX335" s="2">
        <v>302016</v>
      </c>
      <c r="AY335" s="2">
        <v>12390</v>
      </c>
      <c r="AZ335" s="2">
        <v>13482.86</v>
      </c>
      <c r="BA335" s="2">
        <v>553.12</v>
      </c>
      <c r="BB335" s="5">
        <v>2807.2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18864.36</v>
      </c>
      <c r="BI335" s="12">
        <v>16843.18</v>
      </c>
      <c r="BJ335" s="2">
        <v>0</v>
      </c>
      <c r="BK335" s="5">
        <v>1572.03</v>
      </c>
      <c r="BL335" s="1" t="s">
        <v>130</v>
      </c>
    </row>
    <row r="336" spans="1:64" x14ac:dyDescent="0.3">
      <c r="A336" t="s">
        <v>1183</v>
      </c>
      <c r="B336" s="1" t="s">
        <v>1183</v>
      </c>
      <c r="C336" s="9" t="s">
        <v>1184</v>
      </c>
      <c r="D336" s="1" t="s">
        <v>95</v>
      </c>
      <c r="E336" s="1" t="s">
        <v>135</v>
      </c>
      <c r="F336" s="10" t="s">
        <v>136</v>
      </c>
      <c r="G336" s="1">
        <v>0</v>
      </c>
      <c r="H336" s="1">
        <v>0.05</v>
      </c>
      <c r="I336" s="8">
        <v>44944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784052</v>
      </c>
      <c r="AJ336" s="2">
        <v>112600</v>
      </c>
      <c r="AK336" s="2">
        <v>35002.32</v>
      </c>
      <c r="AL336" s="2">
        <v>5026.79</v>
      </c>
      <c r="AM336" s="5">
        <v>8005.82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53799.12</v>
      </c>
      <c r="AT336" s="12">
        <v>48034.93</v>
      </c>
      <c r="AU336" s="2">
        <v>0</v>
      </c>
      <c r="AV336" s="5">
        <v>4483.26</v>
      </c>
      <c r="AX336" s="2">
        <v>784052</v>
      </c>
      <c r="AY336" s="2">
        <v>112600</v>
      </c>
      <c r="AZ336" s="2">
        <v>35002.32</v>
      </c>
      <c r="BA336" s="2">
        <v>5026.79</v>
      </c>
      <c r="BB336" s="5">
        <v>8005.82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53799.12</v>
      </c>
      <c r="BI336" s="12">
        <v>48034.93</v>
      </c>
      <c r="BJ336" s="2">
        <v>0</v>
      </c>
      <c r="BK336" s="5">
        <v>4483.26</v>
      </c>
      <c r="BL336" s="1" t="s">
        <v>137</v>
      </c>
    </row>
    <row r="337" spans="1:64" x14ac:dyDescent="0.3">
      <c r="A337" t="s">
        <v>1207</v>
      </c>
      <c r="B337" s="1" t="s">
        <v>1208</v>
      </c>
      <c r="C337" s="9" t="s">
        <v>1209</v>
      </c>
      <c r="D337" s="1" t="s">
        <v>95</v>
      </c>
      <c r="E337" s="1" t="s">
        <v>135</v>
      </c>
      <c r="F337" s="10" t="s">
        <v>136</v>
      </c>
      <c r="G337" s="1">
        <v>4.4999999999999998E-2</v>
      </c>
      <c r="H337" s="1">
        <v>0.05</v>
      </c>
      <c r="I337" s="8">
        <v>44441</v>
      </c>
      <c r="J337" s="6">
        <v>525222.5</v>
      </c>
      <c r="K337" s="6">
        <v>136801</v>
      </c>
      <c r="L337" s="6">
        <v>23447.43</v>
      </c>
      <c r="M337" s="6">
        <v>6107.19</v>
      </c>
      <c r="N337" s="7">
        <v>5910.92</v>
      </c>
      <c r="O337" s="6">
        <v>-850785</v>
      </c>
      <c r="P337" s="6">
        <v>-130589.70000000001</v>
      </c>
      <c r="Q337" s="6">
        <v>-37981.47</v>
      </c>
      <c r="R337" s="6">
        <v>-5829.9</v>
      </c>
      <c r="S337" s="7">
        <v>-8762.2799999999988</v>
      </c>
      <c r="T337" s="11">
        <v>-19161.080000000002</v>
      </c>
      <c r="U337" s="6">
        <v>-17108.110000000008</v>
      </c>
      <c r="V337" s="6">
        <v>0</v>
      </c>
      <c r="W337" s="6">
        <v>-1596.75</v>
      </c>
      <c r="X337" s="46">
        <v>45815</v>
      </c>
      <c r="Y337" s="1">
        <v>25016252</v>
      </c>
      <c r="Z337" s="1">
        <v>25016253</v>
      </c>
      <c r="AI337" s="2">
        <v>525222.5</v>
      </c>
      <c r="AJ337" s="2">
        <v>136801</v>
      </c>
      <c r="AK337" s="2">
        <v>23447.43</v>
      </c>
      <c r="AL337" s="2">
        <v>6107.19</v>
      </c>
      <c r="AM337" s="5">
        <v>5910.92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39721.4</v>
      </c>
      <c r="AT337" s="12">
        <v>35465.54</v>
      </c>
      <c r="AU337" s="2">
        <v>0</v>
      </c>
      <c r="AV337" s="5">
        <v>3310.12</v>
      </c>
      <c r="AX337" s="2">
        <v>0</v>
      </c>
      <c r="AY337" s="2">
        <v>0</v>
      </c>
      <c r="AZ337" s="2">
        <v>0</v>
      </c>
      <c r="BA337" s="2">
        <v>0</v>
      </c>
      <c r="BB337" s="5">
        <v>0</v>
      </c>
      <c r="BC337" s="12">
        <v>850785</v>
      </c>
      <c r="BD337" s="2">
        <v>130589.70000000001</v>
      </c>
      <c r="BE337" s="2">
        <v>37981.47</v>
      </c>
      <c r="BF337" s="2">
        <v>5829.9</v>
      </c>
      <c r="BG337" s="5">
        <v>8762.2799999999988</v>
      </c>
      <c r="BH337" s="2">
        <v>58882.49</v>
      </c>
      <c r="BI337" s="12">
        <v>52573.650000000009</v>
      </c>
      <c r="BJ337" s="2">
        <v>0</v>
      </c>
      <c r="BK337" s="5">
        <v>4906.87</v>
      </c>
      <c r="BL337" s="1" t="s">
        <v>137</v>
      </c>
    </row>
    <row r="338" spans="1:64" x14ac:dyDescent="0.3">
      <c r="A338" t="s">
        <v>1211</v>
      </c>
      <c r="B338" s="1" t="s">
        <v>1211</v>
      </c>
      <c r="C338" s="9" t="s">
        <v>1212</v>
      </c>
      <c r="D338" s="1" t="s">
        <v>95</v>
      </c>
      <c r="E338" s="1" t="s">
        <v>128</v>
      </c>
      <c r="F338" s="10" t="s">
        <v>988</v>
      </c>
      <c r="G338" s="1">
        <v>4.4999999999999998E-2</v>
      </c>
      <c r="H338" s="1">
        <v>0.05</v>
      </c>
      <c r="I338" s="8">
        <v>44956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266512</v>
      </c>
      <c r="AJ338" s="2">
        <v>23290</v>
      </c>
      <c r="AK338" s="2">
        <v>11897.86</v>
      </c>
      <c r="AL338" s="2">
        <v>1039.73</v>
      </c>
      <c r="AM338" s="5">
        <v>2587.52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17388.12</v>
      </c>
      <c r="AT338" s="12">
        <v>15525.109999999999</v>
      </c>
      <c r="AU338" s="2">
        <v>0</v>
      </c>
      <c r="AV338" s="5">
        <v>1449.02</v>
      </c>
      <c r="AX338" s="2">
        <v>266512</v>
      </c>
      <c r="AY338" s="2">
        <v>23290</v>
      </c>
      <c r="AZ338" s="2">
        <v>11897.86</v>
      </c>
      <c r="BA338" s="2">
        <v>1039.73</v>
      </c>
      <c r="BB338" s="5">
        <v>2587.52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17388.12</v>
      </c>
      <c r="BI338" s="12">
        <v>15525.109999999999</v>
      </c>
      <c r="BJ338" s="2">
        <v>0</v>
      </c>
      <c r="BK338" s="5">
        <v>1449.02</v>
      </c>
      <c r="BL338" s="1" t="s">
        <v>130</v>
      </c>
    </row>
    <row r="339" spans="1:64" x14ac:dyDescent="0.3">
      <c r="A339" t="s">
        <v>1221</v>
      </c>
      <c r="B339" s="1" t="s">
        <v>1222</v>
      </c>
      <c r="C339" s="9" t="s">
        <v>1223</v>
      </c>
      <c r="D339" s="1" t="s">
        <v>95</v>
      </c>
      <c r="E339" s="1" t="s">
        <v>128</v>
      </c>
      <c r="F339" s="10" t="s">
        <v>988</v>
      </c>
      <c r="G339" s="1">
        <v>0</v>
      </c>
      <c r="H339" s="1">
        <v>0.05</v>
      </c>
      <c r="I339" s="8">
        <v>43972</v>
      </c>
      <c r="J339" s="6">
        <v>448594</v>
      </c>
      <c r="K339" s="6">
        <v>11406</v>
      </c>
      <c r="L339" s="6">
        <v>20026.52</v>
      </c>
      <c r="M339" s="6">
        <v>509.2</v>
      </c>
      <c r="N339" s="7">
        <v>4107.1499999999996</v>
      </c>
      <c r="O339" s="6">
        <v>-530327.4</v>
      </c>
      <c r="P339" s="6">
        <v>-22021.800000000003</v>
      </c>
      <c r="Q339" s="6">
        <v>-23675.329999999998</v>
      </c>
      <c r="R339" s="6">
        <v>-983.12</v>
      </c>
      <c r="S339" s="7">
        <v>-1756.71</v>
      </c>
      <c r="T339" s="11">
        <v>-1984.96</v>
      </c>
      <c r="U339" s="6">
        <v>-1772.29</v>
      </c>
      <c r="V339" s="6">
        <v>0</v>
      </c>
      <c r="W339" s="6">
        <v>-461.74999999999989</v>
      </c>
      <c r="X339" s="46">
        <v>45815</v>
      </c>
      <c r="Y339" s="1">
        <v>25016254</v>
      </c>
      <c r="Z339" s="1">
        <v>25016255</v>
      </c>
      <c r="AI339" s="2">
        <v>448594</v>
      </c>
      <c r="AJ339" s="2">
        <v>11406</v>
      </c>
      <c r="AK339" s="2">
        <v>20026.52</v>
      </c>
      <c r="AL339" s="2">
        <v>509.2</v>
      </c>
      <c r="AM339" s="5">
        <v>4107.1499999999996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27600.01</v>
      </c>
      <c r="AT339" s="12">
        <v>24642.870000000003</v>
      </c>
      <c r="AU339" s="2">
        <v>0</v>
      </c>
      <c r="AV339" s="5">
        <v>2300</v>
      </c>
      <c r="AX339" s="2">
        <v>0</v>
      </c>
      <c r="AY339" s="2">
        <v>0</v>
      </c>
      <c r="AZ339" s="2">
        <v>0</v>
      </c>
      <c r="BA339" s="2">
        <v>0</v>
      </c>
      <c r="BB339" s="5">
        <v>0</v>
      </c>
      <c r="BC339" s="12">
        <v>530327.4</v>
      </c>
      <c r="BD339" s="2">
        <v>22021.800000000003</v>
      </c>
      <c r="BE339" s="2">
        <v>23675.329999999998</v>
      </c>
      <c r="BF339" s="2">
        <v>983.12</v>
      </c>
      <c r="BG339" s="5">
        <v>1756.71</v>
      </c>
      <c r="BH339" s="2">
        <v>29584.98</v>
      </c>
      <c r="BI339" s="12">
        <v>26415.16</v>
      </c>
      <c r="BJ339" s="2">
        <v>0</v>
      </c>
      <c r="BK339" s="5">
        <v>2761.75</v>
      </c>
      <c r="BL339" s="1" t="s">
        <v>130</v>
      </c>
    </row>
    <row r="340" spans="1:64" x14ac:dyDescent="0.3">
      <c r="A340" t="s">
        <v>1229</v>
      </c>
      <c r="B340" s="1" t="s">
        <v>1229</v>
      </c>
      <c r="C340" s="9" t="s">
        <v>1230</v>
      </c>
      <c r="D340" s="1" t="s">
        <v>95</v>
      </c>
      <c r="E340" s="1" t="s">
        <v>135</v>
      </c>
      <c r="F340" s="10" t="s">
        <v>348</v>
      </c>
      <c r="G340" s="1">
        <v>0</v>
      </c>
      <c r="H340" s="1">
        <v>0.05</v>
      </c>
      <c r="I340" s="8">
        <v>44958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889597</v>
      </c>
      <c r="AJ340" s="2">
        <v>110781</v>
      </c>
      <c r="AK340" s="2">
        <v>39714.15</v>
      </c>
      <c r="AL340" s="2">
        <v>4945.58</v>
      </c>
      <c r="AM340" s="5">
        <v>8931.9500000000007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60022.68</v>
      </c>
      <c r="AT340" s="12">
        <v>53591.680000000008</v>
      </c>
      <c r="AU340" s="2">
        <v>0</v>
      </c>
      <c r="AV340" s="5">
        <v>5001.8900000000003</v>
      </c>
      <c r="AX340" s="2">
        <v>889597</v>
      </c>
      <c r="AY340" s="2">
        <v>110781</v>
      </c>
      <c r="AZ340" s="2">
        <v>39714.15</v>
      </c>
      <c r="BA340" s="2">
        <v>4945.58</v>
      </c>
      <c r="BB340" s="5">
        <v>8931.9500000000007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60022.68</v>
      </c>
      <c r="BI340" s="12">
        <v>53591.680000000008</v>
      </c>
      <c r="BJ340" s="2">
        <v>0</v>
      </c>
      <c r="BK340" s="5">
        <v>5001.8900000000003</v>
      </c>
      <c r="BL340" s="1" t="s">
        <v>302</v>
      </c>
    </row>
    <row r="341" spans="1:64" x14ac:dyDescent="0.3">
      <c r="A341" t="s">
        <v>1231</v>
      </c>
      <c r="B341" s="1" t="s">
        <v>1231</v>
      </c>
      <c r="C341" s="9" t="s">
        <v>1232</v>
      </c>
      <c r="D341" s="1" t="s">
        <v>95</v>
      </c>
      <c r="E341" s="1" t="s">
        <v>135</v>
      </c>
      <c r="F341" s="10" t="s">
        <v>348</v>
      </c>
      <c r="G341" s="1">
        <v>0</v>
      </c>
      <c r="H341" s="1">
        <v>0.05</v>
      </c>
      <c r="I341" s="8">
        <v>44958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930675</v>
      </c>
      <c r="AJ341" s="2">
        <v>129618</v>
      </c>
      <c r="AK341" s="2">
        <v>41547.99</v>
      </c>
      <c r="AL341" s="2">
        <v>5786.52</v>
      </c>
      <c r="AM341" s="5">
        <v>9466.9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63617.58</v>
      </c>
      <c r="AT341" s="12">
        <v>56801.409999999996</v>
      </c>
      <c r="AU341" s="2">
        <v>0</v>
      </c>
      <c r="AV341" s="5">
        <v>5301.46</v>
      </c>
      <c r="AX341" s="2">
        <v>930675</v>
      </c>
      <c r="AY341" s="2">
        <v>129618</v>
      </c>
      <c r="AZ341" s="2">
        <v>41547.99</v>
      </c>
      <c r="BA341" s="2">
        <v>5786.52</v>
      </c>
      <c r="BB341" s="5">
        <v>9466.9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63617.58</v>
      </c>
      <c r="BI341" s="12">
        <v>56801.409999999996</v>
      </c>
      <c r="BJ341" s="2">
        <v>0</v>
      </c>
      <c r="BK341" s="5">
        <v>5301.46</v>
      </c>
      <c r="BL341" s="1" t="s">
        <v>302</v>
      </c>
    </row>
    <row r="342" spans="1:64" x14ac:dyDescent="0.3">
      <c r="A342" t="s">
        <v>1244</v>
      </c>
      <c r="B342" s="1" t="s">
        <v>1244</v>
      </c>
      <c r="C342" s="9" t="s">
        <v>1245</v>
      </c>
      <c r="D342" s="1" t="s">
        <v>95</v>
      </c>
      <c r="E342" s="1" t="s">
        <v>88</v>
      </c>
      <c r="F342" s="10" t="s">
        <v>1170</v>
      </c>
      <c r="G342" s="1">
        <v>0</v>
      </c>
      <c r="H342" s="1">
        <v>0.05</v>
      </c>
      <c r="I342" s="8">
        <v>45036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73382</v>
      </c>
      <c r="AJ342" s="2">
        <v>17278</v>
      </c>
      <c r="AK342" s="2">
        <v>3275.98</v>
      </c>
      <c r="AL342" s="2">
        <v>771.34</v>
      </c>
      <c r="AM342" s="5">
        <v>809.46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5439.59</v>
      </c>
      <c r="AT342" s="12">
        <v>4856.7800000000007</v>
      </c>
      <c r="AU342" s="2">
        <v>0</v>
      </c>
      <c r="AV342" s="5">
        <v>453.3</v>
      </c>
      <c r="AX342" s="2">
        <v>73382</v>
      </c>
      <c r="AY342" s="2">
        <v>17278</v>
      </c>
      <c r="AZ342" s="2">
        <v>3275.98</v>
      </c>
      <c r="BA342" s="2">
        <v>771.34</v>
      </c>
      <c r="BB342" s="5">
        <v>809.46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5439.59</v>
      </c>
      <c r="BI342" s="12">
        <v>4856.7800000000007</v>
      </c>
      <c r="BJ342" s="2">
        <v>0</v>
      </c>
      <c r="BK342" s="5">
        <v>453.3</v>
      </c>
      <c r="BL342" s="1" t="s">
        <v>90</v>
      </c>
    </row>
    <row r="343" spans="1:64" x14ac:dyDescent="0.3">
      <c r="A343" t="s">
        <v>1256</v>
      </c>
      <c r="B343" s="1" t="s">
        <v>1256</v>
      </c>
      <c r="C343" s="9" t="s">
        <v>1257</v>
      </c>
      <c r="D343" s="1" t="s">
        <v>95</v>
      </c>
      <c r="E343" s="1" t="s">
        <v>128</v>
      </c>
      <c r="F343" s="10" t="s">
        <v>129</v>
      </c>
      <c r="G343" s="1">
        <v>0</v>
      </c>
      <c r="H343" s="1">
        <v>0.05</v>
      </c>
      <c r="I343" s="8">
        <v>45062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7075.42</v>
      </c>
      <c r="T343" s="11">
        <v>7924.47</v>
      </c>
      <c r="U343" s="6">
        <v>7075.4199999999983</v>
      </c>
      <c r="V343" s="6">
        <v>0</v>
      </c>
      <c r="W343" s="6">
        <v>0</v>
      </c>
      <c r="X343" s="46">
        <v>45815</v>
      </c>
      <c r="Y343" s="1">
        <v>25112205</v>
      </c>
      <c r="Z343" s="1">
        <v>25112206</v>
      </c>
      <c r="AI343" s="2">
        <v>0</v>
      </c>
      <c r="AJ343" s="2">
        <v>0</v>
      </c>
      <c r="AK343" s="2">
        <v>0</v>
      </c>
      <c r="AL343" s="2">
        <v>0</v>
      </c>
      <c r="AM343" s="5">
        <v>0</v>
      </c>
      <c r="AN343" s="12">
        <v>759934.5</v>
      </c>
      <c r="AO343" s="2">
        <v>32513.1</v>
      </c>
      <c r="AP343" s="2">
        <v>33925.659999999996</v>
      </c>
      <c r="AQ343" s="2">
        <v>1451.49</v>
      </c>
      <c r="AR343" s="5">
        <v>7075.42</v>
      </c>
      <c r="AS343" s="2">
        <v>47546.879999999997</v>
      </c>
      <c r="AT343" s="12">
        <v>42452.569999999992</v>
      </c>
      <c r="AU343" s="2">
        <v>0</v>
      </c>
      <c r="AV343" s="5">
        <v>3962.24</v>
      </c>
      <c r="AX343" s="2">
        <v>0</v>
      </c>
      <c r="AY343" s="2">
        <v>0</v>
      </c>
      <c r="AZ343" s="2">
        <v>0</v>
      </c>
      <c r="BA343" s="2">
        <v>0</v>
      </c>
      <c r="BB343" s="5">
        <v>0</v>
      </c>
      <c r="BC343" s="12">
        <v>759934.5</v>
      </c>
      <c r="BD343" s="2">
        <v>32513.1</v>
      </c>
      <c r="BE343" s="2">
        <v>33925.659999999996</v>
      </c>
      <c r="BF343" s="2">
        <v>1451.49</v>
      </c>
      <c r="BG343" s="5">
        <v>0</v>
      </c>
      <c r="BH343" s="2">
        <v>39622.410000000003</v>
      </c>
      <c r="BI343" s="12">
        <v>35377.149999999994</v>
      </c>
      <c r="BJ343" s="2">
        <v>0</v>
      </c>
      <c r="BK343" s="5">
        <v>3962.24</v>
      </c>
      <c r="BL343" s="1" t="s">
        <v>130</v>
      </c>
    </row>
    <row r="344" spans="1:64" x14ac:dyDescent="0.3">
      <c r="A344" t="s">
        <v>1260</v>
      </c>
      <c r="B344" s="1" t="s">
        <v>1260</v>
      </c>
      <c r="C344" s="9" t="s">
        <v>1261</v>
      </c>
      <c r="D344" s="1" t="s">
        <v>95</v>
      </c>
      <c r="E344" s="1" t="s">
        <v>128</v>
      </c>
      <c r="F344" s="10" t="s">
        <v>129</v>
      </c>
      <c r="G344" s="1">
        <v>0</v>
      </c>
      <c r="H344" s="1">
        <v>0.05</v>
      </c>
      <c r="I344" s="8">
        <v>45085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5024.72</v>
      </c>
      <c r="T344" s="11">
        <v>5627.69</v>
      </c>
      <c r="U344" s="6">
        <v>5024.7200000000012</v>
      </c>
      <c r="V344" s="6">
        <v>0</v>
      </c>
      <c r="W344" s="6">
        <v>0</v>
      </c>
      <c r="X344" s="46">
        <v>45815</v>
      </c>
      <c r="Y344" s="1">
        <v>25112207</v>
      </c>
      <c r="Z344" s="1">
        <v>25112208</v>
      </c>
      <c r="AI344" s="2">
        <v>0</v>
      </c>
      <c r="AJ344" s="2">
        <v>0</v>
      </c>
      <c r="AK344" s="2">
        <v>0</v>
      </c>
      <c r="AL344" s="2">
        <v>0</v>
      </c>
      <c r="AM344" s="5">
        <v>0</v>
      </c>
      <c r="AN344" s="12">
        <v>539197.80000000005</v>
      </c>
      <c r="AO344" s="2">
        <v>23571.600000000002</v>
      </c>
      <c r="AP344" s="2">
        <v>24071.33</v>
      </c>
      <c r="AQ344" s="2">
        <v>1052.3</v>
      </c>
      <c r="AR344" s="5">
        <v>5024.72</v>
      </c>
      <c r="AS344" s="2">
        <v>33766.15</v>
      </c>
      <c r="AT344" s="12">
        <v>30148.350000000002</v>
      </c>
      <c r="AU344" s="2">
        <v>0</v>
      </c>
      <c r="AV344" s="5">
        <v>2813.85</v>
      </c>
      <c r="AX344" s="2">
        <v>0</v>
      </c>
      <c r="AY344" s="2">
        <v>0</v>
      </c>
      <c r="AZ344" s="2">
        <v>0</v>
      </c>
      <c r="BA344" s="2">
        <v>0</v>
      </c>
      <c r="BB344" s="5">
        <v>0</v>
      </c>
      <c r="BC344" s="12">
        <v>539197.80000000005</v>
      </c>
      <c r="BD344" s="2">
        <v>23571.600000000002</v>
      </c>
      <c r="BE344" s="2">
        <v>24071.33</v>
      </c>
      <c r="BF344" s="2">
        <v>1052.3</v>
      </c>
      <c r="BG344" s="5">
        <v>0</v>
      </c>
      <c r="BH344" s="2">
        <v>28138.47</v>
      </c>
      <c r="BI344" s="12">
        <v>25123.63</v>
      </c>
      <c r="BJ344" s="2">
        <v>0</v>
      </c>
      <c r="BK344" s="5">
        <v>2813.85</v>
      </c>
      <c r="BL344" s="1" t="s">
        <v>130</v>
      </c>
    </row>
    <row r="345" spans="1:64" x14ac:dyDescent="0.3">
      <c r="A345" t="s">
        <v>1264</v>
      </c>
      <c r="B345" s="1" t="s">
        <v>1264</v>
      </c>
      <c r="C345" s="9" t="s">
        <v>1265</v>
      </c>
      <c r="D345" s="1" t="s">
        <v>95</v>
      </c>
      <c r="E345" s="1" t="s">
        <v>135</v>
      </c>
      <c r="F345" s="10" t="s">
        <v>435</v>
      </c>
      <c r="G345" s="1">
        <v>0</v>
      </c>
      <c r="H345" s="1">
        <v>0.05</v>
      </c>
      <c r="I345" s="8">
        <v>45066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683821</v>
      </c>
      <c r="AJ345" s="2">
        <v>105075</v>
      </c>
      <c r="AK345" s="2">
        <v>30527.72</v>
      </c>
      <c r="AL345" s="2">
        <v>4690.8500000000004</v>
      </c>
      <c r="AM345" s="5">
        <v>7043.71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47333.75</v>
      </c>
      <c r="AT345" s="12">
        <v>42262.28</v>
      </c>
      <c r="AU345" s="2">
        <v>0</v>
      </c>
      <c r="AV345" s="5">
        <v>3944.48</v>
      </c>
      <c r="AX345" s="2">
        <v>683821</v>
      </c>
      <c r="AY345" s="2">
        <v>105075</v>
      </c>
      <c r="AZ345" s="2">
        <v>30527.72</v>
      </c>
      <c r="BA345" s="2">
        <v>4690.8500000000004</v>
      </c>
      <c r="BB345" s="5">
        <v>7043.71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47333.75</v>
      </c>
      <c r="BI345" s="12">
        <v>42262.28</v>
      </c>
      <c r="BJ345" s="2">
        <v>0</v>
      </c>
      <c r="BK345" s="5">
        <v>3944.48</v>
      </c>
      <c r="BL345" s="1" t="s">
        <v>137</v>
      </c>
    </row>
    <row r="346" spans="1:64" x14ac:dyDescent="0.3">
      <c r="A346" t="s">
        <v>1266</v>
      </c>
      <c r="B346" s="1" t="s">
        <v>1266</v>
      </c>
      <c r="C346" s="9" t="s">
        <v>1267</v>
      </c>
      <c r="D346" s="1" t="s">
        <v>95</v>
      </c>
      <c r="E346" s="1" t="s">
        <v>128</v>
      </c>
      <c r="F346" s="10" t="s">
        <v>129</v>
      </c>
      <c r="G346" s="1">
        <v>0</v>
      </c>
      <c r="H346" s="1">
        <v>0.05</v>
      </c>
      <c r="I346" s="8">
        <v>45091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529334</v>
      </c>
      <c r="AJ346" s="2">
        <v>9561</v>
      </c>
      <c r="AK346" s="2">
        <v>23630.98</v>
      </c>
      <c r="AL346" s="2">
        <v>426.83</v>
      </c>
      <c r="AM346" s="5">
        <v>4811.5600000000004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32333.69</v>
      </c>
      <c r="AT346" s="12">
        <v>28869.370000000003</v>
      </c>
      <c r="AU346" s="2">
        <v>0</v>
      </c>
      <c r="AV346" s="5">
        <v>2694.48</v>
      </c>
      <c r="AX346" s="2">
        <v>529334</v>
      </c>
      <c r="AY346" s="2">
        <v>9561</v>
      </c>
      <c r="AZ346" s="2">
        <v>23630.98</v>
      </c>
      <c r="BA346" s="2">
        <v>426.83</v>
      </c>
      <c r="BB346" s="5">
        <v>4811.5600000000004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32333.69</v>
      </c>
      <c r="BI346" s="12">
        <v>28869.370000000003</v>
      </c>
      <c r="BJ346" s="2">
        <v>0</v>
      </c>
      <c r="BK346" s="5">
        <v>2694.48</v>
      </c>
      <c r="BL346" s="1" t="s">
        <v>130</v>
      </c>
    </row>
    <row r="347" spans="1:64" x14ac:dyDescent="0.3">
      <c r="A347" t="s">
        <v>1278</v>
      </c>
      <c r="B347" s="1" t="s">
        <v>1278</v>
      </c>
      <c r="C347" s="9" t="s">
        <v>1279</v>
      </c>
      <c r="D347" s="1" t="s">
        <v>95</v>
      </c>
      <c r="E347" s="1" t="s">
        <v>135</v>
      </c>
      <c r="F347" s="10" t="s">
        <v>193</v>
      </c>
      <c r="G347" s="1">
        <v>0</v>
      </c>
      <c r="H347" s="1">
        <v>0.05</v>
      </c>
      <c r="I347" s="8">
        <v>45107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437178</v>
      </c>
      <c r="AJ347" s="2">
        <v>34211</v>
      </c>
      <c r="AK347" s="2">
        <v>19516.88</v>
      </c>
      <c r="AL347" s="2">
        <v>1527.28</v>
      </c>
      <c r="AM347" s="5">
        <v>4208.83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28283.35</v>
      </c>
      <c r="AT347" s="12">
        <v>25252.989999999998</v>
      </c>
      <c r="AU347" s="2">
        <v>0</v>
      </c>
      <c r="AV347" s="5">
        <v>2356.9499999999998</v>
      </c>
      <c r="AX347" s="2">
        <v>437178</v>
      </c>
      <c r="AY347" s="2">
        <v>34211</v>
      </c>
      <c r="AZ347" s="2">
        <v>19516.88</v>
      </c>
      <c r="BA347" s="2">
        <v>1527.28</v>
      </c>
      <c r="BB347" s="5">
        <v>4208.83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28283.35</v>
      </c>
      <c r="BI347" s="12">
        <v>25252.989999999998</v>
      </c>
      <c r="BJ347" s="2">
        <v>0</v>
      </c>
      <c r="BK347" s="5">
        <v>2356.9499999999998</v>
      </c>
      <c r="BL347" s="1" t="s">
        <v>137</v>
      </c>
    </row>
    <row r="348" spans="1:64" x14ac:dyDescent="0.3">
      <c r="A348" t="s">
        <v>1280</v>
      </c>
      <c r="B348" s="1" t="s">
        <v>1280</v>
      </c>
      <c r="C348" s="9" t="s">
        <v>1281</v>
      </c>
      <c r="D348" s="1" t="s">
        <v>95</v>
      </c>
      <c r="E348" s="1" t="s">
        <v>88</v>
      </c>
      <c r="F348" s="10" t="s">
        <v>1170</v>
      </c>
      <c r="G348" s="1">
        <v>0</v>
      </c>
      <c r="H348" s="1">
        <v>0.05</v>
      </c>
      <c r="I348" s="8">
        <v>45135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97936</v>
      </c>
      <c r="AJ348" s="2">
        <v>23500</v>
      </c>
      <c r="AK348" s="2">
        <v>4372.1400000000003</v>
      </c>
      <c r="AL348" s="2">
        <v>1049.1099999999999</v>
      </c>
      <c r="AM348" s="5">
        <v>1084.25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7286.16</v>
      </c>
      <c r="AT348" s="12">
        <v>6505.5</v>
      </c>
      <c r="AU348" s="2">
        <v>0</v>
      </c>
      <c r="AV348" s="5">
        <v>607.17999999999995</v>
      </c>
      <c r="AX348" s="2">
        <v>97936</v>
      </c>
      <c r="AY348" s="2">
        <v>23500</v>
      </c>
      <c r="AZ348" s="2">
        <v>4372.1400000000003</v>
      </c>
      <c r="BA348" s="2">
        <v>1049.1099999999999</v>
      </c>
      <c r="BB348" s="5">
        <v>1084.25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7286.16</v>
      </c>
      <c r="BI348" s="12">
        <v>6505.5</v>
      </c>
      <c r="BJ348" s="2">
        <v>0</v>
      </c>
      <c r="BK348" s="5">
        <v>607.17999999999995</v>
      </c>
      <c r="BL348" s="1" t="s">
        <v>90</v>
      </c>
    </row>
    <row r="349" spans="1:64" x14ac:dyDescent="0.3">
      <c r="A349" t="s">
        <v>1284</v>
      </c>
      <c r="B349" s="1" t="s">
        <v>1284</v>
      </c>
      <c r="C349" s="9" t="s">
        <v>1285</v>
      </c>
      <c r="D349" s="1" t="s">
        <v>95</v>
      </c>
      <c r="E349" s="1" t="s">
        <v>135</v>
      </c>
      <c r="F349" s="10" t="s">
        <v>348</v>
      </c>
      <c r="G349" s="1">
        <v>0</v>
      </c>
      <c r="H349" s="1">
        <v>0.05</v>
      </c>
      <c r="I349" s="8">
        <v>45107</v>
      </c>
      <c r="J349" s="6">
        <v>871394</v>
      </c>
      <c r="K349" s="6">
        <v>102127</v>
      </c>
      <c r="L349" s="6">
        <v>38901.519999999997</v>
      </c>
      <c r="M349" s="6">
        <v>4559.24</v>
      </c>
      <c r="N349" s="7">
        <v>8692.15</v>
      </c>
      <c r="O349" s="6">
        <v>-637058.10000000009</v>
      </c>
      <c r="P349" s="6">
        <v>-26201.399999999998</v>
      </c>
      <c r="Q349" s="6">
        <v>-28440.1</v>
      </c>
      <c r="R349" s="6">
        <v>-1169.71</v>
      </c>
      <c r="S349" s="7">
        <v>0</v>
      </c>
      <c r="T349" s="11">
        <v>25248.27</v>
      </c>
      <c r="U349" s="6">
        <v>22543.1</v>
      </c>
      <c r="V349" s="6">
        <v>0</v>
      </c>
      <c r="W349" s="6">
        <v>1551.3099999999995</v>
      </c>
      <c r="X349" s="46">
        <v>45815</v>
      </c>
      <c r="Y349" s="1">
        <v>25112209</v>
      </c>
      <c r="Z349" s="1">
        <v>25112210</v>
      </c>
      <c r="AI349" s="2">
        <v>871394</v>
      </c>
      <c r="AJ349" s="2">
        <v>102127</v>
      </c>
      <c r="AK349" s="2">
        <v>38901.519999999997</v>
      </c>
      <c r="AL349" s="2">
        <v>4559.24</v>
      </c>
      <c r="AM349" s="5">
        <v>8692.15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58411.26</v>
      </c>
      <c r="AT349" s="12">
        <v>52152.909999999996</v>
      </c>
      <c r="AU349" s="2">
        <v>0</v>
      </c>
      <c r="AV349" s="5">
        <v>4867.6099999999997</v>
      </c>
      <c r="AX349" s="2">
        <v>0</v>
      </c>
      <c r="AY349" s="2">
        <v>0</v>
      </c>
      <c r="AZ349" s="2">
        <v>0</v>
      </c>
      <c r="BA349" s="2">
        <v>0</v>
      </c>
      <c r="BB349" s="5">
        <v>0</v>
      </c>
      <c r="BC349" s="12">
        <v>637058.10000000009</v>
      </c>
      <c r="BD349" s="2">
        <v>26201.399999999998</v>
      </c>
      <c r="BE349" s="2">
        <v>28440.1</v>
      </c>
      <c r="BF349" s="2">
        <v>1169.71</v>
      </c>
      <c r="BG349" s="5">
        <v>0</v>
      </c>
      <c r="BH349" s="2">
        <v>33162.99</v>
      </c>
      <c r="BI349" s="12">
        <v>29609.809999999998</v>
      </c>
      <c r="BJ349" s="2">
        <v>0</v>
      </c>
      <c r="BK349" s="5">
        <v>3316.3</v>
      </c>
      <c r="BL349" s="1" t="s">
        <v>137</v>
      </c>
    </row>
    <row r="350" spans="1:64" x14ac:dyDescent="0.3">
      <c r="A350" t="s">
        <v>1286</v>
      </c>
      <c r="B350" s="1" t="s">
        <v>1286</v>
      </c>
      <c r="C350" s="9" t="s">
        <v>1287</v>
      </c>
      <c r="D350" s="1" t="s">
        <v>95</v>
      </c>
      <c r="E350" s="1" t="s">
        <v>135</v>
      </c>
      <c r="F350" s="10" t="s">
        <v>435</v>
      </c>
      <c r="G350" s="1">
        <v>0</v>
      </c>
      <c r="H350" s="1">
        <v>0.05</v>
      </c>
      <c r="I350" s="8">
        <v>45122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407904</v>
      </c>
      <c r="AJ350" s="2">
        <v>46319</v>
      </c>
      <c r="AK350" s="2">
        <v>18210</v>
      </c>
      <c r="AL350" s="2">
        <v>2067.81</v>
      </c>
      <c r="AM350" s="5">
        <v>4055.56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27253.37</v>
      </c>
      <c r="AT350" s="12">
        <v>24333.370000000003</v>
      </c>
      <c r="AU350" s="2">
        <v>0</v>
      </c>
      <c r="AV350" s="5">
        <v>2271.12</v>
      </c>
      <c r="AX350" s="2">
        <v>407904</v>
      </c>
      <c r="AY350" s="2">
        <v>46319</v>
      </c>
      <c r="AZ350" s="2">
        <v>18210</v>
      </c>
      <c r="BA350" s="2">
        <v>2067.81</v>
      </c>
      <c r="BB350" s="5">
        <v>4055.56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27253.37</v>
      </c>
      <c r="BI350" s="12">
        <v>24333.370000000003</v>
      </c>
      <c r="BJ350" s="2">
        <v>0</v>
      </c>
      <c r="BK350" s="5">
        <v>2271.12</v>
      </c>
      <c r="BL350" s="1" t="s">
        <v>137</v>
      </c>
    </row>
    <row r="351" spans="1:64" x14ac:dyDescent="0.3">
      <c r="A351" t="s">
        <v>1288</v>
      </c>
      <c r="B351" s="1" t="s">
        <v>1289</v>
      </c>
      <c r="C351" s="9" t="s">
        <v>1290</v>
      </c>
      <c r="D351" s="1" t="s">
        <v>95</v>
      </c>
      <c r="E351" s="1" t="s">
        <v>128</v>
      </c>
      <c r="F351" s="10" t="s">
        <v>401</v>
      </c>
      <c r="G351" s="1">
        <v>3.5000000000000003E-2</v>
      </c>
      <c r="H351" s="1">
        <v>0.05</v>
      </c>
      <c r="I351" s="8">
        <v>45664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1837116</v>
      </c>
      <c r="AJ351" s="2">
        <v>93476</v>
      </c>
      <c r="AK351" s="2">
        <v>82014.11</v>
      </c>
      <c r="AL351" s="2">
        <v>4173.03</v>
      </c>
      <c r="AM351" s="5">
        <v>17237.43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115835.52</v>
      </c>
      <c r="AT351" s="12">
        <v>103424.56999999999</v>
      </c>
      <c r="AU351" s="2">
        <v>0</v>
      </c>
      <c r="AV351" s="5">
        <v>9652.9599999999991</v>
      </c>
      <c r="AX351" s="2">
        <v>1837116</v>
      </c>
      <c r="AY351" s="2">
        <v>93476</v>
      </c>
      <c r="AZ351" s="2">
        <v>82014.11</v>
      </c>
      <c r="BA351" s="2">
        <v>4173.03</v>
      </c>
      <c r="BB351" s="5">
        <v>17237.43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115835.52</v>
      </c>
      <c r="BI351" s="12">
        <v>103424.56999999999</v>
      </c>
      <c r="BJ351" s="2">
        <v>0</v>
      </c>
      <c r="BK351" s="5">
        <v>9652.9599999999991</v>
      </c>
      <c r="BL351" s="1" t="s">
        <v>326</v>
      </c>
    </row>
    <row r="352" spans="1:64" x14ac:dyDescent="0.3">
      <c r="A352" t="s">
        <v>1304</v>
      </c>
      <c r="B352" s="1" t="s">
        <v>1304</v>
      </c>
      <c r="C352" s="9" t="s">
        <v>1305</v>
      </c>
      <c r="D352" s="1" t="s">
        <v>95</v>
      </c>
      <c r="E352" s="1" t="s">
        <v>88</v>
      </c>
      <c r="F352" s="10" t="s">
        <v>1170</v>
      </c>
      <c r="G352" s="1">
        <v>0</v>
      </c>
      <c r="H352" s="1">
        <v>0.05</v>
      </c>
      <c r="I352" s="8">
        <v>45316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321992</v>
      </c>
      <c r="AJ352" s="2">
        <v>41865</v>
      </c>
      <c r="AK352" s="2">
        <v>14374.64</v>
      </c>
      <c r="AL352" s="2">
        <v>1868.97</v>
      </c>
      <c r="AM352" s="5">
        <v>3248.72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21831.41</v>
      </c>
      <c r="AT352" s="12">
        <v>19492.329999999998</v>
      </c>
      <c r="AU352" s="2">
        <v>0</v>
      </c>
      <c r="AV352" s="5">
        <v>1819.28</v>
      </c>
      <c r="AX352" s="2">
        <v>321992</v>
      </c>
      <c r="AY352" s="2">
        <v>41865</v>
      </c>
      <c r="AZ352" s="2">
        <v>14374.64</v>
      </c>
      <c r="BA352" s="2">
        <v>1868.97</v>
      </c>
      <c r="BB352" s="5">
        <v>3248.72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21831.41</v>
      </c>
      <c r="BI352" s="12">
        <v>19492.329999999998</v>
      </c>
      <c r="BJ352" s="2">
        <v>0</v>
      </c>
      <c r="BK352" s="5">
        <v>1819.28</v>
      </c>
      <c r="BL352" s="1" t="s">
        <v>90</v>
      </c>
    </row>
    <row r="353" spans="1:64" x14ac:dyDescent="0.3">
      <c r="A353" t="s">
        <v>1306</v>
      </c>
      <c r="B353" s="1" t="s">
        <v>1306</v>
      </c>
      <c r="C353" s="9" t="s">
        <v>1307</v>
      </c>
      <c r="D353" s="1" t="s">
        <v>95</v>
      </c>
      <c r="E353" s="1" t="s">
        <v>128</v>
      </c>
      <c r="F353" s="10" t="s">
        <v>129</v>
      </c>
      <c r="G353" s="1">
        <v>0</v>
      </c>
      <c r="H353" s="1">
        <v>0.05</v>
      </c>
      <c r="I353" s="8">
        <v>45199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174100</v>
      </c>
      <c r="AJ353" s="2">
        <v>53874</v>
      </c>
      <c r="AK353" s="2">
        <v>7772.32</v>
      </c>
      <c r="AL353" s="2">
        <v>2405.09</v>
      </c>
      <c r="AM353" s="5">
        <v>2035.48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13678.44</v>
      </c>
      <c r="AT353" s="12">
        <v>12212.89</v>
      </c>
      <c r="AU353" s="2">
        <v>0</v>
      </c>
      <c r="AV353" s="5">
        <v>1139.8699999999999</v>
      </c>
      <c r="AX353" s="2">
        <v>174100</v>
      </c>
      <c r="AY353" s="2">
        <v>53874</v>
      </c>
      <c r="AZ353" s="2">
        <v>7772.32</v>
      </c>
      <c r="BA353" s="2">
        <v>2405.09</v>
      </c>
      <c r="BB353" s="5">
        <v>2035.48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13678.44</v>
      </c>
      <c r="BI353" s="12">
        <v>12212.89</v>
      </c>
      <c r="BJ353" s="2">
        <v>0</v>
      </c>
      <c r="BK353" s="5">
        <v>1139.8699999999999</v>
      </c>
      <c r="BL353" s="1" t="s">
        <v>130</v>
      </c>
    </row>
    <row r="354" spans="1:64" x14ac:dyDescent="0.3">
      <c r="A354" t="s">
        <v>1318</v>
      </c>
      <c r="B354" s="1" t="s">
        <v>1318</v>
      </c>
      <c r="C354" s="9" t="s">
        <v>1319</v>
      </c>
      <c r="D354" s="1" t="s">
        <v>95</v>
      </c>
      <c r="E354" s="1" t="s">
        <v>88</v>
      </c>
      <c r="F354" s="10" t="s">
        <v>218</v>
      </c>
      <c r="G354" s="1">
        <v>0</v>
      </c>
      <c r="H354" s="1">
        <v>0.05</v>
      </c>
      <c r="I354" s="8">
        <v>45615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481894</v>
      </c>
      <c r="AJ354" s="2">
        <v>32996</v>
      </c>
      <c r="AK354" s="2">
        <v>21513.119999999999</v>
      </c>
      <c r="AL354" s="2">
        <v>1473.04</v>
      </c>
      <c r="AM354" s="5">
        <v>4597.2299999999996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30893.4</v>
      </c>
      <c r="AT354" s="12">
        <v>27583.39</v>
      </c>
      <c r="AU354" s="2">
        <v>0</v>
      </c>
      <c r="AV354" s="5">
        <v>2574.4499999999998</v>
      </c>
      <c r="AX354" s="2">
        <v>481894</v>
      </c>
      <c r="AY354" s="2">
        <v>32996</v>
      </c>
      <c r="AZ354" s="2">
        <v>21513.119999999999</v>
      </c>
      <c r="BA354" s="2">
        <v>1473.04</v>
      </c>
      <c r="BB354" s="5">
        <v>4597.2299999999996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30893.4</v>
      </c>
      <c r="BI354" s="12">
        <v>27583.39</v>
      </c>
      <c r="BJ354" s="2">
        <v>0</v>
      </c>
      <c r="BK354" s="5">
        <v>2574.4499999999998</v>
      </c>
      <c r="BL354" s="1" t="s">
        <v>90</v>
      </c>
    </row>
    <row r="355" spans="1:64" x14ac:dyDescent="0.3">
      <c r="A355" t="s">
        <v>1320</v>
      </c>
      <c r="B355" s="1" t="s">
        <v>1320</v>
      </c>
      <c r="C355" s="9" t="s">
        <v>1321</v>
      </c>
      <c r="D355" s="1" t="s">
        <v>95</v>
      </c>
      <c r="E355" s="1" t="s">
        <v>88</v>
      </c>
      <c r="F355" s="10" t="s">
        <v>96</v>
      </c>
      <c r="G355" s="1">
        <v>0</v>
      </c>
      <c r="H355" s="1">
        <v>0.05</v>
      </c>
      <c r="I355" s="8">
        <v>45185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294984</v>
      </c>
      <c r="AJ355" s="2">
        <v>112813</v>
      </c>
      <c r="AK355" s="2">
        <v>13168.93</v>
      </c>
      <c r="AL355" s="2">
        <v>5036.29</v>
      </c>
      <c r="AM355" s="5">
        <v>3641.04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24467.81</v>
      </c>
      <c r="AT355" s="12">
        <v>21846.260000000002</v>
      </c>
      <c r="AU355" s="2">
        <v>0</v>
      </c>
      <c r="AV355" s="5">
        <v>2038.98</v>
      </c>
      <c r="AX355" s="2">
        <v>294984</v>
      </c>
      <c r="AY355" s="2">
        <v>112813</v>
      </c>
      <c r="AZ355" s="2">
        <v>13168.93</v>
      </c>
      <c r="BA355" s="2">
        <v>5036.29</v>
      </c>
      <c r="BB355" s="5">
        <v>3641.04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24467.81</v>
      </c>
      <c r="BI355" s="12">
        <v>21846.260000000002</v>
      </c>
      <c r="BJ355" s="2">
        <v>0</v>
      </c>
      <c r="BK355" s="5">
        <v>2038.98</v>
      </c>
      <c r="BL355" s="1" t="s">
        <v>90</v>
      </c>
    </row>
    <row r="356" spans="1:64" x14ac:dyDescent="0.3">
      <c r="A356" t="s">
        <v>1322</v>
      </c>
      <c r="B356" s="1" t="s">
        <v>1322</v>
      </c>
      <c r="C356" s="9" t="s">
        <v>1323</v>
      </c>
      <c r="D356" s="1" t="s">
        <v>95</v>
      </c>
      <c r="E356" s="1" t="s">
        <v>135</v>
      </c>
      <c r="F356" s="10" t="s">
        <v>435</v>
      </c>
      <c r="G356" s="1">
        <v>0</v>
      </c>
      <c r="H356" s="1">
        <v>0.05</v>
      </c>
      <c r="I356" s="8">
        <v>45184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499441</v>
      </c>
      <c r="AJ356" s="2">
        <v>70210</v>
      </c>
      <c r="AK356" s="2">
        <v>22296.47</v>
      </c>
      <c r="AL356" s="2">
        <v>3134.38</v>
      </c>
      <c r="AM356" s="5">
        <v>5086.17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34179.06</v>
      </c>
      <c r="AT356" s="12">
        <v>30517.02</v>
      </c>
      <c r="AU356" s="2">
        <v>0</v>
      </c>
      <c r="AV356" s="5">
        <v>2848.26</v>
      </c>
      <c r="AX356" s="2">
        <v>499441</v>
      </c>
      <c r="AY356" s="2">
        <v>70210</v>
      </c>
      <c r="AZ356" s="2">
        <v>22296.47</v>
      </c>
      <c r="BA356" s="2">
        <v>3134.38</v>
      </c>
      <c r="BB356" s="5">
        <v>5086.17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34179.06</v>
      </c>
      <c r="BI356" s="12">
        <v>30517.02</v>
      </c>
      <c r="BJ356" s="2">
        <v>0</v>
      </c>
      <c r="BK356" s="5">
        <v>2848.26</v>
      </c>
      <c r="BL356" s="1" t="s">
        <v>137</v>
      </c>
    </row>
    <row r="357" spans="1:64" x14ac:dyDescent="0.3">
      <c r="A357" t="s">
        <v>1344</v>
      </c>
      <c r="B357" s="1" t="s">
        <v>1344</v>
      </c>
      <c r="C357" s="9" t="s">
        <v>1345</v>
      </c>
      <c r="D357" s="1" t="s">
        <v>95</v>
      </c>
      <c r="E357" s="1" t="s">
        <v>88</v>
      </c>
      <c r="F357" s="10" t="s">
        <v>1170</v>
      </c>
      <c r="G357" s="1">
        <v>0</v>
      </c>
      <c r="H357" s="1">
        <v>0.05</v>
      </c>
      <c r="I357" s="8">
        <v>45280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45644</v>
      </c>
      <c r="AJ357" s="2">
        <v>15832</v>
      </c>
      <c r="AK357" s="2">
        <v>2037.68</v>
      </c>
      <c r="AL357" s="2">
        <v>706.79</v>
      </c>
      <c r="AM357" s="5">
        <v>548.89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3688.56</v>
      </c>
      <c r="AT357" s="12">
        <v>3293.36</v>
      </c>
      <c r="AU357" s="2">
        <v>0</v>
      </c>
      <c r="AV357" s="5">
        <v>307.38</v>
      </c>
      <c r="AX357" s="2">
        <v>45644</v>
      </c>
      <c r="AY357" s="2">
        <v>15832</v>
      </c>
      <c r="AZ357" s="2">
        <v>2037.68</v>
      </c>
      <c r="BA357" s="2">
        <v>706.79</v>
      </c>
      <c r="BB357" s="5">
        <v>548.89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3688.56</v>
      </c>
      <c r="BI357" s="12">
        <v>3293.36</v>
      </c>
      <c r="BJ357" s="2">
        <v>0</v>
      </c>
      <c r="BK357" s="5">
        <v>307.38</v>
      </c>
      <c r="BL357" s="1" t="s">
        <v>90</v>
      </c>
    </row>
    <row r="358" spans="1:64" x14ac:dyDescent="0.3">
      <c r="A358" t="s">
        <v>1346</v>
      </c>
      <c r="B358" s="1" t="s">
        <v>1346</v>
      </c>
      <c r="C358" s="9" t="s">
        <v>1347</v>
      </c>
      <c r="D358" s="1" t="s">
        <v>95</v>
      </c>
      <c r="E358" s="1" t="s">
        <v>88</v>
      </c>
      <c r="F358" s="10" t="s">
        <v>1348</v>
      </c>
      <c r="G358" s="1">
        <v>0</v>
      </c>
      <c r="H358" s="1">
        <v>0.05</v>
      </c>
      <c r="I358" s="8">
        <v>45270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158704</v>
      </c>
      <c r="AJ358" s="2">
        <v>35464</v>
      </c>
      <c r="AK358" s="2">
        <v>7085</v>
      </c>
      <c r="AL358" s="2">
        <v>1583.21</v>
      </c>
      <c r="AM358" s="5">
        <v>1733.64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11650.07</v>
      </c>
      <c r="AT358" s="12">
        <v>10401.849999999999</v>
      </c>
      <c r="AU358" s="2">
        <v>0</v>
      </c>
      <c r="AV358" s="5">
        <v>970.84</v>
      </c>
      <c r="AX358" s="2">
        <v>158704</v>
      </c>
      <c r="AY358" s="2">
        <v>35464</v>
      </c>
      <c r="AZ358" s="2">
        <v>7085</v>
      </c>
      <c r="BA358" s="2">
        <v>1583.21</v>
      </c>
      <c r="BB358" s="5">
        <v>1733.64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11650.07</v>
      </c>
      <c r="BI358" s="12">
        <v>10401.849999999999</v>
      </c>
      <c r="BJ358" s="2">
        <v>0</v>
      </c>
      <c r="BK358" s="5">
        <v>970.84</v>
      </c>
      <c r="BL358" s="1" t="s">
        <v>90</v>
      </c>
    </row>
    <row r="359" spans="1:64" x14ac:dyDescent="0.3">
      <c r="A359" t="s">
        <v>1349</v>
      </c>
      <c r="B359" s="1" t="s">
        <v>1349</v>
      </c>
      <c r="C359" s="9" t="s">
        <v>1350</v>
      </c>
      <c r="D359" s="1" t="s">
        <v>95</v>
      </c>
      <c r="E359" s="1" t="s">
        <v>135</v>
      </c>
      <c r="F359" s="10" t="s">
        <v>435</v>
      </c>
      <c r="G359" s="1">
        <v>0</v>
      </c>
      <c r="H359" s="1">
        <v>0.05</v>
      </c>
      <c r="I359" s="8">
        <v>45270</v>
      </c>
      <c r="J359" s="6">
        <v>355194</v>
      </c>
      <c r="K359" s="6">
        <v>98502</v>
      </c>
      <c r="L359" s="6">
        <v>15856.88</v>
      </c>
      <c r="M359" s="6">
        <v>4397.41</v>
      </c>
      <c r="N359" s="7">
        <v>4050.86</v>
      </c>
      <c r="O359" s="6">
        <v>-400403.10000000003</v>
      </c>
      <c r="P359" s="6">
        <v>-16609.5</v>
      </c>
      <c r="Q359" s="6">
        <v>-17875.14</v>
      </c>
      <c r="R359" s="6">
        <v>-741.5</v>
      </c>
      <c r="S359" s="7">
        <v>0</v>
      </c>
      <c r="T359" s="11">
        <v>6371.13</v>
      </c>
      <c r="U359" s="6">
        <v>5688.510000000002</v>
      </c>
      <c r="V359" s="6">
        <v>0</v>
      </c>
      <c r="W359" s="6">
        <v>183.42000000000007</v>
      </c>
      <c r="X359" s="46">
        <v>45815</v>
      </c>
      <c r="Y359" s="1">
        <v>25112211</v>
      </c>
      <c r="Z359" s="1">
        <v>25112212</v>
      </c>
      <c r="AI359" s="2">
        <v>355194</v>
      </c>
      <c r="AJ359" s="2">
        <v>98502</v>
      </c>
      <c r="AK359" s="2">
        <v>15856.88</v>
      </c>
      <c r="AL359" s="2">
        <v>4397.41</v>
      </c>
      <c r="AM359" s="5">
        <v>4050.86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27221.77</v>
      </c>
      <c r="AT359" s="12">
        <v>24305.15</v>
      </c>
      <c r="AU359" s="2">
        <v>0</v>
      </c>
      <c r="AV359" s="5">
        <v>2268.48</v>
      </c>
      <c r="AX359" s="2">
        <v>0</v>
      </c>
      <c r="AY359" s="2">
        <v>0</v>
      </c>
      <c r="AZ359" s="2">
        <v>0</v>
      </c>
      <c r="BA359" s="2">
        <v>0</v>
      </c>
      <c r="BB359" s="5">
        <v>0</v>
      </c>
      <c r="BC359" s="12">
        <v>400403.10000000003</v>
      </c>
      <c r="BD359" s="2">
        <v>16609.5</v>
      </c>
      <c r="BE359" s="2">
        <v>17875.14</v>
      </c>
      <c r="BF359" s="2">
        <v>741.5</v>
      </c>
      <c r="BG359" s="5">
        <v>0</v>
      </c>
      <c r="BH359" s="2">
        <v>20850.64</v>
      </c>
      <c r="BI359" s="12">
        <v>18616.64</v>
      </c>
      <c r="BJ359" s="2">
        <v>0</v>
      </c>
      <c r="BK359" s="5">
        <v>2085.06</v>
      </c>
      <c r="BL359" s="1" t="s">
        <v>137</v>
      </c>
    </row>
    <row r="360" spans="1:64" x14ac:dyDescent="0.3">
      <c r="A360" t="s">
        <v>1355</v>
      </c>
      <c r="B360" s="1" t="s">
        <v>1355</v>
      </c>
      <c r="C360" s="9" t="s">
        <v>1356</v>
      </c>
      <c r="D360" s="1" t="s">
        <v>95</v>
      </c>
      <c r="E360" s="1" t="s">
        <v>88</v>
      </c>
      <c r="F360" s="10" t="s">
        <v>96</v>
      </c>
      <c r="G360" s="1">
        <v>0</v>
      </c>
      <c r="H360" s="1">
        <v>0.05</v>
      </c>
      <c r="I360" s="8">
        <v>45390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833163.65</v>
      </c>
      <c r="AJ360" s="2">
        <v>105387</v>
      </c>
      <c r="AK360" s="2">
        <v>37194.81</v>
      </c>
      <c r="AL360" s="2">
        <v>4704.78</v>
      </c>
      <c r="AM360" s="5">
        <v>8379.91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56313.04</v>
      </c>
      <c r="AT360" s="12">
        <v>50279.5</v>
      </c>
      <c r="AU360" s="2">
        <v>0</v>
      </c>
      <c r="AV360" s="5">
        <v>4692.75</v>
      </c>
      <c r="AX360" s="2">
        <v>833163.65</v>
      </c>
      <c r="AY360" s="2">
        <v>105387</v>
      </c>
      <c r="AZ360" s="2">
        <v>37194.81</v>
      </c>
      <c r="BA360" s="2">
        <v>4704.78</v>
      </c>
      <c r="BB360" s="5">
        <v>8379.91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56313.04</v>
      </c>
      <c r="BI360" s="12">
        <v>50279.5</v>
      </c>
      <c r="BJ360" s="2">
        <v>0</v>
      </c>
      <c r="BK360" s="5">
        <v>4692.75</v>
      </c>
      <c r="BL360" s="1" t="s">
        <v>90</v>
      </c>
    </row>
    <row r="361" spans="1:64" x14ac:dyDescent="0.3">
      <c r="A361" t="s">
        <v>1359</v>
      </c>
      <c r="B361" s="1" t="s">
        <v>1359</v>
      </c>
      <c r="C361" s="9" t="s">
        <v>1360</v>
      </c>
      <c r="D361" s="1" t="s">
        <v>95</v>
      </c>
      <c r="E361" s="1" t="s">
        <v>135</v>
      </c>
      <c r="F361" s="10" t="s">
        <v>435</v>
      </c>
      <c r="G361" s="1">
        <v>0</v>
      </c>
      <c r="H361" s="1">
        <v>0.05</v>
      </c>
      <c r="I361" s="8">
        <v>45273</v>
      </c>
      <c r="J361" s="6">
        <v>465585</v>
      </c>
      <c r="K361" s="6">
        <v>90265</v>
      </c>
      <c r="L361" s="6">
        <v>20785.04</v>
      </c>
      <c r="M361" s="6">
        <v>4029.69</v>
      </c>
      <c r="N361" s="7">
        <v>4962.95</v>
      </c>
      <c r="O361" s="6">
        <v>-562095.89999999991</v>
      </c>
      <c r="P361" s="6">
        <v>-23316.600000000002</v>
      </c>
      <c r="Q361" s="6">
        <v>-25093.57</v>
      </c>
      <c r="R361" s="6">
        <v>-1040.92</v>
      </c>
      <c r="S361" s="7">
        <v>0</v>
      </c>
      <c r="T361" s="11">
        <v>4080.37</v>
      </c>
      <c r="U361" s="6">
        <v>3643.1900000000023</v>
      </c>
      <c r="V361" s="6">
        <v>0</v>
      </c>
      <c r="W361" s="6">
        <v>-147.80999999999995</v>
      </c>
      <c r="X361" s="46">
        <v>45815</v>
      </c>
      <c r="Y361" s="1">
        <v>25112213</v>
      </c>
      <c r="Z361" s="1">
        <v>25112214</v>
      </c>
      <c r="AI361" s="2">
        <v>465585</v>
      </c>
      <c r="AJ361" s="2">
        <v>90265</v>
      </c>
      <c r="AK361" s="2">
        <v>20785.04</v>
      </c>
      <c r="AL361" s="2">
        <v>4029.69</v>
      </c>
      <c r="AM361" s="5">
        <v>4962.95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33351</v>
      </c>
      <c r="AT361" s="12">
        <v>29777.68</v>
      </c>
      <c r="AU361" s="2">
        <v>0</v>
      </c>
      <c r="AV361" s="5">
        <v>2779.25</v>
      </c>
      <c r="AX361" s="2">
        <v>0</v>
      </c>
      <c r="AY361" s="2">
        <v>0</v>
      </c>
      <c r="AZ361" s="2">
        <v>0</v>
      </c>
      <c r="BA361" s="2">
        <v>0</v>
      </c>
      <c r="BB361" s="5">
        <v>0</v>
      </c>
      <c r="BC361" s="12">
        <v>562095.89999999991</v>
      </c>
      <c r="BD361" s="2">
        <v>23316.600000000002</v>
      </c>
      <c r="BE361" s="2">
        <v>25093.57</v>
      </c>
      <c r="BF361" s="2">
        <v>1040.92</v>
      </c>
      <c r="BG361" s="5">
        <v>0</v>
      </c>
      <c r="BH361" s="2">
        <v>29270.63</v>
      </c>
      <c r="BI361" s="12">
        <v>26134.489999999998</v>
      </c>
      <c r="BJ361" s="2">
        <v>0</v>
      </c>
      <c r="BK361" s="5">
        <v>2927.06</v>
      </c>
      <c r="BL361" s="1" t="s">
        <v>137</v>
      </c>
    </row>
    <row r="362" spans="1:64" x14ac:dyDescent="0.3">
      <c r="A362" t="s">
        <v>1361</v>
      </c>
      <c r="B362" s="1" t="s">
        <v>1362</v>
      </c>
      <c r="C362" s="9" t="s">
        <v>1363</v>
      </c>
      <c r="D362" s="1" t="s">
        <v>95</v>
      </c>
      <c r="E362" s="1" t="s">
        <v>128</v>
      </c>
      <c r="F362" s="10" t="s">
        <v>355</v>
      </c>
      <c r="G362" s="1">
        <v>0.04</v>
      </c>
      <c r="H362" s="1">
        <v>0.05</v>
      </c>
      <c r="I362" s="8">
        <v>44679</v>
      </c>
      <c r="J362" s="6">
        <v>2791197</v>
      </c>
      <c r="K362" s="6">
        <v>314715</v>
      </c>
      <c r="L362" s="6">
        <v>124607.01000000001</v>
      </c>
      <c r="M362" s="6">
        <v>14049.78</v>
      </c>
      <c r="N362" s="7">
        <v>27731.350000000002</v>
      </c>
      <c r="O362" s="6">
        <v>-2169751.7000000002</v>
      </c>
      <c r="P362" s="6">
        <v>-144190.19999999998</v>
      </c>
      <c r="Q362" s="6">
        <v>-96863.92</v>
      </c>
      <c r="R362" s="6">
        <v>-6437.0700000000006</v>
      </c>
      <c r="S362" s="7">
        <v>-18512.64</v>
      </c>
      <c r="T362" s="11">
        <v>49923.45</v>
      </c>
      <c r="U362" s="6">
        <v>44574.510000000009</v>
      </c>
      <c r="V362" s="6">
        <v>0</v>
      </c>
      <c r="W362" s="6">
        <v>3959.8599999999997</v>
      </c>
      <c r="X362" s="46">
        <v>45815</v>
      </c>
      <c r="Y362" s="1">
        <v>25112215</v>
      </c>
      <c r="Z362" s="1">
        <v>25112216</v>
      </c>
      <c r="AI362" s="2">
        <v>2791197</v>
      </c>
      <c r="AJ362" s="2">
        <v>314715</v>
      </c>
      <c r="AK362" s="2">
        <v>124607.01000000001</v>
      </c>
      <c r="AL362" s="2">
        <v>14049.78</v>
      </c>
      <c r="AM362" s="5">
        <v>27731.350000000002</v>
      </c>
      <c r="AN362" s="12">
        <v>38741.5</v>
      </c>
      <c r="AO362" s="2">
        <v>0</v>
      </c>
      <c r="AP362" s="2">
        <v>1729.54</v>
      </c>
      <c r="AQ362" s="2">
        <v>0</v>
      </c>
      <c r="AR362" s="5">
        <v>345.91</v>
      </c>
      <c r="AS362" s="2">
        <v>188679.22</v>
      </c>
      <c r="AT362" s="12">
        <v>168463.59</v>
      </c>
      <c r="AU362" s="2">
        <v>0</v>
      </c>
      <c r="AV362" s="5">
        <v>15723.280000000002</v>
      </c>
      <c r="AX362" s="2">
        <v>0</v>
      </c>
      <c r="AY362" s="2">
        <v>0</v>
      </c>
      <c r="AZ362" s="2">
        <v>0</v>
      </c>
      <c r="BA362" s="2">
        <v>0</v>
      </c>
      <c r="BB362" s="5">
        <v>0</v>
      </c>
      <c r="BC362" s="12">
        <v>2208493.2000000002</v>
      </c>
      <c r="BD362" s="2">
        <v>144190.19999999998</v>
      </c>
      <c r="BE362" s="2">
        <v>98593.46</v>
      </c>
      <c r="BF362" s="2">
        <v>6437.0700000000006</v>
      </c>
      <c r="BG362" s="5">
        <v>18858.55</v>
      </c>
      <c r="BH362" s="2">
        <v>138755.76999999999</v>
      </c>
      <c r="BI362" s="12">
        <v>123889.08</v>
      </c>
      <c r="BJ362" s="2">
        <v>0</v>
      </c>
      <c r="BK362" s="5">
        <v>11763.420000000002</v>
      </c>
      <c r="BL362" s="1" t="s">
        <v>130</v>
      </c>
    </row>
    <row r="363" spans="1:64" x14ac:dyDescent="0.3">
      <c r="A363" t="s">
        <v>1385</v>
      </c>
      <c r="B363" s="1" t="s">
        <v>1385</v>
      </c>
      <c r="C363" s="9" t="s">
        <v>1386</v>
      </c>
      <c r="D363" s="1" t="s">
        <v>95</v>
      </c>
      <c r="E363" s="1" t="s">
        <v>88</v>
      </c>
      <c r="F363" s="10" t="s">
        <v>534</v>
      </c>
      <c r="G363" s="1">
        <v>0</v>
      </c>
      <c r="H363" s="1">
        <v>0.05</v>
      </c>
      <c r="I363" s="8">
        <v>45292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711711</v>
      </c>
      <c r="AJ363" s="2">
        <v>324935</v>
      </c>
      <c r="AK363" s="2">
        <v>31772.82</v>
      </c>
      <c r="AL363" s="2">
        <v>14506.03</v>
      </c>
      <c r="AM363" s="5">
        <v>9255.77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62198.77</v>
      </c>
      <c r="AT363" s="12">
        <v>55534.62</v>
      </c>
      <c r="AU363" s="2">
        <v>0</v>
      </c>
      <c r="AV363" s="5">
        <v>5183.2299999999996</v>
      </c>
      <c r="AX363" s="2">
        <v>711711</v>
      </c>
      <c r="AY363" s="2">
        <v>324935</v>
      </c>
      <c r="AZ363" s="2">
        <v>31772.82</v>
      </c>
      <c r="BA363" s="2">
        <v>14506.03</v>
      </c>
      <c r="BB363" s="5">
        <v>9255.77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62198.77</v>
      </c>
      <c r="BI363" s="12">
        <v>55534.62</v>
      </c>
      <c r="BJ363" s="2">
        <v>0</v>
      </c>
      <c r="BK363" s="5">
        <v>5183.2299999999996</v>
      </c>
      <c r="BL363" s="1" t="s">
        <v>90</v>
      </c>
    </row>
    <row r="364" spans="1:64" x14ac:dyDescent="0.3">
      <c r="A364" t="s">
        <v>1389</v>
      </c>
      <c r="B364" s="1" t="s">
        <v>1389</v>
      </c>
      <c r="C364" s="9" t="s">
        <v>1390</v>
      </c>
      <c r="D364" s="1" t="s">
        <v>95</v>
      </c>
      <c r="E364" s="1" t="s">
        <v>128</v>
      </c>
      <c r="F364" s="10" t="s">
        <v>325</v>
      </c>
      <c r="G364" s="1">
        <v>0</v>
      </c>
      <c r="H364" s="1">
        <v>0.05</v>
      </c>
      <c r="I364" s="8">
        <v>45382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853759.25</v>
      </c>
      <c r="AJ364" s="2">
        <v>62945</v>
      </c>
      <c r="AK364" s="2">
        <v>38114.25</v>
      </c>
      <c r="AL364" s="2">
        <v>2810.04</v>
      </c>
      <c r="AM364" s="5">
        <v>8184.86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55002.25</v>
      </c>
      <c r="AT364" s="12">
        <v>49109.15</v>
      </c>
      <c r="AU364" s="2">
        <v>0</v>
      </c>
      <c r="AV364" s="5">
        <v>4583.5200000000004</v>
      </c>
      <c r="AX364" s="2">
        <v>853759.25</v>
      </c>
      <c r="AY364" s="2">
        <v>62945</v>
      </c>
      <c r="AZ364" s="2">
        <v>38114.25</v>
      </c>
      <c r="BA364" s="2">
        <v>2810.04</v>
      </c>
      <c r="BB364" s="5">
        <v>8184.86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55002.25</v>
      </c>
      <c r="BI364" s="12">
        <v>49109.15</v>
      </c>
      <c r="BJ364" s="2">
        <v>0</v>
      </c>
      <c r="BK364" s="5">
        <v>4583.5200000000004</v>
      </c>
      <c r="BL364" s="1" t="s">
        <v>326</v>
      </c>
    </row>
    <row r="365" spans="1:64" x14ac:dyDescent="0.3">
      <c r="A365" t="s">
        <v>1391</v>
      </c>
      <c r="B365" s="1" t="s">
        <v>1391</v>
      </c>
      <c r="C365" s="9" t="s">
        <v>1392</v>
      </c>
      <c r="D365" s="1" t="s">
        <v>95</v>
      </c>
      <c r="E365" s="1" t="s">
        <v>88</v>
      </c>
      <c r="F365" s="10" t="s">
        <v>218</v>
      </c>
      <c r="G365" s="1">
        <v>0</v>
      </c>
      <c r="H365" s="1">
        <v>0.05</v>
      </c>
      <c r="I365" s="8">
        <v>45464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603544</v>
      </c>
      <c r="AJ365" s="2">
        <v>81231</v>
      </c>
      <c r="AK365" s="2">
        <v>26943.93</v>
      </c>
      <c r="AL365" s="2">
        <v>3626.38</v>
      </c>
      <c r="AM365" s="5">
        <v>6114.06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41086.49</v>
      </c>
      <c r="AT365" s="12">
        <v>36684.370000000003</v>
      </c>
      <c r="AU365" s="2">
        <v>0</v>
      </c>
      <c r="AV365" s="5">
        <v>3423.88</v>
      </c>
      <c r="AX365" s="2">
        <v>603544</v>
      </c>
      <c r="AY365" s="2">
        <v>81231</v>
      </c>
      <c r="AZ365" s="2">
        <v>26943.93</v>
      </c>
      <c r="BA365" s="2">
        <v>3626.38</v>
      </c>
      <c r="BB365" s="5">
        <v>6114.06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41086.49</v>
      </c>
      <c r="BI365" s="12">
        <v>36684.370000000003</v>
      </c>
      <c r="BJ365" s="2">
        <v>0</v>
      </c>
      <c r="BK365" s="5">
        <v>3423.88</v>
      </c>
      <c r="BL365" s="1" t="s">
        <v>90</v>
      </c>
    </row>
    <row r="366" spans="1:64" x14ac:dyDescent="0.3">
      <c r="A366" t="s">
        <v>1393</v>
      </c>
      <c r="B366" s="1" t="s">
        <v>1393</v>
      </c>
      <c r="C366" s="9" t="s">
        <v>1394</v>
      </c>
      <c r="D366" s="1" t="s">
        <v>95</v>
      </c>
      <c r="E366" s="1" t="s">
        <v>135</v>
      </c>
      <c r="F366" s="10" t="s">
        <v>136</v>
      </c>
      <c r="G366" s="1">
        <v>0</v>
      </c>
      <c r="H366" s="1">
        <v>0.05</v>
      </c>
      <c r="I366" s="8">
        <v>45397</v>
      </c>
      <c r="J366" s="6">
        <v>367462</v>
      </c>
      <c r="K366" s="6">
        <v>32030</v>
      </c>
      <c r="L366" s="6">
        <v>16404.55</v>
      </c>
      <c r="M366" s="6">
        <v>1429.91</v>
      </c>
      <c r="N366" s="7">
        <v>3566.89</v>
      </c>
      <c r="O366" s="6">
        <v>-577353.29999999993</v>
      </c>
      <c r="P366" s="6">
        <v>-30114.6</v>
      </c>
      <c r="Q366" s="6">
        <v>-25774.7</v>
      </c>
      <c r="R366" s="6">
        <v>-1344.4</v>
      </c>
      <c r="S366" s="7">
        <v>0</v>
      </c>
      <c r="T366" s="11">
        <v>-6403.88</v>
      </c>
      <c r="U366" s="6">
        <v>-5717.7500000000036</v>
      </c>
      <c r="V366" s="6">
        <v>0</v>
      </c>
      <c r="W366" s="6">
        <v>-1039.8800000000001</v>
      </c>
      <c r="X366" s="46">
        <v>45815</v>
      </c>
      <c r="Y366" s="1">
        <v>25016256</v>
      </c>
      <c r="Z366" s="1">
        <v>25016257</v>
      </c>
      <c r="AI366" s="2">
        <v>367462</v>
      </c>
      <c r="AJ366" s="2">
        <v>32030</v>
      </c>
      <c r="AK366" s="2">
        <v>16404.55</v>
      </c>
      <c r="AL366" s="2">
        <v>1429.91</v>
      </c>
      <c r="AM366" s="5">
        <v>3566.89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23969.51</v>
      </c>
      <c r="AT366" s="12">
        <v>21401.35</v>
      </c>
      <c r="AU366" s="2">
        <v>0</v>
      </c>
      <c r="AV366" s="5">
        <v>1997.46</v>
      </c>
      <c r="AX366" s="2">
        <v>0</v>
      </c>
      <c r="AY366" s="2">
        <v>0</v>
      </c>
      <c r="AZ366" s="2">
        <v>0</v>
      </c>
      <c r="BA366" s="2">
        <v>0</v>
      </c>
      <c r="BB366" s="5">
        <v>0</v>
      </c>
      <c r="BC366" s="12">
        <v>577353.29999999993</v>
      </c>
      <c r="BD366" s="2">
        <v>30114.6</v>
      </c>
      <c r="BE366" s="2">
        <v>25774.7</v>
      </c>
      <c r="BF366" s="2">
        <v>1344.4</v>
      </c>
      <c r="BG366" s="5">
        <v>0</v>
      </c>
      <c r="BH366" s="2">
        <v>30373.39</v>
      </c>
      <c r="BI366" s="12">
        <v>27119.100000000002</v>
      </c>
      <c r="BJ366" s="2">
        <v>0</v>
      </c>
      <c r="BK366" s="5">
        <v>3037.34</v>
      </c>
      <c r="BL366" s="1" t="s">
        <v>137</v>
      </c>
    </row>
    <row r="367" spans="1:64" x14ac:dyDescent="0.3">
      <c r="A367" t="s">
        <v>1395</v>
      </c>
      <c r="B367" s="1" t="s">
        <v>1395</v>
      </c>
      <c r="C367" s="9" t="s">
        <v>1396</v>
      </c>
      <c r="D367" s="1" t="s">
        <v>95</v>
      </c>
      <c r="E367" s="1" t="s">
        <v>128</v>
      </c>
      <c r="F367" s="10" t="s">
        <v>309</v>
      </c>
      <c r="G367" s="1">
        <v>0</v>
      </c>
      <c r="H367" s="1">
        <v>0.05</v>
      </c>
      <c r="I367" s="8">
        <v>45367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1252830</v>
      </c>
      <c r="AJ367" s="2">
        <v>41919</v>
      </c>
      <c r="AK367" s="2">
        <v>55929.909999999996</v>
      </c>
      <c r="AL367" s="2">
        <v>1871.3799999999999</v>
      </c>
      <c r="AM367" s="5">
        <v>11560.27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77684.95</v>
      </c>
      <c r="AT367" s="12">
        <v>69361.560000000012</v>
      </c>
      <c r="AU367" s="2">
        <v>0</v>
      </c>
      <c r="AV367" s="5">
        <v>6473.7400000000007</v>
      </c>
      <c r="AX367" s="2">
        <v>1252830</v>
      </c>
      <c r="AY367" s="2">
        <v>41919</v>
      </c>
      <c r="AZ367" s="2">
        <v>55929.909999999996</v>
      </c>
      <c r="BA367" s="2">
        <v>1871.3799999999999</v>
      </c>
      <c r="BB367" s="5">
        <v>11560.27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77684.95</v>
      </c>
      <c r="BI367" s="12">
        <v>69361.560000000012</v>
      </c>
      <c r="BJ367" s="2">
        <v>0</v>
      </c>
      <c r="BK367" s="5">
        <v>6473.7400000000007</v>
      </c>
      <c r="BL367" s="1" t="s">
        <v>130</v>
      </c>
    </row>
    <row r="368" spans="1:64" x14ac:dyDescent="0.3">
      <c r="A368" t="s">
        <v>1405</v>
      </c>
      <c r="B368" s="1" t="s">
        <v>1405</v>
      </c>
      <c r="C368" s="9" t="s">
        <v>1406</v>
      </c>
      <c r="D368" s="1" t="s">
        <v>95</v>
      </c>
      <c r="E368" s="1" t="s">
        <v>135</v>
      </c>
      <c r="F368" s="10" t="s">
        <v>435</v>
      </c>
      <c r="G368" s="1">
        <v>0</v>
      </c>
      <c r="H368" s="1">
        <v>0.05</v>
      </c>
      <c r="I368" s="8">
        <v>45439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1265181</v>
      </c>
      <c r="AJ368" s="2">
        <v>164199</v>
      </c>
      <c r="AK368" s="2">
        <v>56481.3</v>
      </c>
      <c r="AL368" s="2">
        <v>7330.32</v>
      </c>
      <c r="AM368" s="5">
        <v>12762.32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85762.81</v>
      </c>
      <c r="AT368" s="12">
        <v>76573.94</v>
      </c>
      <c r="AU368" s="2">
        <v>0</v>
      </c>
      <c r="AV368" s="5">
        <v>7146.9</v>
      </c>
      <c r="AX368" s="2">
        <v>1265181</v>
      </c>
      <c r="AY368" s="2">
        <v>164199</v>
      </c>
      <c r="AZ368" s="2">
        <v>56481.3</v>
      </c>
      <c r="BA368" s="2">
        <v>7330.32</v>
      </c>
      <c r="BB368" s="5">
        <v>12762.32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85762.81</v>
      </c>
      <c r="BI368" s="12">
        <v>76573.94</v>
      </c>
      <c r="BJ368" s="2">
        <v>0</v>
      </c>
      <c r="BK368" s="5">
        <v>7146.9</v>
      </c>
      <c r="BL368" s="1" t="s">
        <v>302</v>
      </c>
    </row>
    <row r="369" spans="1:64" x14ac:dyDescent="0.3">
      <c r="A369" t="s">
        <v>1409</v>
      </c>
      <c r="B369" s="1" t="s">
        <v>1409</v>
      </c>
      <c r="C369" s="9" t="s">
        <v>1410</v>
      </c>
      <c r="D369" s="1" t="s">
        <v>95</v>
      </c>
      <c r="E369" s="1" t="s">
        <v>128</v>
      </c>
      <c r="F369" s="10" t="s">
        <v>129</v>
      </c>
      <c r="G369" s="1">
        <v>0</v>
      </c>
      <c r="H369" s="1">
        <v>0.05</v>
      </c>
      <c r="I369" s="8">
        <v>0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0</v>
      </c>
      <c r="AJ369" s="2">
        <v>0</v>
      </c>
      <c r="AK369" s="2">
        <v>0</v>
      </c>
      <c r="AL369" s="2">
        <v>0</v>
      </c>
      <c r="AM369" s="5">
        <v>0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0</v>
      </c>
      <c r="AT369" s="12">
        <v>0</v>
      </c>
      <c r="AU369" s="2">
        <v>0</v>
      </c>
      <c r="AV369" s="5">
        <v>0</v>
      </c>
      <c r="AX369" s="2">
        <v>0</v>
      </c>
      <c r="AY369" s="2">
        <v>0</v>
      </c>
      <c r="AZ369" s="2">
        <v>0</v>
      </c>
      <c r="BA369" s="2">
        <v>0</v>
      </c>
      <c r="BB369" s="5">
        <v>0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0</v>
      </c>
      <c r="BI369" s="12">
        <v>0</v>
      </c>
      <c r="BJ369" s="2">
        <v>0</v>
      </c>
      <c r="BK369" s="5">
        <v>0</v>
      </c>
      <c r="BL369" s="1" t="s">
        <v>130</v>
      </c>
    </row>
    <row r="370" spans="1:64" x14ac:dyDescent="0.3">
      <c r="A370" t="s">
        <v>1411</v>
      </c>
      <c r="B370" s="1" t="s">
        <v>1411</v>
      </c>
      <c r="C370" s="9" t="s">
        <v>1412</v>
      </c>
      <c r="D370" s="1" t="s">
        <v>95</v>
      </c>
      <c r="E370" s="1" t="s">
        <v>135</v>
      </c>
      <c r="F370" s="10" t="s">
        <v>348</v>
      </c>
      <c r="G370" s="1">
        <v>0</v>
      </c>
      <c r="H370" s="1">
        <v>0.05</v>
      </c>
      <c r="I370" s="8">
        <v>45430</v>
      </c>
      <c r="J370" s="6">
        <v>830072</v>
      </c>
      <c r="K370" s="6">
        <v>83826</v>
      </c>
      <c r="L370" s="6">
        <v>37056.78</v>
      </c>
      <c r="M370" s="6">
        <v>3742.2299999999996</v>
      </c>
      <c r="N370" s="7">
        <v>8159.8099999999995</v>
      </c>
      <c r="O370" s="6">
        <v>-1087797.8999999999</v>
      </c>
      <c r="P370" s="6">
        <v>-40503.300000000003</v>
      </c>
      <c r="Q370" s="6">
        <v>-48562.41</v>
      </c>
      <c r="R370" s="6">
        <v>-1808.19</v>
      </c>
      <c r="S370" s="7">
        <v>0</v>
      </c>
      <c r="T370" s="11">
        <v>-1581.19</v>
      </c>
      <c r="U370" s="6">
        <v>-1411.7799999999988</v>
      </c>
      <c r="V370" s="6">
        <v>0</v>
      </c>
      <c r="W370" s="6">
        <v>-1072.02</v>
      </c>
      <c r="X370" s="46">
        <v>45815</v>
      </c>
      <c r="Y370" s="1">
        <v>25016258</v>
      </c>
      <c r="Z370" s="1">
        <v>25016259</v>
      </c>
      <c r="AI370" s="2">
        <v>830072</v>
      </c>
      <c r="AJ370" s="2">
        <v>83826</v>
      </c>
      <c r="AK370" s="2">
        <v>37056.78</v>
      </c>
      <c r="AL370" s="2">
        <v>3742.2299999999996</v>
      </c>
      <c r="AM370" s="5">
        <v>8159.8099999999995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54833.88</v>
      </c>
      <c r="AT370" s="12">
        <v>48958.82</v>
      </c>
      <c r="AU370" s="2">
        <v>0</v>
      </c>
      <c r="AV370" s="5">
        <v>4569.49</v>
      </c>
      <c r="AX370" s="2">
        <v>0</v>
      </c>
      <c r="AY370" s="2">
        <v>0</v>
      </c>
      <c r="AZ370" s="2">
        <v>0</v>
      </c>
      <c r="BA370" s="2">
        <v>0</v>
      </c>
      <c r="BB370" s="5">
        <v>0</v>
      </c>
      <c r="BC370" s="12">
        <v>1087797.8999999999</v>
      </c>
      <c r="BD370" s="2">
        <v>40503.300000000003</v>
      </c>
      <c r="BE370" s="2">
        <v>48562.41</v>
      </c>
      <c r="BF370" s="2">
        <v>1808.19</v>
      </c>
      <c r="BG370" s="5">
        <v>0</v>
      </c>
      <c r="BH370" s="2">
        <v>56415.07</v>
      </c>
      <c r="BI370" s="12">
        <v>50370.6</v>
      </c>
      <c r="BJ370" s="2">
        <v>0</v>
      </c>
      <c r="BK370" s="5">
        <v>5641.51</v>
      </c>
      <c r="BL370" s="1" t="s">
        <v>137</v>
      </c>
    </row>
    <row r="371" spans="1:64" x14ac:dyDescent="0.3">
      <c r="A371" t="s">
        <v>1415</v>
      </c>
      <c r="B371" s="1" t="s">
        <v>1415</v>
      </c>
      <c r="C371" s="9" t="s">
        <v>1416</v>
      </c>
      <c r="D371" s="1" t="s">
        <v>95</v>
      </c>
      <c r="E371" s="1" t="s">
        <v>128</v>
      </c>
      <c r="F371" s="10" t="s">
        <v>129</v>
      </c>
      <c r="G371" s="1">
        <v>0</v>
      </c>
      <c r="H371" s="1">
        <v>0.05</v>
      </c>
      <c r="I371" s="8">
        <v>45559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6665.04</v>
      </c>
      <c r="T371" s="11">
        <v>7464.84</v>
      </c>
      <c r="U371" s="6">
        <v>6665.0400000000009</v>
      </c>
      <c r="V371" s="6">
        <v>0</v>
      </c>
      <c r="W371" s="6">
        <v>0</v>
      </c>
      <c r="X371" s="46">
        <v>45815</v>
      </c>
      <c r="Y371" s="1">
        <v>25112217</v>
      </c>
      <c r="Z371" s="1">
        <v>25112218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712953.9</v>
      </c>
      <c r="AO371" s="2">
        <v>33530.1</v>
      </c>
      <c r="AP371" s="2">
        <v>31828.3</v>
      </c>
      <c r="AQ371" s="2">
        <v>1496.87</v>
      </c>
      <c r="AR371" s="5">
        <v>6665.04</v>
      </c>
      <c r="AS371" s="2">
        <v>44789.04</v>
      </c>
      <c r="AT371" s="12">
        <v>39990.21</v>
      </c>
      <c r="AU371" s="2">
        <v>0</v>
      </c>
      <c r="AV371" s="5">
        <v>3732.42</v>
      </c>
      <c r="AX371" s="2">
        <v>0</v>
      </c>
      <c r="AY371" s="2">
        <v>0</v>
      </c>
      <c r="AZ371" s="2">
        <v>0</v>
      </c>
      <c r="BA371" s="2">
        <v>0</v>
      </c>
      <c r="BB371" s="5">
        <v>0</v>
      </c>
      <c r="BC371" s="12">
        <v>712953.9</v>
      </c>
      <c r="BD371" s="2">
        <v>33530.1</v>
      </c>
      <c r="BE371" s="2">
        <v>31828.3</v>
      </c>
      <c r="BF371" s="2">
        <v>1496.87</v>
      </c>
      <c r="BG371" s="5">
        <v>0</v>
      </c>
      <c r="BH371" s="2">
        <v>37324.19</v>
      </c>
      <c r="BI371" s="12">
        <v>33325.17</v>
      </c>
      <c r="BJ371" s="2">
        <v>0</v>
      </c>
      <c r="BK371" s="5">
        <v>3732.42</v>
      </c>
      <c r="BL371" s="1" t="s">
        <v>130</v>
      </c>
    </row>
    <row r="372" spans="1:64" x14ac:dyDescent="0.3">
      <c r="A372" t="s">
        <v>1417</v>
      </c>
      <c r="B372" s="1" t="s">
        <v>1417</v>
      </c>
      <c r="C372" s="9" t="s">
        <v>1418</v>
      </c>
      <c r="D372" s="1" t="s">
        <v>95</v>
      </c>
      <c r="E372" s="1" t="s">
        <v>135</v>
      </c>
      <c r="F372" s="10" t="s">
        <v>136</v>
      </c>
      <c r="G372" s="1">
        <v>0</v>
      </c>
      <c r="H372" s="1">
        <v>0.05</v>
      </c>
      <c r="I372" s="8">
        <v>45539</v>
      </c>
      <c r="J372" s="6">
        <v>1119418</v>
      </c>
      <c r="K372" s="6">
        <v>172284</v>
      </c>
      <c r="L372" s="6">
        <v>49974.02</v>
      </c>
      <c r="M372" s="6">
        <v>7691.25</v>
      </c>
      <c r="N372" s="7">
        <v>11533.05</v>
      </c>
      <c r="O372" s="6">
        <v>-374454.3</v>
      </c>
      <c r="P372" s="6">
        <v>-17610.899999999998</v>
      </c>
      <c r="Q372" s="6">
        <v>-16716.71</v>
      </c>
      <c r="R372" s="6">
        <v>-786.2</v>
      </c>
      <c r="S372" s="7">
        <v>0</v>
      </c>
      <c r="T372" s="11">
        <v>57898.86</v>
      </c>
      <c r="U372" s="6">
        <v>51695.409999999989</v>
      </c>
      <c r="V372" s="6">
        <v>0</v>
      </c>
      <c r="W372" s="6">
        <v>4498.18</v>
      </c>
      <c r="X372" s="46">
        <v>45815</v>
      </c>
      <c r="Y372" s="1">
        <v>25112219</v>
      </c>
      <c r="Z372" s="1">
        <v>25112220</v>
      </c>
      <c r="AI372" s="2">
        <v>1119418</v>
      </c>
      <c r="AJ372" s="2">
        <v>172284</v>
      </c>
      <c r="AK372" s="2">
        <v>49974.02</v>
      </c>
      <c r="AL372" s="2">
        <v>7691.25</v>
      </c>
      <c r="AM372" s="5">
        <v>11533.05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77502.12</v>
      </c>
      <c r="AT372" s="12">
        <v>69198.319999999992</v>
      </c>
      <c r="AU372" s="2">
        <v>0</v>
      </c>
      <c r="AV372" s="5">
        <v>6458.51</v>
      </c>
      <c r="AX372" s="2">
        <v>0</v>
      </c>
      <c r="AY372" s="2">
        <v>0</v>
      </c>
      <c r="AZ372" s="2">
        <v>0</v>
      </c>
      <c r="BA372" s="2">
        <v>0</v>
      </c>
      <c r="BB372" s="5">
        <v>0</v>
      </c>
      <c r="BC372" s="12">
        <v>374454.3</v>
      </c>
      <c r="BD372" s="2">
        <v>17610.899999999998</v>
      </c>
      <c r="BE372" s="2">
        <v>16716.71</v>
      </c>
      <c r="BF372" s="2">
        <v>786.2</v>
      </c>
      <c r="BG372" s="5">
        <v>0</v>
      </c>
      <c r="BH372" s="2">
        <v>19603.259999999998</v>
      </c>
      <c r="BI372" s="12">
        <v>17502.91</v>
      </c>
      <c r="BJ372" s="2">
        <v>0</v>
      </c>
      <c r="BK372" s="5">
        <v>1960.33</v>
      </c>
      <c r="BL372" s="1" t="s">
        <v>137</v>
      </c>
    </row>
    <row r="373" spans="1:64" x14ac:dyDescent="0.3">
      <c r="A373" t="s">
        <v>1419</v>
      </c>
      <c r="B373" s="1" t="s">
        <v>1419</v>
      </c>
      <c r="C373" s="9" t="s">
        <v>1420</v>
      </c>
      <c r="D373" s="1" t="s">
        <v>95</v>
      </c>
      <c r="E373" s="1" t="s">
        <v>88</v>
      </c>
      <c r="F373" s="10" t="s">
        <v>89</v>
      </c>
      <c r="G373" s="1">
        <v>0</v>
      </c>
      <c r="H373" s="1">
        <v>0</v>
      </c>
      <c r="I373" s="8">
        <v>45621</v>
      </c>
      <c r="J373" s="6">
        <v>0</v>
      </c>
      <c r="K373" s="6">
        <v>0</v>
      </c>
      <c r="L373" s="6">
        <v>0</v>
      </c>
      <c r="M373" s="6">
        <v>0</v>
      </c>
      <c r="N373" s="7">
        <v>6646.2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7443.74</v>
      </c>
      <c r="U373" s="6">
        <v>6646.2</v>
      </c>
      <c r="V373" s="6">
        <v>0</v>
      </c>
      <c r="W373" s="6">
        <v>0</v>
      </c>
      <c r="X373" s="46">
        <v>45815</v>
      </c>
      <c r="Y373" s="1">
        <v>25112221</v>
      </c>
      <c r="Z373" s="1">
        <v>25112222</v>
      </c>
      <c r="AI373" s="2">
        <v>585076</v>
      </c>
      <c r="AJ373" s="2">
        <v>159298</v>
      </c>
      <c r="AK373" s="2">
        <v>0</v>
      </c>
      <c r="AL373" s="2">
        <v>0</v>
      </c>
      <c r="AM373" s="5">
        <v>6646.2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7443.74</v>
      </c>
      <c r="AT373" s="12">
        <v>6646.2</v>
      </c>
      <c r="AU373" s="2">
        <v>0</v>
      </c>
      <c r="AV373" s="5">
        <v>3721.87</v>
      </c>
      <c r="AX373" s="2">
        <v>585076</v>
      </c>
      <c r="AY373" s="2">
        <v>159298</v>
      </c>
      <c r="AZ373" s="2">
        <v>0</v>
      </c>
      <c r="BA373" s="2">
        <v>0</v>
      </c>
      <c r="BB373" s="5">
        <v>0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0</v>
      </c>
      <c r="BI373" s="12">
        <v>0</v>
      </c>
      <c r="BJ373" s="2">
        <v>0</v>
      </c>
      <c r="BK373" s="5">
        <v>3721.87</v>
      </c>
      <c r="BL373" s="1" t="s">
        <v>90</v>
      </c>
    </row>
    <row r="374" spans="1:64" x14ac:dyDescent="0.3">
      <c r="A374" t="s">
        <v>1421</v>
      </c>
      <c r="B374" s="1" t="s">
        <v>1421</v>
      </c>
      <c r="C374" s="9" t="s">
        <v>1422</v>
      </c>
      <c r="D374" s="1" t="s">
        <v>95</v>
      </c>
      <c r="E374" s="1" t="s">
        <v>128</v>
      </c>
      <c r="F374" s="10" t="s">
        <v>129</v>
      </c>
      <c r="G374" s="1">
        <v>0</v>
      </c>
      <c r="H374" s="1">
        <v>0.05</v>
      </c>
      <c r="I374" s="8">
        <v>45488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157308</v>
      </c>
      <c r="AJ374" s="2">
        <v>6830</v>
      </c>
      <c r="AK374" s="2">
        <v>7022.68</v>
      </c>
      <c r="AL374" s="2">
        <v>304.91000000000003</v>
      </c>
      <c r="AM374" s="5">
        <v>1465.52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9848.2800000000007</v>
      </c>
      <c r="AT374" s="12">
        <v>8793.11</v>
      </c>
      <c r="AU374" s="2">
        <v>0</v>
      </c>
      <c r="AV374" s="5">
        <v>820.69</v>
      </c>
      <c r="AX374" s="2">
        <v>157308</v>
      </c>
      <c r="AY374" s="2">
        <v>6830</v>
      </c>
      <c r="AZ374" s="2">
        <v>7022.68</v>
      </c>
      <c r="BA374" s="2">
        <v>304.91000000000003</v>
      </c>
      <c r="BB374" s="5">
        <v>1465.52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9848.2800000000007</v>
      </c>
      <c r="BI374" s="12">
        <v>8793.11</v>
      </c>
      <c r="BJ374" s="2">
        <v>0</v>
      </c>
      <c r="BK374" s="5">
        <v>820.69</v>
      </c>
      <c r="BL374" s="1" t="s">
        <v>130</v>
      </c>
    </row>
    <row r="375" spans="1:64" x14ac:dyDescent="0.3">
      <c r="A375" t="s">
        <v>1425</v>
      </c>
      <c r="B375" s="1" t="s">
        <v>1425</v>
      </c>
      <c r="C375" s="9" t="s">
        <v>1426</v>
      </c>
      <c r="D375" s="1" t="s">
        <v>95</v>
      </c>
      <c r="E375" s="1" t="s">
        <v>88</v>
      </c>
      <c r="F375" s="10" t="s">
        <v>441</v>
      </c>
      <c r="G375" s="1">
        <v>0</v>
      </c>
      <c r="H375" s="1">
        <v>0.05</v>
      </c>
      <c r="I375" s="8">
        <v>45751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257402</v>
      </c>
      <c r="AJ375" s="2">
        <v>43963</v>
      </c>
      <c r="AK375" s="2">
        <v>10342.040000000001</v>
      </c>
      <c r="AL375" s="2">
        <v>1766.37</v>
      </c>
      <c r="AM375" s="5">
        <v>2690.76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16575.07</v>
      </c>
      <c r="AT375" s="12">
        <v>14799.17</v>
      </c>
      <c r="AU375" s="2">
        <v>0</v>
      </c>
      <c r="AV375" s="5">
        <v>1506.82</v>
      </c>
      <c r="AX375" s="2">
        <v>257402</v>
      </c>
      <c r="AY375" s="2">
        <v>43963</v>
      </c>
      <c r="AZ375" s="2">
        <v>10342.040000000001</v>
      </c>
      <c r="BA375" s="2">
        <v>1766.37</v>
      </c>
      <c r="BB375" s="5">
        <v>2690.76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16575.07</v>
      </c>
      <c r="BI375" s="12">
        <v>14799.17</v>
      </c>
      <c r="BJ375" s="2">
        <v>0</v>
      </c>
      <c r="BK375" s="5">
        <v>1506.82</v>
      </c>
      <c r="BL375" s="1" t="s">
        <v>90</v>
      </c>
    </row>
    <row r="376" spans="1:64" x14ac:dyDescent="0.3">
      <c r="A376" t="s">
        <v>1427</v>
      </c>
      <c r="B376" s="1" t="s">
        <v>1427</v>
      </c>
      <c r="C376" s="9" t="s">
        <v>1428</v>
      </c>
      <c r="D376" s="1" t="s">
        <v>95</v>
      </c>
      <c r="E376" s="1" t="s">
        <v>135</v>
      </c>
      <c r="F376" s="10" t="s">
        <v>193</v>
      </c>
      <c r="G376" s="1">
        <v>0</v>
      </c>
      <c r="H376" s="1">
        <v>0.05</v>
      </c>
      <c r="I376" s="8">
        <v>45616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651641</v>
      </c>
      <c r="AJ376" s="2">
        <v>32170</v>
      </c>
      <c r="AK376" s="2">
        <v>29091.119999999999</v>
      </c>
      <c r="AL376" s="2">
        <v>1436.16</v>
      </c>
      <c r="AM376" s="5">
        <v>6105.46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41028.67</v>
      </c>
      <c r="AT376" s="12">
        <v>36632.74</v>
      </c>
      <c r="AU376" s="2">
        <v>0</v>
      </c>
      <c r="AV376" s="5">
        <v>3419.06</v>
      </c>
      <c r="AX376" s="2">
        <v>651641</v>
      </c>
      <c r="AY376" s="2">
        <v>32170</v>
      </c>
      <c r="AZ376" s="2">
        <v>29091.119999999999</v>
      </c>
      <c r="BA376" s="2">
        <v>1436.16</v>
      </c>
      <c r="BB376" s="5">
        <v>6105.46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41028.67</v>
      </c>
      <c r="BI376" s="12">
        <v>36632.74</v>
      </c>
      <c r="BJ376" s="2">
        <v>0</v>
      </c>
      <c r="BK376" s="5">
        <v>3419.06</v>
      </c>
      <c r="BL376" s="1" t="s">
        <v>137</v>
      </c>
    </row>
    <row r="377" spans="1:64" x14ac:dyDescent="0.3">
      <c r="A377" t="s">
        <v>1429</v>
      </c>
      <c r="B377" s="1" t="s">
        <v>1429</v>
      </c>
      <c r="C377" s="9" t="s">
        <v>1430</v>
      </c>
      <c r="D377" s="1" t="s">
        <v>95</v>
      </c>
      <c r="E377" s="1" t="s">
        <v>88</v>
      </c>
      <c r="F377" s="10" t="s">
        <v>218</v>
      </c>
      <c r="G377" s="1">
        <v>0</v>
      </c>
      <c r="H377" s="1">
        <v>0.05</v>
      </c>
      <c r="I377" s="8">
        <v>45553</v>
      </c>
      <c r="J377" s="6">
        <v>134140</v>
      </c>
      <c r="K377" s="6">
        <v>64429</v>
      </c>
      <c r="L377" s="6">
        <v>5988.3899999999994</v>
      </c>
      <c r="M377" s="6">
        <v>2876.29</v>
      </c>
      <c r="N377" s="7">
        <v>1772.9399999999996</v>
      </c>
      <c r="O377" s="6">
        <v>-232813.62</v>
      </c>
      <c r="P377" s="6">
        <v>-23172.93</v>
      </c>
      <c r="Q377" s="6">
        <v>-10393.459999999999</v>
      </c>
      <c r="R377" s="6">
        <v>-1034.51</v>
      </c>
      <c r="S377" s="7">
        <v>0</v>
      </c>
      <c r="T377" s="11">
        <v>-885.19</v>
      </c>
      <c r="U377" s="6">
        <v>-790.34999999999854</v>
      </c>
      <c r="V377" s="6">
        <v>0</v>
      </c>
      <c r="W377" s="6">
        <v>-287.08999999999969</v>
      </c>
      <c r="X377" s="46">
        <v>45815</v>
      </c>
      <c r="Y377" s="1">
        <v>25016260</v>
      </c>
      <c r="Z377" s="1">
        <v>25016261</v>
      </c>
      <c r="AI377" s="2">
        <v>449930</v>
      </c>
      <c r="AJ377" s="2">
        <v>213192</v>
      </c>
      <c r="AK377" s="2">
        <v>20086.16</v>
      </c>
      <c r="AL377" s="2">
        <v>9517.5</v>
      </c>
      <c r="AM377" s="5">
        <v>5920.73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39787.32</v>
      </c>
      <c r="AT377" s="12">
        <v>35524.39</v>
      </c>
      <c r="AU377" s="2">
        <v>0</v>
      </c>
      <c r="AV377" s="5">
        <v>3315.61</v>
      </c>
      <c r="AX377" s="2">
        <v>315790</v>
      </c>
      <c r="AY377" s="2">
        <v>148763</v>
      </c>
      <c r="AZ377" s="2">
        <v>14097.77</v>
      </c>
      <c r="BA377" s="2">
        <v>6641.21</v>
      </c>
      <c r="BB377" s="5">
        <v>4147.79</v>
      </c>
      <c r="BC377" s="12">
        <v>232813.62</v>
      </c>
      <c r="BD377" s="2">
        <v>23172.93</v>
      </c>
      <c r="BE377" s="2">
        <v>10393.459999999999</v>
      </c>
      <c r="BF377" s="2">
        <v>1034.51</v>
      </c>
      <c r="BG377" s="5">
        <v>0</v>
      </c>
      <c r="BH377" s="2">
        <v>40672.51</v>
      </c>
      <c r="BI377" s="12">
        <v>36314.74</v>
      </c>
      <c r="BJ377" s="2">
        <v>0</v>
      </c>
      <c r="BK377" s="5">
        <v>3602.7</v>
      </c>
      <c r="BL377" s="1" t="s">
        <v>90</v>
      </c>
    </row>
    <row r="378" spans="1:64" x14ac:dyDescent="0.3">
      <c r="A378" t="s">
        <v>1431</v>
      </c>
      <c r="B378" s="1" t="s">
        <v>1431</v>
      </c>
      <c r="C378" s="9" t="s">
        <v>1432</v>
      </c>
      <c r="D378" s="1" t="s">
        <v>95</v>
      </c>
      <c r="E378" s="1" t="s">
        <v>135</v>
      </c>
      <c r="F378" s="10" t="s">
        <v>485</v>
      </c>
      <c r="G378" s="1">
        <v>0</v>
      </c>
      <c r="H378" s="1">
        <v>0.05</v>
      </c>
      <c r="I378" s="8">
        <v>45639</v>
      </c>
      <c r="J378" s="6">
        <v>535205.56000000006</v>
      </c>
      <c r="K378" s="6">
        <v>74394</v>
      </c>
      <c r="L378" s="6">
        <v>23893.11</v>
      </c>
      <c r="M378" s="6">
        <v>3321.16</v>
      </c>
      <c r="N378" s="7">
        <v>5442.86</v>
      </c>
      <c r="O378" s="6">
        <v>-521541.29999999993</v>
      </c>
      <c r="P378" s="6">
        <v>-23415.600000000002</v>
      </c>
      <c r="Q378" s="6">
        <v>-23283.09</v>
      </c>
      <c r="R378" s="6">
        <v>-1045.3399999999999</v>
      </c>
      <c r="S378" s="7">
        <v>0</v>
      </c>
      <c r="T378" s="11">
        <v>9328.14</v>
      </c>
      <c r="U378" s="6">
        <v>8328.7000000000007</v>
      </c>
      <c r="V378" s="6">
        <v>0</v>
      </c>
      <c r="W378" s="6">
        <v>323.2199999999998</v>
      </c>
      <c r="X378" s="46">
        <v>45815</v>
      </c>
      <c r="Y378" s="1">
        <v>25112223</v>
      </c>
      <c r="Z378" s="1">
        <v>25112224</v>
      </c>
      <c r="AI378" s="2">
        <v>535205.56000000006</v>
      </c>
      <c r="AJ378" s="2">
        <v>74394</v>
      </c>
      <c r="AK378" s="2">
        <v>23893.11</v>
      </c>
      <c r="AL378" s="2">
        <v>3321.16</v>
      </c>
      <c r="AM378" s="5">
        <v>5442.86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36575.99</v>
      </c>
      <c r="AT378" s="12">
        <v>32657.13</v>
      </c>
      <c r="AU378" s="2">
        <v>0</v>
      </c>
      <c r="AV378" s="5">
        <v>3048</v>
      </c>
      <c r="AX378" s="2">
        <v>0</v>
      </c>
      <c r="AY378" s="2">
        <v>0</v>
      </c>
      <c r="AZ378" s="2">
        <v>0</v>
      </c>
      <c r="BA378" s="2">
        <v>0</v>
      </c>
      <c r="BB378" s="5">
        <v>0</v>
      </c>
      <c r="BC378" s="12">
        <v>521541.29999999993</v>
      </c>
      <c r="BD378" s="2">
        <v>23415.600000000002</v>
      </c>
      <c r="BE378" s="2">
        <v>23283.09</v>
      </c>
      <c r="BF378" s="2">
        <v>1045.3399999999999</v>
      </c>
      <c r="BG378" s="5">
        <v>0</v>
      </c>
      <c r="BH378" s="2">
        <v>27247.84</v>
      </c>
      <c r="BI378" s="12">
        <v>24328.43</v>
      </c>
      <c r="BJ378" s="2">
        <v>0</v>
      </c>
      <c r="BK378" s="5">
        <v>2724.78</v>
      </c>
      <c r="BL378" s="1" t="s">
        <v>302</v>
      </c>
    </row>
    <row r="379" spans="1:64" x14ac:dyDescent="0.3">
      <c r="A379" t="s">
        <v>1433</v>
      </c>
      <c r="B379" s="1" t="s">
        <v>1433</v>
      </c>
      <c r="C379" s="9" t="s">
        <v>1434</v>
      </c>
      <c r="D379" s="1" t="s">
        <v>95</v>
      </c>
      <c r="E379" s="1" t="s">
        <v>128</v>
      </c>
      <c r="F379" s="10" t="s">
        <v>309</v>
      </c>
      <c r="G379" s="1">
        <v>0</v>
      </c>
      <c r="H379" s="1">
        <v>0.05</v>
      </c>
      <c r="I379" s="8">
        <v>45665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4823.2299999999996</v>
      </c>
      <c r="T379" s="11">
        <v>5402.02</v>
      </c>
      <c r="U379" s="6">
        <v>4823.2299999999996</v>
      </c>
      <c r="V379" s="6">
        <v>0</v>
      </c>
      <c r="W379" s="6">
        <v>0</v>
      </c>
      <c r="X379" s="46">
        <v>45815</v>
      </c>
      <c r="Y379" s="1">
        <v>25112225</v>
      </c>
      <c r="Z379" s="1">
        <v>25112226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513378.30000000005</v>
      </c>
      <c r="AO379" s="2">
        <v>26823.300000000003</v>
      </c>
      <c r="AP379" s="2">
        <v>22918.68</v>
      </c>
      <c r="AQ379" s="2">
        <v>1197.47</v>
      </c>
      <c r="AR379" s="5">
        <v>4823.2299999999996</v>
      </c>
      <c r="AS379" s="2">
        <v>32412.11</v>
      </c>
      <c r="AT379" s="12">
        <v>28939.38</v>
      </c>
      <c r="AU379" s="2">
        <v>0</v>
      </c>
      <c r="AV379" s="5">
        <v>2701.01</v>
      </c>
      <c r="AX379" s="2">
        <v>0</v>
      </c>
      <c r="AY379" s="2">
        <v>0</v>
      </c>
      <c r="AZ379" s="2">
        <v>0</v>
      </c>
      <c r="BA379" s="2">
        <v>0</v>
      </c>
      <c r="BB379" s="5">
        <v>0</v>
      </c>
      <c r="BC379" s="12">
        <v>513378.30000000005</v>
      </c>
      <c r="BD379" s="2">
        <v>26823.300000000003</v>
      </c>
      <c r="BE379" s="2">
        <v>22918.68</v>
      </c>
      <c r="BF379" s="2">
        <v>1197.47</v>
      </c>
      <c r="BG379" s="5">
        <v>0</v>
      </c>
      <c r="BH379" s="2">
        <v>27010.09</v>
      </c>
      <c r="BI379" s="12">
        <v>24116.15</v>
      </c>
      <c r="BJ379" s="2">
        <v>0</v>
      </c>
      <c r="BK379" s="5">
        <v>2701.01</v>
      </c>
      <c r="BL379" s="1" t="s">
        <v>130</v>
      </c>
    </row>
    <row r="380" spans="1:64" x14ac:dyDescent="0.3">
      <c r="A380" t="s">
        <v>1435</v>
      </c>
      <c r="B380" s="1" t="s">
        <v>1435</v>
      </c>
      <c r="C380" s="9" t="s">
        <v>1436</v>
      </c>
      <c r="D380" s="1" t="s">
        <v>95</v>
      </c>
      <c r="E380" s="1" t="s">
        <v>88</v>
      </c>
      <c r="F380" s="10" t="s">
        <v>472</v>
      </c>
      <c r="G380" s="1">
        <v>0</v>
      </c>
      <c r="H380" s="1">
        <v>0</v>
      </c>
      <c r="I380" s="8">
        <v>45586</v>
      </c>
      <c r="J380" s="6">
        <v>0</v>
      </c>
      <c r="K380" s="6">
        <v>0</v>
      </c>
      <c r="L380" s="6">
        <v>0</v>
      </c>
      <c r="M380" s="6">
        <v>0</v>
      </c>
      <c r="N380" s="7">
        <v>12320.8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13799.3</v>
      </c>
      <c r="U380" s="6">
        <v>12320.8</v>
      </c>
      <c r="V380" s="6">
        <v>0</v>
      </c>
      <c r="W380" s="6">
        <v>0</v>
      </c>
      <c r="X380" s="46">
        <v>45815</v>
      </c>
      <c r="Y380" s="1">
        <v>25112227</v>
      </c>
      <c r="Z380" s="1">
        <v>25112228</v>
      </c>
      <c r="AI380" s="2">
        <v>1088010.5</v>
      </c>
      <c r="AJ380" s="2">
        <v>291919</v>
      </c>
      <c r="AK380" s="2">
        <v>0</v>
      </c>
      <c r="AL380" s="2">
        <v>0</v>
      </c>
      <c r="AM380" s="5">
        <v>12320.8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13799.3</v>
      </c>
      <c r="AT380" s="12">
        <v>12320.8</v>
      </c>
      <c r="AU380" s="2">
        <v>0</v>
      </c>
      <c r="AV380" s="5">
        <v>6899.65</v>
      </c>
      <c r="AX380" s="2">
        <v>1088010.5</v>
      </c>
      <c r="AY380" s="2">
        <v>291919</v>
      </c>
      <c r="AZ380" s="2">
        <v>0</v>
      </c>
      <c r="BA380" s="2">
        <v>0</v>
      </c>
      <c r="BB380" s="5">
        <v>0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0</v>
      </c>
      <c r="BI380" s="12">
        <v>0</v>
      </c>
      <c r="BJ380" s="2">
        <v>0</v>
      </c>
      <c r="BK380" s="5">
        <v>6899.65</v>
      </c>
      <c r="BL380" s="1" t="s">
        <v>90</v>
      </c>
    </row>
    <row r="381" spans="1:64" x14ac:dyDescent="0.3">
      <c r="A381" t="s">
        <v>1437</v>
      </c>
      <c r="B381" s="1" t="s">
        <v>1437</v>
      </c>
      <c r="C381" s="9" t="s">
        <v>1438</v>
      </c>
      <c r="D381" s="1" t="s">
        <v>95</v>
      </c>
      <c r="E381" s="1" t="s">
        <v>135</v>
      </c>
      <c r="F381" s="10" t="s">
        <v>435</v>
      </c>
      <c r="G381" s="1">
        <v>0</v>
      </c>
      <c r="H381" s="1">
        <v>0.05</v>
      </c>
      <c r="I381" s="8">
        <v>45589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701766</v>
      </c>
      <c r="AJ381" s="2">
        <v>75770</v>
      </c>
      <c r="AK381" s="2">
        <v>31328.84</v>
      </c>
      <c r="AL381" s="2">
        <v>3382.59</v>
      </c>
      <c r="AM381" s="5">
        <v>6942.29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46652.17</v>
      </c>
      <c r="AT381" s="12">
        <v>41653.72</v>
      </c>
      <c r="AU381" s="2">
        <v>0</v>
      </c>
      <c r="AV381" s="5">
        <v>3887.68</v>
      </c>
      <c r="AX381" s="2">
        <v>701766</v>
      </c>
      <c r="AY381" s="2">
        <v>75770</v>
      </c>
      <c r="AZ381" s="2">
        <v>31328.84</v>
      </c>
      <c r="BA381" s="2">
        <v>3382.59</v>
      </c>
      <c r="BB381" s="5">
        <v>6942.29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46652.17</v>
      </c>
      <c r="BI381" s="12">
        <v>41653.72</v>
      </c>
      <c r="BJ381" s="2">
        <v>0</v>
      </c>
      <c r="BK381" s="5">
        <v>3887.68</v>
      </c>
      <c r="BL381" s="1" t="s">
        <v>302</v>
      </c>
    </row>
    <row r="382" spans="1:64" x14ac:dyDescent="0.3">
      <c r="A382" t="s">
        <v>1439</v>
      </c>
      <c r="B382" s="1" t="s">
        <v>1439</v>
      </c>
      <c r="C382" s="9" t="s">
        <v>1440</v>
      </c>
      <c r="D382" s="1" t="s">
        <v>95</v>
      </c>
      <c r="E382" s="1" t="s">
        <v>88</v>
      </c>
      <c r="F382" s="10" t="s">
        <v>1348</v>
      </c>
      <c r="G382" s="1">
        <v>0</v>
      </c>
      <c r="H382" s="1">
        <v>0.05</v>
      </c>
      <c r="I382" s="8">
        <v>45596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183844</v>
      </c>
      <c r="AJ382" s="2">
        <v>23460</v>
      </c>
      <c r="AK382" s="2">
        <v>8207.32</v>
      </c>
      <c r="AL382" s="2">
        <v>1047.32</v>
      </c>
      <c r="AM382" s="5">
        <v>1850.93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12438.24</v>
      </c>
      <c r="AT382" s="12">
        <v>11105.57</v>
      </c>
      <c r="AU382" s="2">
        <v>0</v>
      </c>
      <c r="AV382" s="5">
        <v>1036.52</v>
      </c>
      <c r="AX382" s="2">
        <v>183844</v>
      </c>
      <c r="AY382" s="2">
        <v>23460</v>
      </c>
      <c r="AZ382" s="2">
        <v>8207.32</v>
      </c>
      <c r="BA382" s="2">
        <v>1047.32</v>
      </c>
      <c r="BB382" s="5">
        <v>1850.93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12438.24</v>
      </c>
      <c r="BI382" s="12">
        <v>11105.57</v>
      </c>
      <c r="BJ382" s="2">
        <v>0</v>
      </c>
      <c r="BK382" s="5">
        <v>1036.52</v>
      </c>
      <c r="BL382" s="1" t="s">
        <v>90</v>
      </c>
    </row>
    <row r="383" spans="1:64" x14ac:dyDescent="0.3">
      <c r="A383" t="s">
        <v>1441</v>
      </c>
      <c r="B383" s="1" t="s">
        <v>1441</v>
      </c>
      <c r="C383" s="9" t="s">
        <v>1442</v>
      </c>
      <c r="D383" s="1" t="s">
        <v>95</v>
      </c>
      <c r="E383" s="1" t="s">
        <v>88</v>
      </c>
      <c r="F383" s="10" t="s">
        <v>1443</v>
      </c>
      <c r="G383" s="1">
        <v>0</v>
      </c>
      <c r="H383" s="1">
        <v>0.05</v>
      </c>
      <c r="I383" s="8">
        <v>45596</v>
      </c>
      <c r="J383" s="6">
        <v>-23060</v>
      </c>
      <c r="K383" s="6">
        <v>-2330</v>
      </c>
      <c r="L383" s="6">
        <v>-1029.46</v>
      </c>
      <c r="M383" s="6">
        <v>-104.01999999999998</v>
      </c>
      <c r="N383" s="7">
        <v>-226.7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-1523.4</v>
      </c>
      <c r="U383" s="6">
        <v>-1360.1799999999998</v>
      </c>
      <c r="V383" s="6">
        <v>0</v>
      </c>
      <c r="W383" s="6">
        <v>-126.95000000000002</v>
      </c>
      <c r="X383" s="46">
        <v>45815</v>
      </c>
      <c r="Y383" s="1">
        <v>25016262</v>
      </c>
      <c r="Z383" s="1">
        <v>25016263</v>
      </c>
      <c r="AI383" s="2">
        <v>126374.89</v>
      </c>
      <c r="AJ383" s="2">
        <v>21465</v>
      </c>
      <c r="AK383" s="2">
        <v>5641.74</v>
      </c>
      <c r="AL383" s="2">
        <v>958.26</v>
      </c>
      <c r="AM383" s="5">
        <v>1320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8870.4</v>
      </c>
      <c r="AT383" s="12">
        <v>7920</v>
      </c>
      <c r="AU383" s="2">
        <v>0</v>
      </c>
      <c r="AV383" s="5">
        <v>739.19999999999993</v>
      </c>
      <c r="AX383" s="2">
        <v>149434.89000000001</v>
      </c>
      <c r="AY383" s="2">
        <v>23795</v>
      </c>
      <c r="AZ383" s="2">
        <v>6671.2</v>
      </c>
      <c r="BA383" s="2">
        <v>1062.28</v>
      </c>
      <c r="BB383" s="5">
        <v>1546.7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10393.799999999999</v>
      </c>
      <c r="BI383" s="12">
        <v>9280.18</v>
      </c>
      <c r="BJ383" s="2">
        <v>0</v>
      </c>
      <c r="BK383" s="5">
        <v>866.15</v>
      </c>
      <c r="BL383" s="1" t="s">
        <v>90</v>
      </c>
    </row>
    <row r="384" spans="1:64" x14ac:dyDescent="0.3">
      <c r="A384" t="s">
        <v>1446</v>
      </c>
      <c r="B384" s="1" t="s">
        <v>1446</v>
      </c>
      <c r="C384" s="9" t="s">
        <v>1447</v>
      </c>
      <c r="D384" s="1" t="s">
        <v>95</v>
      </c>
      <c r="E384" s="1" t="s">
        <v>128</v>
      </c>
      <c r="F384" s="10" t="s">
        <v>401</v>
      </c>
      <c r="G384" s="1">
        <v>0</v>
      </c>
      <c r="H384" s="1">
        <v>0.05</v>
      </c>
      <c r="I384" s="8">
        <v>45026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643586</v>
      </c>
      <c r="AJ384" s="2">
        <v>10776</v>
      </c>
      <c r="AK384" s="2">
        <v>28731.52</v>
      </c>
      <c r="AL384" s="2">
        <v>481.07</v>
      </c>
      <c r="AM384" s="5">
        <v>5842.52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39261.72</v>
      </c>
      <c r="AT384" s="12">
        <v>35055.11</v>
      </c>
      <c r="AU384" s="2">
        <v>0</v>
      </c>
      <c r="AV384" s="5">
        <v>3271.81</v>
      </c>
      <c r="AX384" s="2">
        <v>643586</v>
      </c>
      <c r="AY384" s="2">
        <v>10776</v>
      </c>
      <c r="AZ384" s="2">
        <v>28731.52</v>
      </c>
      <c r="BA384" s="2">
        <v>481.07</v>
      </c>
      <c r="BB384" s="5">
        <v>5842.52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39261.72</v>
      </c>
      <c r="BI384" s="12">
        <v>35055.11</v>
      </c>
      <c r="BJ384" s="2">
        <v>0</v>
      </c>
      <c r="BK384" s="5">
        <v>3271.81</v>
      </c>
      <c r="BL384" s="1" t="s">
        <v>130</v>
      </c>
    </row>
    <row r="385" spans="1:64" x14ac:dyDescent="0.3">
      <c r="A385" t="s">
        <v>1448</v>
      </c>
      <c r="B385" s="1" t="s">
        <v>1448</v>
      </c>
      <c r="C385" s="9" t="s">
        <v>1449</v>
      </c>
      <c r="D385" s="1" t="s">
        <v>95</v>
      </c>
      <c r="E385" s="1" t="s">
        <v>88</v>
      </c>
      <c r="F385" s="10" t="s">
        <v>432</v>
      </c>
      <c r="G385" s="1">
        <v>0</v>
      </c>
      <c r="H385" s="1">
        <v>0.05</v>
      </c>
      <c r="I385" s="8">
        <v>45730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723409</v>
      </c>
      <c r="AJ385" s="2">
        <v>100570</v>
      </c>
      <c r="AK385" s="2">
        <v>32295.040000000001</v>
      </c>
      <c r="AL385" s="2">
        <v>4489.7299999999996</v>
      </c>
      <c r="AM385" s="5">
        <v>7356.96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49438.74</v>
      </c>
      <c r="AT385" s="12">
        <v>44141.73</v>
      </c>
      <c r="AU385" s="2">
        <v>0</v>
      </c>
      <c r="AV385" s="5">
        <v>4119.8999999999996</v>
      </c>
      <c r="AX385" s="2">
        <v>723409</v>
      </c>
      <c r="AY385" s="2">
        <v>100570</v>
      </c>
      <c r="AZ385" s="2">
        <v>32295.040000000001</v>
      </c>
      <c r="BA385" s="2">
        <v>4489.7299999999996</v>
      </c>
      <c r="BB385" s="5">
        <v>7356.96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49438.74</v>
      </c>
      <c r="BI385" s="12">
        <v>44141.73</v>
      </c>
      <c r="BJ385" s="2">
        <v>0</v>
      </c>
      <c r="BK385" s="5">
        <v>4119.8999999999996</v>
      </c>
      <c r="BL385" s="1" t="s">
        <v>90</v>
      </c>
    </row>
    <row r="386" spans="1:64" x14ac:dyDescent="0.3">
      <c r="A386" t="s">
        <v>1451</v>
      </c>
      <c r="B386" s="1" t="s">
        <v>1451</v>
      </c>
      <c r="C386" s="9" t="s">
        <v>1452</v>
      </c>
      <c r="D386" s="1" t="s">
        <v>95</v>
      </c>
      <c r="E386" s="1" t="s">
        <v>88</v>
      </c>
      <c r="F386" s="10" t="s">
        <v>545</v>
      </c>
      <c r="G386" s="1">
        <v>0</v>
      </c>
      <c r="H386" s="1">
        <v>0.05</v>
      </c>
      <c r="I386" s="8">
        <v>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0</v>
      </c>
      <c r="AJ386" s="2">
        <v>0</v>
      </c>
      <c r="AK386" s="2">
        <v>0</v>
      </c>
      <c r="AL386" s="2">
        <v>0</v>
      </c>
      <c r="AM386" s="5">
        <v>0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0</v>
      </c>
      <c r="AT386" s="12">
        <v>0</v>
      </c>
      <c r="AU386" s="2">
        <v>0</v>
      </c>
      <c r="AV386" s="5">
        <v>0</v>
      </c>
      <c r="AX386" s="2">
        <v>0</v>
      </c>
      <c r="AY386" s="2">
        <v>0</v>
      </c>
      <c r="AZ386" s="2">
        <v>0</v>
      </c>
      <c r="BA386" s="2">
        <v>0</v>
      </c>
      <c r="BB386" s="5">
        <v>0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0</v>
      </c>
      <c r="BI386" s="12">
        <v>0</v>
      </c>
      <c r="BJ386" s="2">
        <v>0</v>
      </c>
      <c r="BK386" s="5">
        <v>0</v>
      </c>
      <c r="BL386" s="1" t="s">
        <v>546</v>
      </c>
    </row>
    <row r="387" spans="1:64" x14ac:dyDescent="0.3">
      <c r="A387" t="s">
        <v>1453</v>
      </c>
      <c r="B387" s="1" t="s">
        <v>1453</v>
      </c>
      <c r="C387" s="9" t="s">
        <v>1454</v>
      </c>
      <c r="D387" s="1" t="s">
        <v>95</v>
      </c>
      <c r="E387" s="1" t="s">
        <v>135</v>
      </c>
      <c r="F387" s="10" t="s">
        <v>435</v>
      </c>
      <c r="G387" s="1">
        <v>0</v>
      </c>
      <c r="H387" s="1">
        <v>0.05</v>
      </c>
      <c r="I387" s="8">
        <v>44925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230040</v>
      </c>
      <c r="AJ387" s="2">
        <v>59971</v>
      </c>
      <c r="AK387" s="2">
        <v>10269.64</v>
      </c>
      <c r="AL387" s="2">
        <v>2677.28</v>
      </c>
      <c r="AM387" s="5">
        <v>2589.38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17400.66</v>
      </c>
      <c r="AT387" s="12">
        <v>15536.3</v>
      </c>
      <c r="AU387" s="2">
        <v>0</v>
      </c>
      <c r="AV387" s="5">
        <v>1450.06</v>
      </c>
      <c r="AX387" s="2">
        <v>230040</v>
      </c>
      <c r="AY387" s="2">
        <v>59971</v>
      </c>
      <c r="AZ387" s="2">
        <v>10269.64</v>
      </c>
      <c r="BA387" s="2">
        <v>2677.28</v>
      </c>
      <c r="BB387" s="5">
        <v>2589.38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17400.66</v>
      </c>
      <c r="BI387" s="12">
        <v>15536.3</v>
      </c>
      <c r="BJ387" s="2">
        <v>0</v>
      </c>
      <c r="BK387" s="5">
        <v>1450.06</v>
      </c>
      <c r="BL387" s="1" t="s">
        <v>137</v>
      </c>
    </row>
    <row r="388" spans="1:64" x14ac:dyDescent="0.3">
      <c r="A388" t="s">
        <v>1455</v>
      </c>
      <c r="B388" s="1" t="s">
        <v>1455</v>
      </c>
      <c r="C388" s="9" t="s">
        <v>1456</v>
      </c>
      <c r="D388" s="1" t="s">
        <v>95</v>
      </c>
      <c r="E388" s="1" t="s">
        <v>88</v>
      </c>
      <c r="F388" s="10" t="s">
        <v>472</v>
      </c>
      <c r="G388" s="1">
        <v>0</v>
      </c>
      <c r="H388" s="1">
        <v>0</v>
      </c>
      <c r="I388" s="8">
        <v>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0</v>
      </c>
      <c r="AJ388" s="2">
        <v>0</v>
      </c>
      <c r="AK388" s="2">
        <v>0</v>
      </c>
      <c r="AL388" s="2">
        <v>0</v>
      </c>
      <c r="AM388" s="5">
        <v>0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0</v>
      </c>
      <c r="AT388" s="12">
        <v>0</v>
      </c>
      <c r="AU388" s="2">
        <v>0</v>
      </c>
      <c r="AV388" s="5">
        <v>0</v>
      </c>
      <c r="AX388" s="2">
        <v>0</v>
      </c>
      <c r="AY388" s="2">
        <v>0</v>
      </c>
      <c r="AZ388" s="2">
        <v>0</v>
      </c>
      <c r="BA388" s="2">
        <v>0</v>
      </c>
      <c r="BB388" s="5">
        <v>0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0</v>
      </c>
      <c r="BI388" s="12">
        <v>0</v>
      </c>
      <c r="BJ388" s="2">
        <v>0</v>
      </c>
      <c r="BK388" s="5">
        <v>0</v>
      </c>
      <c r="BL388" s="1" t="s">
        <v>90</v>
      </c>
    </row>
    <row r="389" spans="1:64" x14ac:dyDescent="0.3">
      <c r="A389" t="s">
        <v>1457</v>
      </c>
      <c r="B389" s="1" t="s">
        <v>1457</v>
      </c>
      <c r="C389" s="9" t="s">
        <v>1458</v>
      </c>
      <c r="D389" s="1" t="s">
        <v>95</v>
      </c>
      <c r="E389" s="1" t="s">
        <v>128</v>
      </c>
      <c r="F389" s="10" t="s">
        <v>129</v>
      </c>
      <c r="G389" s="1">
        <v>0</v>
      </c>
      <c r="H389" s="1">
        <v>0.05</v>
      </c>
      <c r="I389" s="8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0</v>
      </c>
      <c r="AT389" s="12">
        <v>0</v>
      </c>
      <c r="AU389" s="2">
        <v>0</v>
      </c>
      <c r="AV389" s="5">
        <v>0</v>
      </c>
      <c r="AX389" s="2">
        <v>0</v>
      </c>
      <c r="AY389" s="2">
        <v>0</v>
      </c>
      <c r="AZ389" s="2">
        <v>0</v>
      </c>
      <c r="BA389" s="2">
        <v>0</v>
      </c>
      <c r="BB389" s="5">
        <v>0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0</v>
      </c>
      <c r="BI389" s="12">
        <v>0</v>
      </c>
      <c r="BJ389" s="2">
        <v>0</v>
      </c>
      <c r="BK389" s="5">
        <v>0</v>
      </c>
      <c r="BL389" s="1" t="s">
        <v>130</v>
      </c>
    </row>
    <row r="390" spans="1:64" x14ac:dyDescent="0.3">
      <c r="A390" t="s">
        <v>1459</v>
      </c>
      <c r="B390" s="1" t="s">
        <v>1459</v>
      </c>
      <c r="C390" s="9" t="s">
        <v>1460</v>
      </c>
      <c r="D390" s="1" t="s">
        <v>95</v>
      </c>
      <c r="E390" s="1" t="s">
        <v>135</v>
      </c>
      <c r="F390" s="10" t="s">
        <v>193</v>
      </c>
      <c r="G390" s="1">
        <v>0</v>
      </c>
      <c r="H390" s="1">
        <v>0.05</v>
      </c>
      <c r="I390" s="8">
        <v>0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0</v>
      </c>
      <c r="AJ390" s="2">
        <v>0</v>
      </c>
      <c r="AK390" s="2">
        <v>0</v>
      </c>
      <c r="AL390" s="2">
        <v>0</v>
      </c>
      <c r="AM390" s="5">
        <v>0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0</v>
      </c>
      <c r="AT390" s="12">
        <v>0</v>
      </c>
      <c r="AU390" s="2">
        <v>0</v>
      </c>
      <c r="AV390" s="5">
        <v>0</v>
      </c>
      <c r="AX390" s="2">
        <v>0</v>
      </c>
      <c r="AY390" s="2">
        <v>0</v>
      </c>
      <c r="AZ390" s="2">
        <v>0</v>
      </c>
      <c r="BA390" s="2">
        <v>0</v>
      </c>
      <c r="BB390" s="5">
        <v>0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0</v>
      </c>
      <c r="BI390" s="12">
        <v>0</v>
      </c>
      <c r="BJ390" s="2">
        <v>0</v>
      </c>
      <c r="BK390" s="5">
        <v>0</v>
      </c>
      <c r="BL390" s="1" t="s">
        <v>137</v>
      </c>
    </row>
    <row r="391" spans="1:64" x14ac:dyDescent="0.3">
      <c r="A391" t="s">
        <v>1461</v>
      </c>
      <c r="B391" s="1" t="s">
        <v>1461</v>
      </c>
      <c r="C391" s="9" t="s">
        <v>1462</v>
      </c>
      <c r="D391" s="1" t="s">
        <v>95</v>
      </c>
      <c r="E391" s="1" t="s">
        <v>88</v>
      </c>
      <c r="F391" s="10" t="s">
        <v>472</v>
      </c>
      <c r="G391" s="1">
        <v>0</v>
      </c>
      <c r="H391" s="1">
        <v>0.02</v>
      </c>
      <c r="I391" s="8">
        <v>0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0</v>
      </c>
      <c r="AJ391" s="2">
        <v>0</v>
      </c>
      <c r="AK391" s="2">
        <v>0</v>
      </c>
      <c r="AL391" s="2">
        <v>0</v>
      </c>
      <c r="AM391" s="5">
        <v>0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0</v>
      </c>
      <c r="AT391" s="12">
        <v>0</v>
      </c>
      <c r="AU391" s="2">
        <v>0</v>
      </c>
      <c r="AV391" s="5">
        <v>0</v>
      </c>
      <c r="AX391" s="2">
        <v>0</v>
      </c>
      <c r="AY391" s="2">
        <v>0</v>
      </c>
      <c r="AZ391" s="2">
        <v>0</v>
      </c>
      <c r="BA391" s="2">
        <v>0</v>
      </c>
      <c r="BB391" s="5">
        <v>0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0</v>
      </c>
      <c r="BI391" s="12">
        <v>0</v>
      </c>
      <c r="BJ391" s="2">
        <v>0</v>
      </c>
      <c r="BK391" s="5">
        <v>0</v>
      </c>
      <c r="BL391" s="1" t="s">
        <v>90</v>
      </c>
    </row>
    <row r="392" spans="1:64" x14ac:dyDescent="0.3">
      <c r="A392" t="s">
        <v>1463</v>
      </c>
      <c r="B392" s="1" t="s">
        <v>1463</v>
      </c>
      <c r="C392" s="9" t="s">
        <v>1464</v>
      </c>
      <c r="D392" s="1" t="s">
        <v>95</v>
      </c>
      <c r="E392" s="1" t="s">
        <v>88</v>
      </c>
      <c r="F392" s="10" t="s">
        <v>472</v>
      </c>
      <c r="G392" s="1">
        <v>0</v>
      </c>
      <c r="H392" s="1">
        <v>0.02</v>
      </c>
      <c r="I392" s="8">
        <v>0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0</v>
      </c>
      <c r="AJ392" s="2">
        <v>0</v>
      </c>
      <c r="AK392" s="2">
        <v>0</v>
      </c>
      <c r="AL392" s="2">
        <v>0</v>
      </c>
      <c r="AM392" s="5">
        <v>0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0</v>
      </c>
      <c r="AT392" s="12">
        <v>0</v>
      </c>
      <c r="AU392" s="2">
        <v>0</v>
      </c>
      <c r="AV392" s="5">
        <v>0</v>
      </c>
      <c r="AX392" s="2">
        <v>0</v>
      </c>
      <c r="AY392" s="2">
        <v>0</v>
      </c>
      <c r="AZ392" s="2">
        <v>0</v>
      </c>
      <c r="BA392" s="2">
        <v>0</v>
      </c>
      <c r="BB392" s="5">
        <v>0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0</v>
      </c>
      <c r="BI392" s="12">
        <v>0</v>
      </c>
      <c r="BJ392" s="2">
        <v>0</v>
      </c>
      <c r="BK392" s="5">
        <v>0</v>
      </c>
      <c r="BL392" s="1" t="s">
        <v>90</v>
      </c>
    </row>
    <row r="393" spans="1:64" x14ac:dyDescent="0.3">
      <c r="A393" t="s">
        <v>1465</v>
      </c>
      <c r="B393" s="1" t="s">
        <v>1465</v>
      </c>
      <c r="C393" s="9" t="s">
        <v>1466</v>
      </c>
      <c r="D393" s="1" t="s">
        <v>95</v>
      </c>
      <c r="E393" s="1" t="s">
        <v>88</v>
      </c>
      <c r="F393" s="10" t="s">
        <v>1170</v>
      </c>
      <c r="G393" s="1">
        <v>0</v>
      </c>
      <c r="H393" s="1">
        <v>0.05</v>
      </c>
      <c r="I393" s="8">
        <v>45755</v>
      </c>
      <c r="J393" s="6">
        <v>312764</v>
      </c>
      <c r="K393" s="6">
        <v>28243</v>
      </c>
      <c r="L393" s="6">
        <v>10704.720000000001</v>
      </c>
      <c r="M393" s="6">
        <v>966.65</v>
      </c>
      <c r="N393" s="7">
        <v>3044.71</v>
      </c>
      <c r="O393" s="6">
        <v>-853418.6399999999</v>
      </c>
      <c r="P393" s="6">
        <v>-228614.64</v>
      </c>
      <c r="Q393" s="6">
        <v>-29209.260000000002</v>
      </c>
      <c r="R393" s="6">
        <v>-7824.5999999999995</v>
      </c>
      <c r="S393" s="7">
        <v>0</v>
      </c>
      <c r="T393" s="11">
        <v>-24995.91</v>
      </c>
      <c r="U393" s="6">
        <v>-22317.78</v>
      </c>
      <c r="V393" s="6">
        <v>0</v>
      </c>
      <c r="W393" s="6">
        <v>-3705.13</v>
      </c>
      <c r="X393" s="46">
        <v>45815</v>
      </c>
      <c r="Y393" s="1">
        <v>25016264</v>
      </c>
      <c r="Z393" s="1">
        <v>25016265</v>
      </c>
      <c r="AI393" s="2">
        <v>312764</v>
      </c>
      <c r="AJ393" s="2">
        <v>28243</v>
      </c>
      <c r="AK393" s="2">
        <v>10704.720000000001</v>
      </c>
      <c r="AL393" s="2">
        <v>966.65</v>
      </c>
      <c r="AM393" s="5">
        <v>3044.71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16482.010000000002</v>
      </c>
      <c r="AT393" s="12">
        <v>14716.08</v>
      </c>
      <c r="AU393" s="2">
        <v>0</v>
      </c>
      <c r="AV393" s="5">
        <v>1705.04</v>
      </c>
      <c r="AX393" s="2">
        <v>0</v>
      </c>
      <c r="AY393" s="2">
        <v>0</v>
      </c>
      <c r="AZ393" s="2">
        <v>0</v>
      </c>
      <c r="BA393" s="2">
        <v>0</v>
      </c>
      <c r="BB393" s="5">
        <v>0</v>
      </c>
      <c r="BC393" s="12">
        <v>853418.6399999999</v>
      </c>
      <c r="BD393" s="2">
        <v>228614.64</v>
      </c>
      <c r="BE393" s="2">
        <v>29209.260000000002</v>
      </c>
      <c r="BF393" s="2">
        <v>7824.5999999999995</v>
      </c>
      <c r="BG393" s="5">
        <v>0</v>
      </c>
      <c r="BH393" s="2">
        <v>41477.919999999998</v>
      </c>
      <c r="BI393" s="12">
        <v>37033.86</v>
      </c>
      <c r="BJ393" s="2">
        <v>0</v>
      </c>
      <c r="BK393" s="5">
        <v>5410.17</v>
      </c>
      <c r="BL393" s="1" t="s">
        <v>90</v>
      </c>
    </row>
  </sheetData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56"/>
  <sheetViews>
    <sheetView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314888.2</v>
      </c>
      <c r="E5" s="2">
        <v>281150.15000000002</v>
      </c>
      <c r="I5" s="25"/>
      <c r="J5" s="12"/>
    </row>
    <row r="6" spans="2:13" x14ac:dyDescent="0.3">
      <c r="C6" s="14" t="s">
        <v>36</v>
      </c>
      <c r="D6" s="2">
        <v>5075.87</v>
      </c>
      <c r="E6" s="2">
        <v>5075.87</v>
      </c>
      <c r="I6" s="25"/>
      <c r="J6" s="12"/>
    </row>
    <row r="7" spans="2:13" ht="15" thickBot="1" x14ac:dyDescent="0.35">
      <c r="C7" t="s">
        <v>45</v>
      </c>
      <c r="D7" s="13">
        <f>SUM(D5:D6)</f>
        <v>319964.07</v>
      </c>
      <c r="E7" s="13">
        <f>SUM(E5:E6)</f>
        <v>286226.02</v>
      </c>
      <c r="I7" s="25"/>
      <c r="J7" s="12"/>
    </row>
    <row r="8" spans="2:13" ht="15" thickTop="1" x14ac:dyDescent="0.3">
      <c r="C8" s="14" t="s">
        <v>37</v>
      </c>
      <c r="D8" s="2">
        <v>-77.439999999999984</v>
      </c>
      <c r="E8" s="2">
        <v>-77.439999999999984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319886.63</v>
      </c>
      <c r="E9" s="36">
        <f>SUM(E7:E8)</f>
        <v>286148.58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D12" s="2">
        <v>4336.49</v>
      </c>
      <c r="E12" s="2">
        <v>3871.8599999999997</v>
      </c>
      <c r="F12" s="20">
        <v>25112153</v>
      </c>
      <c r="G12" s="20">
        <v>25112156</v>
      </c>
      <c r="I12" s="12"/>
      <c r="L12" s="12"/>
      <c r="M12" s="12"/>
    </row>
    <row r="13" spans="2:13" x14ac:dyDescent="0.3">
      <c r="C13" t="s">
        <v>63</v>
      </c>
      <c r="D13" s="44">
        <v>-77.439999999999984</v>
      </c>
      <c r="E13" s="44">
        <v>-77.439999999999984</v>
      </c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4259.05</v>
      </c>
      <c r="E14" s="13">
        <f>SUM(E12:E13)</f>
        <v>3794.4199999999996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566821.73</v>
      </c>
      <c r="E15" s="2">
        <v>509500.66999999981</v>
      </c>
      <c r="F15" s="20">
        <v>25112157</v>
      </c>
      <c r="G15" s="20">
        <v>25112228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571080.78</v>
      </c>
      <c r="E16" s="18">
        <f>SUM(E14:E15)</f>
        <v>513295.08999999979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279895.19</v>
      </c>
      <c r="E22" s="2">
        <v>253169.42</v>
      </c>
      <c r="F22" s="20">
        <v>25016220</v>
      </c>
      <c r="G22" s="20">
        <v>25016265</v>
      </c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279895.19</v>
      </c>
      <c r="E23" s="18">
        <f>SUM(E21:E22)</f>
        <v>253169.42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291185.59000000003</v>
      </c>
      <c r="E25" s="36">
        <f>E16-E23</f>
        <v>260125.66999999978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673.12</v>
      </c>
      <c r="E50" s="2">
        <v>600.99999999999636</v>
      </c>
      <c r="F50" s="2">
        <v>12.019999999999982</v>
      </c>
      <c r="G50" s="2">
        <v>661.1</v>
      </c>
      <c r="K50" s="12"/>
      <c r="L50" s="12"/>
      <c r="M50" s="12"/>
      <c r="N50" s="12"/>
    </row>
    <row r="51" spans="2:14" x14ac:dyDescent="0.3">
      <c r="C51" t="s">
        <v>41</v>
      </c>
      <c r="D51" s="2">
        <v>1917.12</v>
      </c>
      <c r="E51" s="2">
        <v>1711.71</v>
      </c>
      <c r="F51" s="2">
        <v>34.230000000000004</v>
      </c>
      <c r="G51" s="2">
        <v>1882.8899999999999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1746.25</v>
      </c>
      <c r="E53" s="2">
        <v>1559.1500000000033</v>
      </c>
      <c r="F53" s="2">
        <v>31.189999999999998</v>
      </c>
      <c r="G53" s="2">
        <v>1715.06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4336.49</v>
      </c>
      <c r="E55" s="39">
        <f t="shared" ref="E55:G55" si="2">SUM(E50:E54)</f>
        <v>3871.8599999999997</v>
      </c>
      <c r="F55" s="38">
        <f t="shared" si="2"/>
        <v>77.439999999999984</v>
      </c>
      <c r="G55" s="41">
        <f t="shared" si="2"/>
        <v>4259.0499999999993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666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555416</v>
      </c>
      <c r="AJ6" s="2">
        <v>221941</v>
      </c>
      <c r="AK6" s="2">
        <v>9918.14</v>
      </c>
      <c r="AL6" s="2">
        <v>3963.23</v>
      </c>
      <c r="AM6" s="5">
        <v>6940.69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23320.71</v>
      </c>
      <c r="AT6" s="12">
        <v>20822.059999999998</v>
      </c>
      <c r="AU6" s="2">
        <v>416.44</v>
      </c>
      <c r="AV6" s="5">
        <v>0</v>
      </c>
      <c r="AX6" s="2">
        <v>555416</v>
      </c>
      <c r="AY6" s="2">
        <v>221941</v>
      </c>
      <c r="AZ6" s="2">
        <v>9918.14</v>
      </c>
      <c r="BA6" s="2">
        <v>3963.23</v>
      </c>
      <c r="BB6" s="5">
        <v>6940.69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23320.71</v>
      </c>
      <c r="BI6" s="12">
        <v>20822.059999999998</v>
      </c>
      <c r="BJ6" s="2">
        <v>416.44</v>
      </c>
      <c r="BK6" s="5">
        <v>0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130150</v>
      </c>
      <c r="AJ7" s="2">
        <v>49924</v>
      </c>
      <c r="AK7" s="2">
        <v>2324.11</v>
      </c>
      <c r="AL7" s="2">
        <v>891.5</v>
      </c>
      <c r="AM7" s="5">
        <v>1607.8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5402.22</v>
      </c>
      <c r="AT7" s="12">
        <v>4823.41</v>
      </c>
      <c r="AU7" s="2">
        <v>96.47</v>
      </c>
      <c r="AV7" s="5">
        <v>0</v>
      </c>
      <c r="AX7" s="2">
        <v>130150</v>
      </c>
      <c r="AY7" s="2">
        <v>49924</v>
      </c>
      <c r="AZ7" s="2">
        <v>2324.11</v>
      </c>
      <c r="BA7" s="2">
        <v>891.5</v>
      </c>
      <c r="BB7" s="5">
        <v>1607.8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5402.22</v>
      </c>
      <c r="BI7" s="12">
        <v>4823.41</v>
      </c>
      <c r="BJ7" s="2">
        <v>96.47</v>
      </c>
      <c r="BK7" s="5">
        <v>0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317200.75</v>
      </c>
      <c r="AJ8" s="2">
        <v>86592</v>
      </c>
      <c r="AK8" s="2">
        <v>5664.3</v>
      </c>
      <c r="AL8" s="2">
        <v>1546.29</v>
      </c>
      <c r="AM8" s="5">
        <v>3605.29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12113.79</v>
      </c>
      <c r="AT8" s="12">
        <v>10815.880000000001</v>
      </c>
      <c r="AU8" s="2">
        <v>216.32</v>
      </c>
      <c r="AV8" s="5">
        <v>0</v>
      </c>
      <c r="AX8" s="2">
        <v>317200.75</v>
      </c>
      <c r="AY8" s="2">
        <v>86592</v>
      </c>
      <c r="AZ8" s="2">
        <v>5664.3</v>
      </c>
      <c r="BA8" s="2">
        <v>1546.29</v>
      </c>
      <c r="BB8" s="5">
        <v>3605.29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12113.79</v>
      </c>
      <c r="BI8" s="12">
        <v>10815.880000000001</v>
      </c>
      <c r="BJ8" s="2">
        <v>216.32</v>
      </c>
      <c r="BK8" s="5">
        <v>0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865606</v>
      </c>
      <c r="AJ9" s="2">
        <v>167742</v>
      </c>
      <c r="AK9" s="2">
        <v>15457.25</v>
      </c>
      <c r="AL9" s="2">
        <v>2995.39</v>
      </c>
      <c r="AM9" s="5">
        <v>9226.32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31000.44</v>
      </c>
      <c r="AT9" s="12">
        <v>27678.959999999999</v>
      </c>
      <c r="AU9" s="2">
        <v>553.58000000000004</v>
      </c>
      <c r="AV9" s="5">
        <v>0</v>
      </c>
      <c r="AX9" s="2">
        <v>865606</v>
      </c>
      <c r="AY9" s="2">
        <v>167742</v>
      </c>
      <c r="AZ9" s="2">
        <v>15457.25</v>
      </c>
      <c r="BA9" s="2">
        <v>2995.39</v>
      </c>
      <c r="BB9" s="5">
        <v>9226.32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31000.44</v>
      </c>
      <c r="BI9" s="12">
        <v>27678.959999999999</v>
      </c>
      <c r="BJ9" s="2">
        <v>553.58000000000004</v>
      </c>
      <c r="BK9" s="5">
        <v>0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725449</v>
      </c>
      <c r="AJ10" s="2">
        <v>242170</v>
      </c>
      <c r="AK10" s="2">
        <v>12954.45</v>
      </c>
      <c r="AL10" s="2">
        <v>4324.46</v>
      </c>
      <c r="AM10" s="5">
        <v>8639.4599999999991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29028.57</v>
      </c>
      <c r="AT10" s="12">
        <v>25918.37</v>
      </c>
      <c r="AU10" s="2">
        <v>518.37</v>
      </c>
      <c r="AV10" s="5">
        <v>0</v>
      </c>
      <c r="AX10" s="2">
        <v>725449</v>
      </c>
      <c r="AY10" s="2">
        <v>242170</v>
      </c>
      <c r="AZ10" s="2">
        <v>12954.45</v>
      </c>
      <c r="BA10" s="2">
        <v>4324.46</v>
      </c>
      <c r="BB10" s="5">
        <v>8639.4599999999991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29028.57</v>
      </c>
      <c r="BI10" s="12">
        <v>25918.37</v>
      </c>
      <c r="BJ10" s="2">
        <v>518.37</v>
      </c>
      <c r="BK10" s="5">
        <v>0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581820</v>
      </c>
      <c r="AJ11" s="2">
        <v>182153</v>
      </c>
      <c r="AK11" s="2">
        <v>10389.64</v>
      </c>
      <c r="AL11" s="2">
        <v>3252.73</v>
      </c>
      <c r="AM11" s="5">
        <v>6821.19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22919.19</v>
      </c>
      <c r="AT11" s="12">
        <v>20463.559999999998</v>
      </c>
      <c r="AU11" s="2">
        <v>409.27</v>
      </c>
      <c r="AV11" s="5">
        <v>0</v>
      </c>
      <c r="AX11" s="2">
        <v>581820</v>
      </c>
      <c r="AY11" s="2">
        <v>182153</v>
      </c>
      <c r="AZ11" s="2">
        <v>10389.64</v>
      </c>
      <c r="BA11" s="2">
        <v>3252.73</v>
      </c>
      <c r="BB11" s="5">
        <v>6821.19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22919.19</v>
      </c>
      <c r="BI11" s="12">
        <v>20463.559999999998</v>
      </c>
      <c r="BJ11" s="2">
        <v>409.27</v>
      </c>
      <c r="BK11" s="5">
        <v>0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18857</v>
      </c>
      <c r="AJ12" s="2">
        <v>14304</v>
      </c>
      <c r="AK12" s="2">
        <v>336.73</v>
      </c>
      <c r="AL12" s="2">
        <v>255.43</v>
      </c>
      <c r="AM12" s="5">
        <v>296.08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994.83</v>
      </c>
      <c r="AT12" s="12">
        <v>888.24</v>
      </c>
      <c r="AU12" s="2">
        <v>17.760000000000002</v>
      </c>
      <c r="AV12" s="5">
        <v>0</v>
      </c>
      <c r="AX12" s="2">
        <v>18857</v>
      </c>
      <c r="AY12" s="2">
        <v>14304</v>
      </c>
      <c r="AZ12" s="2">
        <v>336.73</v>
      </c>
      <c r="BA12" s="2">
        <v>255.43</v>
      </c>
      <c r="BB12" s="5">
        <v>296.08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994.83</v>
      </c>
      <c r="BI12" s="12">
        <v>888.24</v>
      </c>
      <c r="BJ12" s="2">
        <v>17.760000000000002</v>
      </c>
      <c r="BK12" s="5">
        <v>0</v>
      </c>
      <c r="BL12" s="1" t="s">
        <v>90</v>
      </c>
    </row>
    <row r="13" spans="1:64" x14ac:dyDescent="0.3">
      <c r="A13" t="s">
        <v>158</v>
      </c>
      <c r="B13" s="1" t="s">
        <v>158</v>
      </c>
      <c r="C13" s="9" t="s">
        <v>159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335520.5</v>
      </c>
      <c r="AJ13" s="2">
        <v>99974</v>
      </c>
      <c r="AK13" s="2">
        <v>5991.44</v>
      </c>
      <c r="AL13" s="2">
        <v>1785.25</v>
      </c>
      <c r="AM13" s="5">
        <v>3888.34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13064.83</v>
      </c>
      <c r="AT13" s="12">
        <v>11665.029999999999</v>
      </c>
      <c r="AU13" s="2">
        <v>233.3</v>
      </c>
      <c r="AV13" s="5">
        <v>0</v>
      </c>
      <c r="AX13" s="2">
        <v>335520.5</v>
      </c>
      <c r="AY13" s="2">
        <v>99974</v>
      </c>
      <c r="AZ13" s="2">
        <v>5991.44</v>
      </c>
      <c r="BA13" s="2">
        <v>1785.25</v>
      </c>
      <c r="BB13" s="5">
        <v>3888.34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13064.83</v>
      </c>
      <c r="BI13" s="12">
        <v>11665.029999999999</v>
      </c>
      <c r="BJ13" s="2">
        <v>233.3</v>
      </c>
      <c r="BK13" s="5">
        <v>0</v>
      </c>
      <c r="BL13" s="1" t="s">
        <v>90</v>
      </c>
    </row>
    <row r="14" spans="1:64" x14ac:dyDescent="0.3">
      <c r="A14" t="s">
        <v>158</v>
      </c>
      <c r="B14" s="1" t="s">
        <v>160</v>
      </c>
      <c r="C14" s="9" t="s">
        <v>161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227607</v>
      </c>
      <c r="AJ14" s="2">
        <v>83923</v>
      </c>
      <c r="AK14" s="2">
        <v>4064.41</v>
      </c>
      <c r="AL14" s="2">
        <v>1498.62</v>
      </c>
      <c r="AM14" s="5">
        <v>2781.52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9345.9</v>
      </c>
      <c r="AT14" s="12">
        <v>8344.5499999999993</v>
      </c>
      <c r="AU14" s="2">
        <v>166.89</v>
      </c>
      <c r="AV14" s="5">
        <v>0</v>
      </c>
      <c r="AX14" s="2">
        <v>227607</v>
      </c>
      <c r="AY14" s="2">
        <v>83923</v>
      </c>
      <c r="AZ14" s="2">
        <v>4064.41</v>
      </c>
      <c r="BA14" s="2">
        <v>1498.62</v>
      </c>
      <c r="BB14" s="5">
        <v>2781.52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9345.9</v>
      </c>
      <c r="BI14" s="12">
        <v>8344.5499999999993</v>
      </c>
      <c r="BJ14" s="2">
        <v>166.89</v>
      </c>
      <c r="BK14" s="5">
        <v>0</v>
      </c>
      <c r="BL14" s="1" t="s">
        <v>90</v>
      </c>
    </row>
    <row r="15" spans="1:64" x14ac:dyDescent="0.3">
      <c r="A15" t="s">
        <v>158</v>
      </c>
      <c r="B15" s="1" t="s">
        <v>162</v>
      </c>
      <c r="C15" s="9" t="s">
        <v>163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79040</v>
      </c>
      <c r="AJ15" s="2">
        <v>44097</v>
      </c>
      <c r="AK15" s="2">
        <v>1411.43</v>
      </c>
      <c r="AL15" s="2">
        <v>787.45</v>
      </c>
      <c r="AM15" s="5">
        <v>1099.44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3694.12</v>
      </c>
      <c r="AT15" s="12">
        <v>3298.32</v>
      </c>
      <c r="AU15" s="2">
        <v>65.97</v>
      </c>
      <c r="AV15" s="5">
        <v>0</v>
      </c>
      <c r="AX15" s="2">
        <v>79040</v>
      </c>
      <c r="AY15" s="2">
        <v>44097</v>
      </c>
      <c r="AZ15" s="2">
        <v>1411.43</v>
      </c>
      <c r="BA15" s="2">
        <v>787.45</v>
      </c>
      <c r="BB15" s="5">
        <v>1099.44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3694.12</v>
      </c>
      <c r="BI15" s="12">
        <v>3298.32</v>
      </c>
      <c r="BJ15" s="2">
        <v>65.97</v>
      </c>
      <c r="BK15" s="5">
        <v>0</v>
      </c>
      <c r="BL15" s="1" t="s">
        <v>90</v>
      </c>
    </row>
    <row r="16" spans="1:64" x14ac:dyDescent="0.3">
      <c r="A16" t="s">
        <v>219</v>
      </c>
      <c r="B16" s="1" t="s">
        <v>219</v>
      </c>
      <c r="C16" s="9" t="s">
        <v>220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0</v>
      </c>
      <c r="AJ16" s="2">
        <v>0</v>
      </c>
      <c r="AK16" s="2">
        <v>0</v>
      </c>
      <c r="AL16" s="2">
        <v>0</v>
      </c>
      <c r="AM16" s="5">
        <v>0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0</v>
      </c>
      <c r="AT16" s="12">
        <v>0</v>
      </c>
      <c r="AU16" s="2">
        <v>0</v>
      </c>
      <c r="AV16" s="5">
        <v>0</v>
      </c>
      <c r="AX16" s="2">
        <v>0</v>
      </c>
      <c r="AY16" s="2">
        <v>0</v>
      </c>
      <c r="AZ16" s="2">
        <v>0</v>
      </c>
      <c r="BA16" s="2">
        <v>0</v>
      </c>
      <c r="BB16" s="5">
        <v>0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0</v>
      </c>
      <c r="BI16" s="12">
        <v>0</v>
      </c>
      <c r="BJ16" s="2">
        <v>0</v>
      </c>
      <c r="BK16" s="5">
        <v>0</v>
      </c>
      <c r="BL16" s="1" t="s">
        <v>90</v>
      </c>
    </row>
    <row r="17" spans="1:64" x14ac:dyDescent="0.3">
      <c r="A17" t="s">
        <v>219</v>
      </c>
      <c r="B17" s="1" t="s">
        <v>221</v>
      </c>
      <c r="C17" s="9" t="s">
        <v>222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47085</v>
      </c>
      <c r="AJ17" s="2">
        <v>14951</v>
      </c>
      <c r="AK17" s="2">
        <v>840.8</v>
      </c>
      <c r="AL17" s="2">
        <v>266.98</v>
      </c>
      <c r="AM17" s="5">
        <v>553.89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1861.07</v>
      </c>
      <c r="AT17" s="12">
        <v>1661.67</v>
      </c>
      <c r="AU17" s="2">
        <v>33.229999999999997</v>
      </c>
      <c r="AV17" s="5">
        <v>0</v>
      </c>
      <c r="AX17" s="2">
        <v>47085</v>
      </c>
      <c r="AY17" s="2">
        <v>14951</v>
      </c>
      <c r="AZ17" s="2">
        <v>840.8</v>
      </c>
      <c r="BA17" s="2">
        <v>266.98</v>
      </c>
      <c r="BB17" s="5">
        <v>553.89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1861.07</v>
      </c>
      <c r="BI17" s="12">
        <v>1661.67</v>
      </c>
      <c r="BJ17" s="2">
        <v>33.229999999999997</v>
      </c>
      <c r="BK17" s="5">
        <v>0</v>
      </c>
      <c r="BL17" s="1" t="s">
        <v>90</v>
      </c>
    </row>
    <row r="18" spans="1:64" x14ac:dyDescent="0.3">
      <c r="A18" t="s">
        <v>223</v>
      </c>
      <c r="B18" s="1" t="s">
        <v>223</v>
      </c>
      <c r="C18" s="9" t="s">
        <v>224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769938.14000000013</v>
      </c>
      <c r="AJ18" s="2">
        <v>109256.11</v>
      </c>
      <c r="AK18" s="2">
        <v>13748.89</v>
      </c>
      <c r="AL18" s="2">
        <v>1951</v>
      </c>
      <c r="AM18" s="5">
        <v>7849.95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26375.82</v>
      </c>
      <c r="AT18" s="12">
        <v>23549.84</v>
      </c>
      <c r="AU18" s="2">
        <v>471</v>
      </c>
      <c r="AV18" s="5">
        <v>0</v>
      </c>
      <c r="AX18" s="2">
        <v>769938.14000000013</v>
      </c>
      <c r="AY18" s="2">
        <v>109256.11</v>
      </c>
      <c r="AZ18" s="2">
        <v>13748.89</v>
      </c>
      <c r="BA18" s="2">
        <v>1951</v>
      </c>
      <c r="BB18" s="5">
        <v>7849.95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26375.82</v>
      </c>
      <c r="BI18" s="12">
        <v>23549.84</v>
      </c>
      <c r="BJ18" s="2">
        <v>471</v>
      </c>
      <c r="BK18" s="5">
        <v>0</v>
      </c>
      <c r="BL18" s="1" t="s">
        <v>90</v>
      </c>
    </row>
    <row r="19" spans="1:64" x14ac:dyDescent="0.3">
      <c r="A19" t="s">
        <v>223</v>
      </c>
      <c r="B19" s="1" t="s">
        <v>225</v>
      </c>
      <c r="C19" s="9" t="s">
        <v>226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467945.4</v>
      </c>
      <c r="AJ19" s="2">
        <v>134865</v>
      </c>
      <c r="AK19" s="2">
        <v>8356.17</v>
      </c>
      <c r="AL19" s="2">
        <v>2408.3000000000002</v>
      </c>
      <c r="AM19" s="5">
        <v>5382.23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18084.3</v>
      </c>
      <c r="AT19" s="12">
        <v>16146.7</v>
      </c>
      <c r="AU19" s="2">
        <v>322.93</v>
      </c>
      <c r="AV19" s="5">
        <v>0</v>
      </c>
      <c r="AX19" s="2">
        <v>467945.4</v>
      </c>
      <c r="AY19" s="2">
        <v>134865</v>
      </c>
      <c r="AZ19" s="2">
        <v>8356.17</v>
      </c>
      <c r="BA19" s="2">
        <v>2408.3000000000002</v>
      </c>
      <c r="BB19" s="5">
        <v>5382.23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18084.3</v>
      </c>
      <c r="BI19" s="12">
        <v>16146.7</v>
      </c>
      <c r="BJ19" s="2">
        <v>322.93</v>
      </c>
      <c r="BK19" s="5">
        <v>0</v>
      </c>
      <c r="BL19" s="1" t="s">
        <v>90</v>
      </c>
    </row>
    <row r="20" spans="1:64" x14ac:dyDescent="0.3">
      <c r="A20" t="s">
        <v>223</v>
      </c>
      <c r="B20" s="1" t="s">
        <v>227</v>
      </c>
      <c r="C20" s="9" t="s">
        <v>228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AV20" s="5">
        <v>0</v>
      </c>
      <c r="AX20" s="2">
        <v>0</v>
      </c>
      <c r="AY20" s="2">
        <v>0</v>
      </c>
      <c r="AZ20" s="2">
        <v>0</v>
      </c>
      <c r="BA20" s="2">
        <v>0</v>
      </c>
      <c r="BB20" s="5">
        <v>0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0</v>
      </c>
      <c r="BI20" s="12">
        <v>0</v>
      </c>
      <c r="BJ20" s="2">
        <v>0</v>
      </c>
      <c r="BK20" s="5">
        <v>0</v>
      </c>
      <c r="BL20" s="1" t="s">
        <v>90</v>
      </c>
    </row>
    <row r="21" spans="1:64" x14ac:dyDescent="0.3">
      <c r="A21" t="s">
        <v>239</v>
      </c>
      <c r="B21" s="1" t="s">
        <v>239</v>
      </c>
      <c r="C21" s="9" t="s">
        <v>240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409979.8</v>
      </c>
      <c r="AJ21" s="2">
        <v>209281</v>
      </c>
      <c r="AK21" s="2">
        <v>7321.07</v>
      </c>
      <c r="AL21" s="2">
        <v>3737.16</v>
      </c>
      <c r="AM21" s="5">
        <v>5529.12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18577.830000000002</v>
      </c>
      <c r="AT21" s="12">
        <v>16587.349999999999</v>
      </c>
      <c r="AU21" s="2">
        <v>331.75</v>
      </c>
      <c r="AV21" s="5">
        <v>0</v>
      </c>
      <c r="AX21" s="2">
        <v>409979.8</v>
      </c>
      <c r="AY21" s="2">
        <v>209281</v>
      </c>
      <c r="AZ21" s="2">
        <v>7321.07</v>
      </c>
      <c r="BA21" s="2">
        <v>3737.16</v>
      </c>
      <c r="BB21" s="5">
        <v>5529.12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18577.830000000002</v>
      </c>
      <c r="BI21" s="12">
        <v>16587.349999999999</v>
      </c>
      <c r="BJ21" s="2">
        <v>331.75</v>
      </c>
      <c r="BK21" s="5">
        <v>0</v>
      </c>
      <c r="BL21" s="1" t="s">
        <v>90</v>
      </c>
    </row>
    <row r="22" spans="1:64" x14ac:dyDescent="0.3">
      <c r="A22" t="s">
        <v>239</v>
      </c>
      <c r="B22" s="1" t="s">
        <v>241</v>
      </c>
      <c r="C22" s="9" t="s">
        <v>242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57434</v>
      </c>
      <c r="AJ22" s="2">
        <v>37311</v>
      </c>
      <c r="AK22" s="2">
        <v>1025.6099999999999</v>
      </c>
      <c r="AL22" s="2">
        <v>666.27</v>
      </c>
      <c r="AM22" s="5">
        <v>845.94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2842.36</v>
      </c>
      <c r="AT22" s="12">
        <v>2537.8199999999997</v>
      </c>
      <c r="AU22" s="2">
        <v>50.76</v>
      </c>
      <c r="AV22" s="5">
        <v>0</v>
      </c>
      <c r="AX22" s="2">
        <v>57434</v>
      </c>
      <c r="AY22" s="2">
        <v>37311</v>
      </c>
      <c r="AZ22" s="2">
        <v>1025.6099999999999</v>
      </c>
      <c r="BA22" s="2">
        <v>666.27</v>
      </c>
      <c r="BB22" s="5">
        <v>845.94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2842.36</v>
      </c>
      <c r="BI22" s="12">
        <v>2537.8199999999997</v>
      </c>
      <c r="BJ22" s="2">
        <v>50.76</v>
      </c>
      <c r="BK22" s="5">
        <v>0</v>
      </c>
      <c r="BL22" s="1" t="s">
        <v>90</v>
      </c>
    </row>
    <row r="23" spans="1:64" x14ac:dyDescent="0.3">
      <c r="A23" t="s">
        <v>239</v>
      </c>
      <c r="B23" s="1" t="s">
        <v>243</v>
      </c>
      <c r="C23" s="9" t="s">
        <v>244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191748</v>
      </c>
      <c r="AJ23" s="2">
        <v>80619</v>
      </c>
      <c r="AK23" s="2">
        <v>3424.07</v>
      </c>
      <c r="AL23" s="2">
        <v>1439.62</v>
      </c>
      <c r="AM23" s="5">
        <v>2431.85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8171</v>
      </c>
      <c r="AT23" s="12">
        <v>7295.5400000000009</v>
      </c>
      <c r="AU23" s="2">
        <v>145.91</v>
      </c>
      <c r="AV23" s="5">
        <v>0</v>
      </c>
      <c r="AX23" s="2">
        <v>191748</v>
      </c>
      <c r="AY23" s="2">
        <v>80619</v>
      </c>
      <c r="AZ23" s="2">
        <v>3424.07</v>
      </c>
      <c r="BA23" s="2">
        <v>1439.62</v>
      </c>
      <c r="BB23" s="5">
        <v>2431.85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8171</v>
      </c>
      <c r="BI23" s="12">
        <v>7295.5400000000009</v>
      </c>
      <c r="BJ23" s="2">
        <v>145.91</v>
      </c>
      <c r="BK23" s="5">
        <v>0</v>
      </c>
      <c r="BL23" s="1" t="s">
        <v>90</v>
      </c>
    </row>
    <row r="24" spans="1:64" x14ac:dyDescent="0.3">
      <c r="A24" t="s">
        <v>239</v>
      </c>
      <c r="B24" s="1" t="s">
        <v>245</v>
      </c>
      <c r="C24" s="9" t="s">
        <v>246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97179</v>
      </c>
      <c r="AJ24" s="2">
        <v>60359</v>
      </c>
      <c r="AK24" s="2">
        <v>1735.34</v>
      </c>
      <c r="AL24" s="2">
        <v>1077.8399999999999</v>
      </c>
      <c r="AM24" s="5">
        <v>1406.59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4726.1400000000003</v>
      </c>
      <c r="AT24" s="12">
        <v>4219.7699999999995</v>
      </c>
      <c r="AU24" s="2">
        <v>84.4</v>
      </c>
      <c r="AV24" s="5">
        <v>0</v>
      </c>
      <c r="AX24" s="2">
        <v>97179</v>
      </c>
      <c r="AY24" s="2">
        <v>60359</v>
      </c>
      <c r="AZ24" s="2">
        <v>1735.34</v>
      </c>
      <c r="BA24" s="2">
        <v>1077.8399999999999</v>
      </c>
      <c r="BB24" s="5">
        <v>1406.59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4726.1400000000003</v>
      </c>
      <c r="BI24" s="12">
        <v>4219.7699999999995</v>
      </c>
      <c r="BJ24" s="2">
        <v>84.4</v>
      </c>
      <c r="BK24" s="5">
        <v>0</v>
      </c>
      <c r="BL24" s="1" t="s">
        <v>90</v>
      </c>
    </row>
    <row r="25" spans="1:64" x14ac:dyDescent="0.3">
      <c r="A25" t="s">
        <v>261</v>
      </c>
      <c r="B25" s="1" t="s">
        <v>261</v>
      </c>
      <c r="C25" s="9" t="s">
        <v>262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355634</v>
      </c>
      <c r="AJ25" s="2">
        <v>133563</v>
      </c>
      <c r="AK25" s="2">
        <v>6350.61</v>
      </c>
      <c r="AL25" s="2">
        <v>2385.0500000000002</v>
      </c>
      <c r="AM25" s="5">
        <v>4367.83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14675.91</v>
      </c>
      <c r="AT25" s="12">
        <v>13103.49</v>
      </c>
      <c r="AU25" s="2">
        <v>262.07</v>
      </c>
      <c r="AV25" s="5">
        <v>0</v>
      </c>
      <c r="AX25" s="2">
        <v>355634</v>
      </c>
      <c r="AY25" s="2">
        <v>133563</v>
      </c>
      <c r="AZ25" s="2">
        <v>6350.61</v>
      </c>
      <c r="BA25" s="2">
        <v>2385.0500000000002</v>
      </c>
      <c r="BB25" s="5">
        <v>4367.83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14675.91</v>
      </c>
      <c r="BI25" s="12">
        <v>13103.49</v>
      </c>
      <c r="BJ25" s="2">
        <v>262.07</v>
      </c>
      <c r="BK25" s="5">
        <v>0</v>
      </c>
      <c r="BL25" s="1" t="s">
        <v>90</v>
      </c>
    </row>
    <row r="26" spans="1:64" x14ac:dyDescent="0.3">
      <c r="A26" t="s">
        <v>261</v>
      </c>
      <c r="B26" s="1" t="s">
        <v>263</v>
      </c>
      <c r="C26" s="9" t="s">
        <v>264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126476</v>
      </c>
      <c r="AJ26" s="2">
        <v>12685</v>
      </c>
      <c r="AK26" s="2">
        <v>2258.5</v>
      </c>
      <c r="AL26" s="2">
        <v>226.52</v>
      </c>
      <c r="AM26" s="5">
        <v>1242.51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4174.83</v>
      </c>
      <c r="AT26" s="12">
        <v>3727.5299999999997</v>
      </c>
      <c r="AU26" s="2">
        <v>74.55</v>
      </c>
      <c r="AV26" s="5">
        <v>0</v>
      </c>
      <c r="AX26" s="2">
        <v>126476</v>
      </c>
      <c r="AY26" s="2">
        <v>12685</v>
      </c>
      <c r="AZ26" s="2">
        <v>2258.5</v>
      </c>
      <c r="BA26" s="2">
        <v>226.52</v>
      </c>
      <c r="BB26" s="5">
        <v>1242.51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4174.83</v>
      </c>
      <c r="BI26" s="12">
        <v>3727.5299999999997</v>
      </c>
      <c r="BJ26" s="2">
        <v>74.55</v>
      </c>
      <c r="BK26" s="5">
        <v>0</v>
      </c>
      <c r="BL26" s="1" t="s">
        <v>90</v>
      </c>
    </row>
    <row r="27" spans="1:64" x14ac:dyDescent="0.3">
      <c r="A27" t="s">
        <v>274</v>
      </c>
      <c r="B27" s="1" t="s">
        <v>274</v>
      </c>
      <c r="C27" s="9" t="s">
        <v>275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551808.29</v>
      </c>
      <c r="AJ27" s="2">
        <v>251626.75</v>
      </c>
      <c r="AK27" s="2">
        <v>9853.7199999999993</v>
      </c>
      <c r="AL27" s="2">
        <v>4493.34</v>
      </c>
      <c r="AM27" s="5">
        <v>7173.53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24103.06</v>
      </c>
      <c r="AT27" s="12">
        <v>21520.59</v>
      </c>
      <c r="AU27" s="2">
        <v>430.41</v>
      </c>
      <c r="AV27" s="5">
        <v>0</v>
      </c>
      <c r="AX27" s="2">
        <v>551808.29</v>
      </c>
      <c r="AY27" s="2">
        <v>251626.75</v>
      </c>
      <c r="AZ27" s="2">
        <v>9853.7199999999993</v>
      </c>
      <c r="BA27" s="2">
        <v>4493.34</v>
      </c>
      <c r="BB27" s="5">
        <v>7173.53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24103.06</v>
      </c>
      <c r="BI27" s="12">
        <v>21520.59</v>
      </c>
      <c r="BJ27" s="2">
        <v>430.41</v>
      </c>
      <c r="BK27" s="5">
        <v>0</v>
      </c>
      <c r="BL27" s="1" t="s">
        <v>90</v>
      </c>
    </row>
    <row r="28" spans="1:64" x14ac:dyDescent="0.3">
      <c r="A28" t="s">
        <v>274</v>
      </c>
      <c r="B28" s="1" t="s">
        <v>276</v>
      </c>
      <c r="C28" s="9" t="s">
        <v>277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52987</v>
      </c>
      <c r="AJ28" s="2">
        <v>12313</v>
      </c>
      <c r="AK28" s="2">
        <v>2365.4899999999998</v>
      </c>
      <c r="AL28" s="2">
        <v>549.69000000000005</v>
      </c>
      <c r="AM28" s="5">
        <v>583.04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3918.01</v>
      </c>
      <c r="AT28" s="12">
        <v>3498.22</v>
      </c>
      <c r="AU28" s="2">
        <v>69.959999999999994</v>
      </c>
      <c r="AV28" s="5">
        <v>0</v>
      </c>
      <c r="AX28" s="2">
        <v>52987</v>
      </c>
      <c r="AY28" s="2">
        <v>12313</v>
      </c>
      <c r="AZ28" s="2">
        <v>2365.4899999999998</v>
      </c>
      <c r="BA28" s="2">
        <v>549.69000000000005</v>
      </c>
      <c r="BB28" s="5">
        <v>583.04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3918.01</v>
      </c>
      <c r="BI28" s="12">
        <v>3498.22</v>
      </c>
      <c r="BJ28" s="2">
        <v>69.959999999999994</v>
      </c>
      <c r="BK28" s="5">
        <v>0</v>
      </c>
      <c r="BL28" s="1" t="s">
        <v>90</v>
      </c>
    </row>
    <row r="29" spans="1:64" x14ac:dyDescent="0.3">
      <c r="A29" t="s">
        <v>292</v>
      </c>
      <c r="B29" s="1" t="s">
        <v>292</v>
      </c>
      <c r="C29" s="9" t="s">
        <v>293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419651.88</v>
      </c>
      <c r="AJ29" s="2">
        <v>103796.87</v>
      </c>
      <c r="AK29" s="2">
        <v>7493.79</v>
      </c>
      <c r="AL29" s="2">
        <v>1853.52</v>
      </c>
      <c r="AM29" s="5">
        <v>4673.6499999999996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15703.48</v>
      </c>
      <c r="AT29" s="12">
        <v>14020.96</v>
      </c>
      <c r="AU29" s="2">
        <v>280.42</v>
      </c>
      <c r="AV29" s="5">
        <v>0</v>
      </c>
      <c r="AX29" s="2">
        <v>419651.88</v>
      </c>
      <c r="AY29" s="2">
        <v>103796.87</v>
      </c>
      <c r="AZ29" s="2">
        <v>7493.79</v>
      </c>
      <c r="BA29" s="2">
        <v>1853.52</v>
      </c>
      <c r="BB29" s="5">
        <v>4673.6499999999996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15703.48</v>
      </c>
      <c r="BI29" s="12">
        <v>14020.96</v>
      </c>
      <c r="BJ29" s="2">
        <v>280.42</v>
      </c>
      <c r="BK29" s="5">
        <v>0</v>
      </c>
      <c r="BL29" s="1" t="s">
        <v>90</v>
      </c>
    </row>
    <row r="30" spans="1:64" x14ac:dyDescent="0.3">
      <c r="A30" t="s">
        <v>292</v>
      </c>
      <c r="B30" s="1" t="s">
        <v>294</v>
      </c>
      <c r="C30" s="9" t="s">
        <v>295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569256</v>
      </c>
      <c r="AJ30" s="2">
        <v>215597</v>
      </c>
      <c r="AK30" s="2">
        <v>10165.290000000001</v>
      </c>
      <c r="AL30" s="2">
        <v>3849.95</v>
      </c>
      <c r="AM30" s="5">
        <v>7007.62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23545.599999999999</v>
      </c>
      <c r="AT30" s="12">
        <v>21022.86</v>
      </c>
      <c r="AU30" s="2">
        <v>420.46</v>
      </c>
      <c r="AV30" s="5">
        <v>0</v>
      </c>
      <c r="AX30" s="2">
        <v>569256</v>
      </c>
      <c r="AY30" s="2">
        <v>215597</v>
      </c>
      <c r="AZ30" s="2">
        <v>10165.290000000001</v>
      </c>
      <c r="BA30" s="2">
        <v>3849.95</v>
      </c>
      <c r="BB30" s="5">
        <v>7007.62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23545.599999999999</v>
      </c>
      <c r="BI30" s="12">
        <v>21022.86</v>
      </c>
      <c r="BJ30" s="2">
        <v>420.46</v>
      </c>
      <c r="BK30" s="5">
        <v>0</v>
      </c>
      <c r="BL30" s="1" t="s">
        <v>90</v>
      </c>
    </row>
    <row r="31" spans="1:64" x14ac:dyDescent="0.3">
      <c r="A31" t="s">
        <v>292</v>
      </c>
      <c r="B31" s="1" t="s">
        <v>296</v>
      </c>
      <c r="C31" s="9" t="s">
        <v>297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115093</v>
      </c>
      <c r="AJ31" s="2">
        <v>46152</v>
      </c>
      <c r="AK31" s="2">
        <v>2055.23</v>
      </c>
      <c r="AL31" s="2">
        <v>824.14</v>
      </c>
      <c r="AM31" s="5">
        <v>1439.69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4837.3500000000004</v>
      </c>
      <c r="AT31" s="12">
        <v>4319.0599999999995</v>
      </c>
      <c r="AU31" s="2">
        <v>86.38</v>
      </c>
      <c r="AV31" s="5">
        <v>0</v>
      </c>
      <c r="AX31" s="2">
        <v>115093</v>
      </c>
      <c r="AY31" s="2">
        <v>46152</v>
      </c>
      <c r="AZ31" s="2">
        <v>2055.23</v>
      </c>
      <c r="BA31" s="2">
        <v>824.14</v>
      </c>
      <c r="BB31" s="5">
        <v>1439.69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4837.3500000000004</v>
      </c>
      <c r="BI31" s="12">
        <v>4319.0599999999995</v>
      </c>
      <c r="BJ31" s="2">
        <v>86.38</v>
      </c>
      <c r="BK31" s="5">
        <v>0</v>
      </c>
      <c r="BL31" s="1" t="s">
        <v>90</v>
      </c>
    </row>
    <row r="32" spans="1:64" x14ac:dyDescent="0.3">
      <c r="A32" t="s">
        <v>395</v>
      </c>
      <c r="B32" s="1" t="s">
        <v>395</v>
      </c>
      <c r="C32" s="9" t="s">
        <v>396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845637.39999999991</v>
      </c>
      <c r="AJ32" s="2">
        <v>281719</v>
      </c>
      <c r="AK32" s="2">
        <v>15100.67</v>
      </c>
      <c r="AL32" s="2">
        <v>5030.7</v>
      </c>
      <c r="AM32" s="5">
        <v>10065.68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33820.699999999997</v>
      </c>
      <c r="AT32" s="12">
        <v>30197.05</v>
      </c>
      <c r="AU32" s="2">
        <v>603.94000000000005</v>
      </c>
      <c r="AV32" s="5">
        <v>0</v>
      </c>
      <c r="AX32" s="2">
        <v>845637.39999999991</v>
      </c>
      <c r="AY32" s="2">
        <v>281719</v>
      </c>
      <c r="AZ32" s="2">
        <v>15100.67</v>
      </c>
      <c r="BA32" s="2">
        <v>5030.7</v>
      </c>
      <c r="BB32" s="5">
        <v>10065.68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33820.699999999997</v>
      </c>
      <c r="BI32" s="12">
        <v>30197.05</v>
      </c>
      <c r="BJ32" s="2">
        <v>603.94000000000005</v>
      </c>
      <c r="BK32" s="5">
        <v>0</v>
      </c>
      <c r="BL32" s="1" t="s">
        <v>90</v>
      </c>
    </row>
    <row r="33" spans="1:64" x14ac:dyDescent="0.3">
      <c r="A33" t="s">
        <v>395</v>
      </c>
      <c r="B33" s="1" t="s">
        <v>397</v>
      </c>
      <c r="C33" s="9" t="s">
        <v>398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201224</v>
      </c>
      <c r="AJ33" s="2">
        <v>23766</v>
      </c>
      <c r="AK33" s="2">
        <v>3593.29</v>
      </c>
      <c r="AL33" s="2">
        <v>424.39</v>
      </c>
      <c r="AM33" s="5">
        <v>2008.84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6749.7</v>
      </c>
      <c r="AT33" s="12">
        <v>6026.5199999999995</v>
      </c>
      <c r="AU33" s="2">
        <v>120.53</v>
      </c>
      <c r="AV33" s="5">
        <v>0</v>
      </c>
      <c r="AX33" s="2">
        <v>201224</v>
      </c>
      <c r="AY33" s="2">
        <v>23766</v>
      </c>
      <c r="AZ33" s="2">
        <v>3593.29</v>
      </c>
      <c r="BA33" s="2">
        <v>424.39</v>
      </c>
      <c r="BB33" s="5">
        <v>2008.84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6749.7</v>
      </c>
      <c r="BI33" s="12">
        <v>6026.5199999999995</v>
      </c>
      <c r="BJ33" s="2">
        <v>120.53</v>
      </c>
      <c r="BK33" s="5">
        <v>0</v>
      </c>
      <c r="BL33" s="1" t="s">
        <v>90</v>
      </c>
    </row>
    <row r="34" spans="1:64" x14ac:dyDescent="0.3">
      <c r="A34" t="s">
        <v>494</v>
      </c>
      <c r="B34" s="1" t="s">
        <v>494</v>
      </c>
      <c r="C34" s="9" t="s">
        <v>495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1093821.45</v>
      </c>
      <c r="AJ34" s="2">
        <v>394074.55</v>
      </c>
      <c r="AK34" s="2">
        <v>19532.53</v>
      </c>
      <c r="AL34" s="2">
        <v>7037.04</v>
      </c>
      <c r="AM34" s="5">
        <v>13284.79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44636.88</v>
      </c>
      <c r="AT34" s="12">
        <v>39854.36</v>
      </c>
      <c r="AU34" s="2">
        <v>797.09</v>
      </c>
      <c r="AV34" s="5">
        <v>0</v>
      </c>
      <c r="AX34" s="2">
        <v>1093821.45</v>
      </c>
      <c r="AY34" s="2">
        <v>394074.55</v>
      </c>
      <c r="AZ34" s="2">
        <v>19532.53</v>
      </c>
      <c r="BA34" s="2">
        <v>7037.04</v>
      </c>
      <c r="BB34" s="5">
        <v>13284.79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44636.88</v>
      </c>
      <c r="BI34" s="12">
        <v>39854.36</v>
      </c>
      <c r="BJ34" s="2">
        <v>797.09</v>
      </c>
      <c r="BK34" s="5">
        <v>0</v>
      </c>
      <c r="BL34" s="1" t="s">
        <v>90</v>
      </c>
    </row>
    <row r="35" spans="1:64" x14ac:dyDescent="0.3">
      <c r="A35" t="s">
        <v>494</v>
      </c>
      <c r="B35" s="1" t="s">
        <v>496</v>
      </c>
      <c r="C35" s="9" t="s">
        <v>497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80054</v>
      </c>
      <c r="AJ35" s="2">
        <v>66914</v>
      </c>
      <c r="AK35" s="2">
        <v>1429.54</v>
      </c>
      <c r="AL35" s="2">
        <v>1194.8900000000001</v>
      </c>
      <c r="AM35" s="5">
        <v>1312.21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4409.04</v>
      </c>
      <c r="AT35" s="12">
        <v>3936.6400000000003</v>
      </c>
      <c r="AU35" s="2">
        <v>78.73</v>
      </c>
      <c r="AV35" s="5">
        <v>0</v>
      </c>
      <c r="AX35" s="2">
        <v>80054</v>
      </c>
      <c r="AY35" s="2">
        <v>66914</v>
      </c>
      <c r="AZ35" s="2">
        <v>1429.54</v>
      </c>
      <c r="BA35" s="2">
        <v>1194.8900000000001</v>
      </c>
      <c r="BB35" s="5">
        <v>1312.21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4409.04</v>
      </c>
      <c r="BI35" s="12">
        <v>3936.6400000000003</v>
      </c>
      <c r="BJ35" s="2">
        <v>78.73</v>
      </c>
      <c r="BK35" s="5">
        <v>0</v>
      </c>
      <c r="BL35" s="1" t="s">
        <v>90</v>
      </c>
    </row>
    <row r="36" spans="1:64" x14ac:dyDescent="0.3">
      <c r="A36" t="s">
        <v>642</v>
      </c>
      <c r="B36" s="1" t="s">
        <v>642</v>
      </c>
      <c r="C36" s="9" t="s">
        <v>643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364154.75</v>
      </c>
      <c r="AJ36" s="2">
        <v>70148</v>
      </c>
      <c r="AK36" s="2">
        <v>6502.77</v>
      </c>
      <c r="AL36" s="2">
        <v>1252.6400000000001</v>
      </c>
      <c r="AM36" s="5">
        <v>3877.71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13029.09</v>
      </c>
      <c r="AT36" s="12">
        <v>11633.12</v>
      </c>
      <c r="AU36" s="2">
        <v>232.66</v>
      </c>
      <c r="AV36" s="5">
        <v>0</v>
      </c>
      <c r="AX36" s="2">
        <v>364154.75</v>
      </c>
      <c r="AY36" s="2">
        <v>70148</v>
      </c>
      <c r="AZ36" s="2">
        <v>6502.77</v>
      </c>
      <c r="BA36" s="2">
        <v>1252.6400000000001</v>
      </c>
      <c r="BB36" s="5">
        <v>3877.71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13029.09</v>
      </c>
      <c r="BI36" s="12">
        <v>11633.12</v>
      </c>
      <c r="BJ36" s="2">
        <v>232.66</v>
      </c>
      <c r="BK36" s="5">
        <v>0</v>
      </c>
      <c r="BL36" s="1" t="s">
        <v>90</v>
      </c>
    </row>
    <row r="37" spans="1:64" x14ac:dyDescent="0.3">
      <c r="A37" t="s">
        <v>744</v>
      </c>
      <c r="B37" s="1" t="s">
        <v>744</v>
      </c>
      <c r="C37" s="9" t="s">
        <v>745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804436.29</v>
      </c>
      <c r="AJ37" s="2">
        <v>171947</v>
      </c>
      <c r="AK37" s="2">
        <v>14364.94</v>
      </c>
      <c r="AL37" s="2">
        <v>3070.48</v>
      </c>
      <c r="AM37" s="5">
        <v>8717.7099999999991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29291.51</v>
      </c>
      <c r="AT37" s="12">
        <v>26153.13</v>
      </c>
      <c r="AU37" s="2">
        <v>523.05999999999995</v>
      </c>
      <c r="AV37" s="5">
        <v>0</v>
      </c>
      <c r="AX37" s="2">
        <v>804436.29</v>
      </c>
      <c r="AY37" s="2">
        <v>171947</v>
      </c>
      <c r="AZ37" s="2">
        <v>14364.94</v>
      </c>
      <c r="BA37" s="2">
        <v>3070.48</v>
      </c>
      <c r="BB37" s="5">
        <v>8717.7099999999991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29291.51</v>
      </c>
      <c r="BI37" s="12">
        <v>26153.13</v>
      </c>
      <c r="BJ37" s="2">
        <v>523.05999999999995</v>
      </c>
      <c r="BK37" s="5">
        <v>0</v>
      </c>
      <c r="BL37" s="1" t="s">
        <v>90</v>
      </c>
    </row>
    <row r="38" spans="1:64" x14ac:dyDescent="0.3">
      <c r="A38" t="s">
        <v>744</v>
      </c>
      <c r="B38" s="1" t="s">
        <v>746</v>
      </c>
      <c r="C38" s="9" t="s">
        <v>747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60883</v>
      </c>
      <c r="AJ38" s="2">
        <v>17411</v>
      </c>
      <c r="AK38" s="2">
        <v>1087.2</v>
      </c>
      <c r="AL38" s="2">
        <v>310.91000000000003</v>
      </c>
      <c r="AM38" s="5">
        <v>699.05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2348.8200000000002</v>
      </c>
      <c r="AT38" s="12">
        <v>2097.16</v>
      </c>
      <c r="AU38" s="2">
        <v>41.94</v>
      </c>
      <c r="AV38" s="5">
        <v>0</v>
      </c>
      <c r="AX38" s="2">
        <v>60883</v>
      </c>
      <c r="AY38" s="2">
        <v>17411</v>
      </c>
      <c r="AZ38" s="2">
        <v>1087.2</v>
      </c>
      <c r="BA38" s="2">
        <v>310.91000000000003</v>
      </c>
      <c r="BB38" s="5">
        <v>699.05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2348.8200000000002</v>
      </c>
      <c r="BI38" s="12">
        <v>2097.16</v>
      </c>
      <c r="BJ38" s="2">
        <v>41.94</v>
      </c>
      <c r="BK38" s="5">
        <v>0</v>
      </c>
      <c r="BL38" s="1" t="s">
        <v>90</v>
      </c>
    </row>
    <row r="39" spans="1:64" x14ac:dyDescent="0.3">
      <c r="A39" t="s">
        <v>748</v>
      </c>
      <c r="B39" s="1" t="s">
        <v>748</v>
      </c>
      <c r="C39" s="9" t="s">
        <v>749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736781</v>
      </c>
      <c r="AJ39" s="2">
        <v>227673</v>
      </c>
      <c r="AK39" s="2">
        <v>13156.8</v>
      </c>
      <c r="AL39" s="2">
        <v>4065.59</v>
      </c>
      <c r="AM39" s="5">
        <v>8611.2000000000007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28933.62</v>
      </c>
      <c r="AT39" s="12">
        <v>25833.59</v>
      </c>
      <c r="AU39" s="2">
        <v>516.66999999999996</v>
      </c>
      <c r="AV39" s="5">
        <v>0</v>
      </c>
      <c r="AX39" s="2">
        <v>736781</v>
      </c>
      <c r="AY39" s="2">
        <v>227673</v>
      </c>
      <c r="AZ39" s="2">
        <v>13156.8</v>
      </c>
      <c r="BA39" s="2">
        <v>4065.59</v>
      </c>
      <c r="BB39" s="5">
        <v>8611.2000000000007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28933.62</v>
      </c>
      <c r="BI39" s="12">
        <v>25833.59</v>
      </c>
      <c r="BJ39" s="2">
        <v>516.66999999999996</v>
      </c>
      <c r="BK39" s="5">
        <v>0</v>
      </c>
      <c r="BL39" s="1" t="s">
        <v>90</v>
      </c>
    </row>
    <row r="40" spans="1:64" x14ac:dyDescent="0.3">
      <c r="A40" t="s">
        <v>777</v>
      </c>
      <c r="B40" s="1" t="s">
        <v>777</v>
      </c>
      <c r="C40" s="9" t="s">
        <v>778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234819</v>
      </c>
      <c r="AJ40" s="2">
        <v>65820</v>
      </c>
      <c r="AK40" s="2">
        <v>4193.2</v>
      </c>
      <c r="AL40" s="2">
        <v>1175.3599999999999</v>
      </c>
      <c r="AM40" s="5">
        <v>2684.28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9019.18</v>
      </c>
      <c r="AT40" s="12">
        <v>8052.84</v>
      </c>
      <c r="AU40" s="2">
        <v>161.06</v>
      </c>
      <c r="AV40" s="5">
        <v>0</v>
      </c>
      <c r="AX40" s="2">
        <v>234819</v>
      </c>
      <c r="AY40" s="2">
        <v>65820</v>
      </c>
      <c r="AZ40" s="2">
        <v>4193.2</v>
      </c>
      <c r="BA40" s="2">
        <v>1175.3599999999999</v>
      </c>
      <c r="BB40" s="5">
        <v>2684.28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9019.18</v>
      </c>
      <c r="BI40" s="12">
        <v>8052.84</v>
      </c>
      <c r="BJ40" s="2">
        <v>161.06</v>
      </c>
      <c r="BK40" s="5">
        <v>0</v>
      </c>
      <c r="BL40" s="1" t="s">
        <v>90</v>
      </c>
    </row>
    <row r="41" spans="1:64" x14ac:dyDescent="0.3">
      <c r="A41" t="s">
        <v>777</v>
      </c>
      <c r="B41" s="1" t="s">
        <v>779</v>
      </c>
      <c r="C41" s="9" t="s">
        <v>780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299293</v>
      </c>
      <c r="AJ41" s="2">
        <v>105819</v>
      </c>
      <c r="AK41" s="2">
        <v>5344.52</v>
      </c>
      <c r="AL41" s="2">
        <v>1889.62</v>
      </c>
      <c r="AM41" s="5">
        <v>3617.07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12153.36</v>
      </c>
      <c r="AT41" s="12">
        <v>10851.210000000001</v>
      </c>
      <c r="AU41" s="2">
        <v>217.02</v>
      </c>
      <c r="AV41" s="5">
        <v>0</v>
      </c>
      <c r="AX41" s="2">
        <v>299293</v>
      </c>
      <c r="AY41" s="2">
        <v>105819</v>
      </c>
      <c r="AZ41" s="2">
        <v>5344.52</v>
      </c>
      <c r="BA41" s="2">
        <v>1889.62</v>
      </c>
      <c r="BB41" s="5">
        <v>3617.07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12153.36</v>
      </c>
      <c r="BI41" s="12">
        <v>10851.210000000001</v>
      </c>
      <c r="BJ41" s="2">
        <v>217.02</v>
      </c>
      <c r="BK41" s="5">
        <v>0</v>
      </c>
      <c r="BL41" s="1" t="s">
        <v>90</v>
      </c>
    </row>
    <row r="42" spans="1:64" x14ac:dyDescent="0.3">
      <c r="A42" t="s">
        <v>800</v>
      </c>
      <c r="B42" s="1" t="s">
        <v>800</v>
      </c>
      <c r="C42" s="9" t="s">
        <v>801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531353</v>
      </c>
      <c r="AJ42" s="2">
        <v>154028</v>
      </c>
      <c r="AK42" s="2">
        <v>9488.4500000000007</v>
      </c>
      <c r="AL42" s="2">
        <v>2750.5</v>
      </c>
      <c r="AM42" s="5">
        <v>6119.47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20561.43</v>
      </c>
      <c r="AT42" s="12">
        <v>18358.420000000002</v>
      </c>
      <c r="AU42" s="2">
        <v>367.17</v>
      </c>
      <c r="AV42" s="5">
        <v>0</v>
      </c>
      <c r="AX42" s="2">
        <v>531353</v>
      </c>
      <c r="AY42" s="2">
        <v>154028</v>
      </c>
      <c r="AZ42" s="2">
        <v>9488.4500000000007</v>
      </c>
      <c r="BA42" s="2">
        <v>2750.5</v>
      </c>
      <c r="BB42" s="5">
        <v>6119.47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20561.43</v>
      </c>
      <c r="BI42" s="12">
        <v>18358.420000000002</v>
      </c>
      <c r="BJ42" s="2">
        <v>367.17</v>
      </c>
      <c r="BK42" s="5">
        <v>0</v>
      </c>
      <c r="BL42" s="1" t="s">
        <v>90</v>
      </c>
    </row>
    <row r="43" spans="1:64" x14ac:dyDescent="0.3">
      <c r="A43" t="s">
        <v>800</v>
      </c>
      <c r="B43" s="1" t="s">
        <v>802</v>
      </c>
      <c r="C43" s="9" t="s">
        <v>803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29195</v>
      </c>
      <c r="AJ43" s="2">
        <v>14779</v>
      </c>
      <c r="AK43" s="2">
        <v>521.34</v>
      </c>
      <c r="AL43" s="2">
        <v>263.91000000000003</v>
      </c>
      <c r="AM43" s="5">
        <v>392.62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1319.21</v>
      </c>
      <c r="AT43" s="12">
        <v>1177.8699999999999</v>
      </c>
      <c r="AU43" s="2">
        <v>23.56</v>
      </c>
      <c r="AV43" s="5">
        <v>0</v>
      </c>
      <c r="AX43" s="2">
        <v>29195</v>
      </c>
      <c r="AY43" s="2">
        <v>14779</v>
      </c>
      <c r="AZ43" s="2">
        <v>521.34</v>
      </c>
      <c r="BA43" s="2">
        <v>263.91000000000003</v>
      </c>
      <c r="BB43" s="5">
        <v>392.62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1319.21</v>
      </c>
      <c r="BI43" s="12">
        <v>1177.8699999999999</v>
      </c>
      <c r="BJ43" s="2">
        <v>23.56</v>
      </c>
      <c r="BK43" s="5">
        <v>0</v>
      </c>
      <c r="BL43" s="1" t="s">
        <v>90</v>
      </c>
    </row>
    <row r="44" spans="1:64" x14ac:dyDescent="0.3">
      <c r="A44" t="s">
        <v>849</v>
      </c>
      <c r="B44" s="1" t="s">
        <v>849</v>
      </c>
      <c r="C44" s="9" t="s">
        <v>850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437323.5</v>
      </c>
      <c r="AJ44" s="2">
        <v>282356.5</v>
      </c>
      <c r="AK44" s="2">
        <v>7809.35</v>
      </c>
      <c r="AL44" s="2">
        <v>5042.08</v>
      </c>
      <c r="AM44" s="5">
        <v>6425.71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21590.400000000001</v>
      </c>
      <c r="AT44" s="12">
        <v>19277.14</v>
      </c>
      <c r="AU44" s="2">
        <v>385.54</v>
      </c>
      <c r="AV44" s="5">
        <v>0</v>
      </c>
      <c r="AX44" s="2">
        <v>437323.5</v>
      </c>
      <c r="AY44" s="2">
        <v>282356.5</v>
      </c>
      <c r="AZ44" s="2">
        <v>7809.35</v>
      </c>
      <c r="BA44" s="2">
        <v>5042.08</v>
      </c>
      <c r="BB44" s="5">
        <v>6425.71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21590.400000000001</v>
      </c>
      <c r="BI44" s="12">
        <v>19277.14</v>
      </c>
      <c r="BJ44" s="2">
        <v>385.54</v>
      </c>
      <c r="BK44" s="5">
        <v>0</v>
      </c>
      <c r="BL44" s="1" t="s">
        <v>90</v>
      </c>
    </row>
    <row r="45" spans="1:64" x14ac:dyDescent="0.3">
      <c r="A45" t="s">
        <v>860</v>
      </c>
      <c r="B45" s="1" t="s">
        <v>860</v>
      </c>
      <c r="C45" s="9" t="s">
        <v>861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1044874.09</v>
      </c>
      <c r="AJ45" s="2">
        <v>155729</v>
      </c>
      <c r="AK45" s="2">
        <v>18658.46</v>
      </c>
      <c r="AL45" s="2">
        <v>2780.87</v>
      </c>
      <c r="AM45" s="5">
        <v>10719.67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36018.080000000002</v>
      </c>
      <c r="AT45" s="12">
        <v>32159</v>
      </c>
      <c r="AU45" s="2">
        <v>643.17999999999995</v>
      </c>
      <c r="AV45" s="5">
        <v>0</v>
      </c>
      <c r="AX45" s="2">
        <v>1044874.09</v>
      </c>
      <c r="AY45" s="2">
        <v>155729</v>
      </c>
      <c r="AZ45" s="2">
        <v>18658.46</v>
      </c>
      <c r="BA45" s="2">
        <v>2780.87</v>
      </c>
      <c r="BB45" s="5">
        <v>10719.67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36018.080000000002</v>
      </c>
      <c r="BI45" s="12">
        <v>32159</v>
      </c>
      <c r="BJ45" s="2">
        <v>643.17999999999995</v>
      </c>
      <c r="BK45" s="5">
        <v>0</v>
      </c>
      <c r="BL45" s="1" t="s">
        <v>90</v>
      </c>
    </row>
    <row r="46" spans="1:64" x14ac:dyDescent="0.3">
      <c r="A46" t="s">
        <v>1084</v>
      </c>
      <c r="B46" s="1" t="s">
        <v>1084</v>
      </c>
      <c r="C46" s="9" t="s">
        <v>1085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332522</v>
      </c>
      <c r="AJ46" s="2">
        <v>67376</v>
      </c>
      <c r="AK46" s="2">
        <v>5937.89</v>
      </c>
      <c r="AL46" s="2">
        <v>1203.1400000000001</v>
      </c>
      <c r="AM46" s="5">
        <v>3570.52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11996.94</v>
      </c>
      <c r="AT46" s="12">
        <v>10711.550000000001</v>
      </c>
      <c r="AU46" s="2">
        <v>214.23</v>
      </c>
      <c r="AV46" s="5">
        <v>0</v>
      </c>
      <c r="AX46" s="2">
        <v>332522</v>
      </c>
      <c r="AY46" s="2">
        <v>67376</v>
      </c>
      <c r="AZ46" s="2">
        <v>5937.89</v>
      </c>
      <c r="BA46" s="2">
        <v>1203.1400000000001</v>
      </c>
      <c r="BB46" s="5">
        <v>3570.52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11996.94</v>
      </c>
      <c r="BI46" s="12">
        <v>10711.550000000001</v>
      </c>
      <c r="BJ46" s="2">
        <v>214.23</v>
      </c>
      <c r="BK46" s="5">
        <v>0</v>
      </c>
      <c r="BL46" s="1" t="s">
        <v>90</v>
      </c>
    </row>
    <row r="47" spans="1:64" x14ac:dyDescent="0.3">
      <c r="A47" t="s">
        <v>1084</v>
      </c>
      <c r="B47" s="1" t="s">
        <v>1086</v>
      </c>
      <c r="C47" s="9" t="s">
        <v>1087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68966</v>
      </c>
      <c r="AJ47" s="2">
        <v>28567</v>
      </c>
      <c r="AK47" s="2">
        <v>1231.54</v>
      </c>
      <c r="AL47" s="2">
        <v>510.12</v>
      </c>
      <c r="AM47" s="5">
        <v>870.83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2925.99</v>
      </c>
      <c r="AT47" s="12">
        <v>2612.4899999999998</v>
      </c>
      <c r="AU47" s="2">
        <v>52.25</v>
      </c>
      <c r="AV47" s="5">
        <v>0</v>
      </c>
      <c r="AX47" s="2">
        <v>68966</v>
      </c>
      <c r="AY47" s="2">
        <v>28567</v>
      </c>
      <c r="AZ47" s="2">
        <v>1231.54</v>
      </c>
      <c r="BA47" s="2">
        <v>510.12</v>
      </c>
      <c r="BB47" s="5">
        <v>870.83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2925.99</v>
      </c>
      <c r="BI47" s="12">
        <v>2612.4899999999998</v>
      </c>
      <c r="BJ47" s="2">
        <v>52.25</v>
      </c>
      <c r="BK47" s="5">
        <v>0</v>
      </c>
      <c r="BL47" s="1" t="s">
        <v>90</v>
      </c>
    </row>
    <row r="48" spans="1:64" x14ac:dyDescent="0.3">
      <c r="A48" t="s">
        <v>1227</v>
      </c>
      <c r="B48" s="1" t="s">
        <v>1227</v>
      </c>
      <c r="C48" s="9" t="s">
        <v>1228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291713.40000000002</v>
      </c>
      <c r="AJ48" s="2">
        <v>34564</v>
      </c>
      <c r="AK48" s="2">
        <v>5209.17</v>
      </c>
      <c r="AL48" s="2">
        <v>617.21</v>
      </c>
      <c r="AM48" s="5">
        <v>2913.19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9788.32</v>
      </c>
      <c r="AT48" s="12">
        <v>8739.57</v>
      </c>
      <c r="AU48" s="2">
        <v>174.79</v>
      </c>
      <c r="AV48" s="5">
        <v>0</v>
      </c>
      <c r="AX48" s="2">
        <v>291713.40000000002</v>
      </c>
      <c r="AY48" s="2">
        <v>34564</v>
      </c>
      <c r="AZ48" s="2">
        <v>5209.17</v>
      </c>
      <c r="BA48" s="2">
        <v>617.21</v>
      </c>
      <c r="BB48" s="5">
        <v>2913.19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9788.32</v>
      </c>
      <c r="BI48" s="12">
        <v>8739.57</v>
      </c>
      <c r="BJ48" s="2">
        <v>174.79</v>
      </c>
      <c r="BK48" s="5">
        <v>0</v>
      </c>
      <c r="BL48" s="1" t="s">
        <v>90</v>
      </c>
    </row>
    <row r="49" spans="1:64" x14ac:dyDescent="0.3">
      <c r="A49" t="s">
        <v>329</v>
      </c>
      <c r="B49" s="1" t="s">
        <v>329</v>
      </c>
      <c r="C49" s="9" t="s">
        <v>330</v>
      </c>
      <c r="D49" s="1" t="s">
        <v>41</v>
      </c>
      <c r="E49" s="1" t="s">
        <v>128</v>
      </c>
      <c r="F49" s="10" t="s">
        <v>331</v>
      </c>
      <c r="G49" s="1">
        <v>3.5000000000000003E-2</v>
      </c>
      <c r="H49" s="1">
        <v>0.02</v>
      </c>
      <c r="I49" s="8">
        <v>45136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768180.2</v>
      </c>
      <c r="AJ49" s="2">
        <v>138363</v>
      </c>
      <c r="AK49" s="2">
        <v>13717.5</v>
      </c>
      <c r="AL49" s="2">
        <v>2470.77</v>
      </c>
      <c r="AM49" s="5">
        <v>8094.13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27196.29</v>
      </c>
      <c r="AT49" s="12">
        <v>24282.400000000001</v>
      </c>
      <c r="AU49" s="2">
        <v>485.65</v>
      </c>
      <c r="AV49" s="5">
        <v>0</v>
      </c>
      <c r="AX49" s="2">
        <v>768180.2</v>
      </c>
      <c r="AY49" s="2">
        <v>138363</v>
      </c>
      <c r="AZ49" s="2">
        <v>13717.5</v>
      </c>
      <c r="BA49" s="2">
        <v>2470.77</v>
      </c>
      <c r="BB49" s="5">
        <v>8094.13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27196.29</v>
      </c>
      <c r="BI49" s="12">
        <v>24282.400000000001</v>
      </c>
      <c r="BJ49" s="2">
        <v>485.65</v>
      </c>
      <c r="BK49" s="5">
        <v>0</v>
      </c>
      <c r="BL49" s="1" t="s">
        <v>130</v>
      </c>
    </row>
    <row r="50" spans="1:64" x14ac:dyDescent="0.3">
      <c r="A50" t="s">
        <v>329</v>
      </c>
      <c r="B50" s="1" t="s">
        <v>332</v>
      </c>
      <c r="C50" s="9" t="s">
        <v>333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45135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373293.7</v>
      </c>
      <c r="AJ50" s="2">
        <v>14030</v>
      </c>
      <c r="AK50" s="2">
        <v>6665.96</v>
      </c>
      <c r="AL50" s="2">
        <v>250.54</v>
      </c>
      <c r="AM50" s="5">
        <v>3458.25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11619.72</v>
      </c>
      <c r="AT50" s="12">
        <v>10374.75</v>
      </c>
      <c r="AU50" s="2">
        <v>207.5</v>
      </c>
      <c r="AV50" s="5">
        <v>0</v>
      </c>
      <c r="AX50" s="2">
        <v>373293.7</v>
      </c>
      <c r="AY50" s="2">
        <v>14030</v>
      </c>
      <c r="AZ50" s="2">
        <v>6665.96</v>
      </c>
      <c r="BA50" s="2">
        <v>250.54</v>
      </c>
      <c r="BB50" s="5">
        <v>3458.25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11619.72</v>
      </c>
      <c r="BI50" s="12">
        <v>10374.75</v>
      </c>
      <c r="BJ50" s="2">
        <v>207.5</v>
      </c>
      <c r="BK50" s="5">
        <v>0</v>
      </c>
      <c r="BL50" s="1" t="s">
        <v>130</v>
      </c>
    </row>
    <row r="51" spans="1:64" x14ac:dyDescent="0.3">
      <c r="A51" t="s">
        <v>370</v>
      </c>
      <c r="B51" s="1" t="s">
        <v>370</v>
      </c>
      <c r="C51" s="9" t="s">
        <v>371</v>
      </c>
      <c r="D51" s="1" t="s">
        <v>41</v>
      </c>
      <c r="E51" s="1" t="s">
        <v>128</v>
      </c>
      <c r="F51" s="10" t="s">
        <v>372</v>
      </c>
      <c r="G51" s="1">
        <v>3.5000000000000003E-2</v>
      </c>
      <c r="H51" s="1">
        <v>0.02</v>
      </c>
      <c r="I51" s="8">
        <v>44741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808148.3</v>
      </c>
      <c r="AJ51" s="2">
        <v>60491.11</v>
      </c>
      <c r="AK51" s="2">
        <v>14431.22</v>
      </c>
      <c r="AL51" s="2">
        <v>1080.2</v>
      </c>
      <c r="AM51" s="5">
        <v>7755.71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26059.19</v>
      </c>
      <c r="AT51" s="12">
        <v>23267.13</v>
      </c>
      <c r="AU51" s="2">
        <v>465.34</v>
      </c>
      <c r="AV51" s="5">
        <v>0</v>
      </c>
      <c r="AX51" s="2">
        <v>808148.3</v>
      </c>
      <c r="AY51" s="2">
        <v>60491.11</v>
      </c>
      <c r="AZ51" s="2">
        <v>14431.22</v>
      </c>
      <c r="BA51" s="2">
        <v>1080.2</v>
      </c>
      <c r="BB51" s="5">
        <v>7755.71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26059.19</v>
      </c>
      <c r="BI51" s="12">
        <v>23267.13</v>
      </c>
      <c r="BJ51" s="2">
        <v>465.34</v>
      </c>
      <c r="BK51" s="5">
        <v>0</v>
      </c>
      <c r="BL51" s="1" t="s">
        <v>130</v>
      </c>
    </row>
    <row r="52" spans="1:64" x14ac:dyDescent="0.3">
      <c r="A52" t="s">
        <v>370</v>
      </c>
      <c r="B52" s="1" t="s">
        <v>373</v>
      </c>
      <c r="C52" s="9" t="s">
        <v>374</v>
      </c>
      <c r="D52" s="1" t="s">
        <v>41</v>
      </c>
      <c r="E52" s="1" t="s">
        <v>128</v>
      </c>
      <c r="F52" s="10" t="s">
        <v>372</v>
      </c>
      <c r="G52" s="1">
        <v>0</v>
      </c>
      <c r="H52" s="1">
        <v>0.02</v>
      </c>
      <c r="I52" s="8">
        <v>44741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381391.5</v>
      </c>
      <c r="AJ52" s="2">
        <v>34332</v>
      </c>
      <c r="AK52" s="2">
        <v>6810.56</v>
      </c>
      <c r="AL52" s="2">
        <v>613.07000000000005</v>
      </c>
      <c r="AM52" s="5">
        <v>3711.81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12471.69</v>
      </c>
      <c r="AT52" s="12">
        <v>11135.44</v>
      </c>
      <c r="AU52" s="2">
        <v>222.71</v>
      </c>
      <c r="AV52" s="5">
        <v>0</v>
      </c>
      <c r="AX52" s="2">
        <v>381391.5</v>
      </c>
      <c r="AY52" s="2">
        <v>34332</v>
      </c>
      <c r="AZ52" s="2">
        <v>6810.56</v>
      </c>
      <c r="BA52" s="2">
        <v>613.07000000000005</v>
      </c>
      <c r="BB52" s="5">
        <v>3711.81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12471.69</v>
      </c>
      <c r="BI52" s="12">
        <v>11135.44</v>
      </c>
      <c r="BJ52" s="2">
        <v>222.71</v>
      </c>
      <c r="BK52" s="5">
        <v>0</v>
      </c>
      <c r="BL52" s="1" t="s">
        <v>130</v>
      </c>
    </row>
    <row r="53" spans="1:64" x14ac:dyDescent="0.3">
      <c r="A53" t="s">
        <v>370</v>
      </c>
      <c r="B53" s="1" t="s">
        <v>375</v>
      </c>
      <c r="C53" s="9" t="s">
        <v>376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44741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399643</v>
      </c>
      <c r="AJ53" s="2">
        <v>18292</v>
      </c>
      <c r="AK53" s="2">
        <v>7136.48</v>
      </c>
      <c r="AL53" s="2">
        <v>326.64</v>
      </c>
      <c r="AM53" s="5">
        <v>3731.56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12538.04</v>
      </c>
      <c r="AT53" s="12">
        <v>11194.68</v>
      </c>
      <c r="AU53" s="2">
        <v>223.89</v>
      </c>
      <c r="AV53" s="5">
        <v>0</v>
      </c>
      <c r="AX53" s="2">
        <v>399643</v>
      </c>
      <c r="AY53" s="2">
        <v>18292</v>
      </c>
      <c r="AZ53" s="2">
        <v>7136.48</v>
      </c>
      <c r="BA53" s="2">
        <v>326.64</v>
      </c>
      <c r="BB53" s="5">
        <v>3731.56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12538.04</v>
      </c>
      <c r="BI53" s="12">
        <v>11194.68</v>
      </c>
      <c r="BJ53" s="2">
        <v>223.89</v>
      </c>
      <c r="BK53" s="5">
        <v>0</v>
      </c>
      <c r="BL53" s="1" t="s">
        <v>130</v>
      </c>
    </row>
    <row r="54" spans="1:64" x14ac:dyDescent="0.3">
      <c r="A54" t="s">
        <v>370</v>
      </c>
      <c r="B54" s="1" t="s">
        <v>377</v>
      </c>
      <c r="C54" s="9" t="s">
        <v>378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45041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258905</v>
      </c>
      <c r="AJ54" s="2">
        <v>13643</v>
      </c>
      <c r="AK54" s="2">
        <v>4623.3</v>
      </c>
      <c r="AL54" s="2">
        <v>243.62</v>
      </c>
      <c r="AM54" s="5">
        <v>2433.46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8176.43</v>
      </c>
      <c r="AT54" s="12">
        <v>7300.38</v>
      </c>
      <c r="AU54" s="2">
        <v>146.01</v>
      </c>
      <c r="AV54" s="5">
        <v>0</v>
      </c>
      <c r="AX54" s="2">
        <v>258905</v>
      </c>
      <c r="AY54" s="2">
        <v>13643</v>
      </c>
      <c r="AZ54" s="2">
        <v>4623.3</v>
      </c>
      <c r="BA54" s="2">
        <v>243.62</v>
      </c>
      <c r="BB54" s="5">
        <v>2433.46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8176.43</v>
      </c>
      <c r="BI54" s="12">
        <v>7300.38</v>
      </c>
      <c r="BJ54" s="2">
        <v>146.01</v>
      </c>
      <c r="BK54" s="5">
        <v>0</v>
      </c>
      <c r="BL54" s="1" t="s">
        <v>130</v>
      </c>
    </row>
    <row r="55" spans="1:64" x14ac:dyDescent="0.3">
      <c r="A55" t="s">
        <v>386</v>
      </c>
      <c r="B55" s="1" t="s">
        <v>386</v>
      </c>
      <c r="C55" s="9" t="s">
        <v>387</v>
      </c>
      <c r="D55" s="1" t="s">
        <v>41</v>
      </c>
      <c r="E55" s="1" t="s">
        <v>128</v>
      </c>
      <c r="F55" s="10" t="s">
        <v>372</v>
      </c>
      <c r="G55" s="1">
        <v>3.5000000000000003E-2</v>
      </c>
      <c r="H55" s="1">
        <v>0.02</v>
      </c>
      <c r="I55" s="8">
        <v>44835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616873.29999999993</v>
      </c>
      <c r="AJ55" s="2">
        <v>31754.2</v>
      </c>
      <c r="AK55" s="2">
        <v>11015.6</v>
      </c>
      <c r="AL55" s="2">
        <v>567.04</v>
      </c>
      <c r="AM55" s="5">
        <v>5791.31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19458.82</v>
      </c>
      <c r="AT55" s="12">
        <v>17373.95</v>
      </c>
      <c r="AU55" s="2">
        <v>347.48</v>
      </c>
      <c r="AV55" s="5">
        <v>0</v>
      </c>
      <c r="AX55" s="2">
        <v>616873.29999999993</v>
      </c>
      <c r="AY55" s="2">
        <v>31754.2</v>
      </c>
      <c r="AZ55" s="2">
        <v>11015.6</v>
      </c>
      <c r="BA55" s="2">
        <v>567.04</v>
      </c>
      <c r="BB55" s="5">
        <v>5791.31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19458.82</v>
      </c>
      <c r="BI55" s="12">
        <v>17373.95</v>
      </c>
      <c r="BJ55" s="2">
        <v>347.48</v>
      </c>
      <c r="BK55" s="5">
        <v>0</v>
      </c>
      <c r="BL55" s="1" t="s">
        <v>130</v>
      </c>
    </row>
    <row r="56" spans="1:64" x14ac:dyDescent="0.3">
      <c r="A56" t="s">
        <v>386</v>
      </c>
      <c r="B56" s="1" t="s">
        <v>388</v>
      </c>
      <c r="C56" s="9" t="s">
        <v>387</v>
      </c>
      <c r="D56" s="1" t="s">
        <v>41</v>
      </c>
      <c r="E56" s="1" t="s">
        <v>128</v>
      </c>
      <c r="F56" s="10" t="s">
        <v>372</v>
      </c>
      <c r="G56" s="1">
        <v>3.5000000000000003E-2</v>
      </c>
      <c r="H56" s="1">
        <v>0.02</v>
      </c>
      <c r="I56" s="8">
        <v>44835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39075</v>
      </c>
      <c r="AJ56" s="2">
        <v>23065</v>
      </c>
      <c r="AK56" s="2">
        <v>697.77</v>
      </c>
      <c r="AL56" s="2">
        <v>411.87</v>
      </c>
      <c r="AM56" s="5">
        <v>554.82000000000005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1864.2</v>
      </c>
      <c r="AT56" s="12">
        <v>1664.46</v>
      </c>
      <c r="AU56" s="2">
        <v>33.29</v>
      </c>
      <c r="AV56" s="5">
        <v>0</v>
      </c>
      <c r="AX56" s="2">
        <v>39075</v>
      </c>
      <c r="AY56" s="2">
        <v>23065</v>
      </c>
      <c r="AZ56" s="2">
        <v>697.77</v>
      </c>
      <c r="BA56" s="2">
        <v>411.87</v>
      </c>
      <c r="BB56" s="5">
        <v>554.82000000000005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1864.2</v>
      </c>
      <c r="BI56" s="12">
        <v>1664.46</v>
      </c>
      <c r="BJ56" s="2">
        <v>33.29</v>
      </c>
      <c r="BK56" s="5">
        <v>0</v>
      </c>
      <c r="BL56" s="1" t="s">
        <v>130</v>
      </c>
    </row>
    <row r="57" spans="1:64" x14ac:dyDescent="0.3">
      <c r="A57" t="s">
        <v>386</v>
      </c>
      <c r="B57" s="1" t="s">
        <v>389</v>
      </c>
      <c r="C57" s="9" t="s">
        <v>390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44835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254945</v>
      </c>
      <c r="AJ57" s="2">
        <v>9900</v>
      </c>
      <c r="AK57" s="2">
        <v>4552.59</v>
      </c>
      <c r="AL57" s="2">
        <v>176.79</v>
      </c>
      <c r="AM57" s="5">
        <v>2364.69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7945.36</v>
      </c>
      <c r="AT57" s="12">
        <v>7094.07</v>
      </c>
      <c r="AU57" s="2">
        <v>141.88</v>
      </c>
      <c r="AV57" s="5">
        <v>0</v>
      </c>
      <c r="AX57" s="2">
        <v>254945</v>
      </c>
      <c r="AY57" s="2">
        <v>9900</v>
      </c>
      <c r="AZ57" s="2">
        <v>4552.59</v>
      </c>
      <c r="BA57" s="2">
        <v>176.79</v>
      </c>
      <c r="BB57" s="5">
        <v>2364.69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7945.36</v>
      </c>
      <c r="BI57" s="12">
        <v>7094.07</v>
      </c>
      <c r="BJ57" s="2">
        <v>141.88</v>
      </c>
      <c r="BK57" s="5">
        <v>0</v>
      </c>
      <c r="BL57" s="1" t="s">
        <v>130</v>
      </c>
    </row>
    <row r="58" spans="1:64" x14ac:dyDescent="0.3">
      <c r="A58" t="s">
        <v>386</v>
      </c>
      <c r="B58" s="1" t="s">
        <v>391</v>
      </c>
      <c r="C58" s="9" t="s">
        <v>392</v>
      </c>
      <c r="D58" s="1" t="s">
        <v>41</v>
      </c>
      <c r="E58" s="1" t="s">
        <v>128</v>
      </c>
      <c r="F58" s="10" t="s">
        <v>372</v>
      </c>
      <c r="G58" s="1">
        <v>0</v>
      </c>
      <c r="H58" s="1">
        <v>0.02</v>
      </c>
      <c r="I58" s="8">
        <v>44835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374025</v>
      </c>
      <c r="AJ58" s="2">
        <v>13920</v>
      </c>
      <c r="AK58" s="2">
        <v>6679.02</v>
      </c>
      <c r="AL58" s="2">
        <v>248.57</v>
      </c>
      <c r="AM58" s="5">
        <v>3463.79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11638.35</v>
      </c>
      <c r="AT58" s="12">
        <v>10391.380000000001</v>
      </c>
      <c r="AU58" s="2">
        <v>207.83</v>
      </c>
      <c r="AV58" s="5">
        <v>0</v>
      </c>
      <c r="AX58" s="2">
        <v>374025</v>
      </c>
      <c r="AY58" s="2">
        <v>13920</v>
      </c>
      <c r="AZ58" s="2">
        <v>6679.02</v>
      </c>
      <c r="BA58" s="2">
        <v>248.57</v>
      </c>
      <c r="BB58" s="5">
        <v>3463.79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11638.35</v>
      </c>
      <c r="BI58" s="12">
        <v>10391.380000000001</v>
      </c>
      <c r="BJ58" s="2">
        <v>207.83</v>
      </c>
      <c r="BK58" s="5">
        <v>0</v>
      </c>
      <c r="BL58" s="1" t="s">
        <v>130</v>
      </c>
    </row>
    <row r="59" spans="1:64" x14ac:dyDescent="0.3">
      <c r="A59" t="s">
        <v>386</v>
      </c>
      <c r="B59" s="1" t="s">
        <v>393</v>
      </c>
      <c r="C59" s="9" t="s">
        <v>394</v>
      </c>
      <c r="D59" s="1" t="s">
        <v>41</v>
      </c>
      <c r="E59" s="1" t="s">
        <v>128</v>
      </c>
      <c r="F59" s="10" t="s">
        <v>372</v>
      </c>
      <c r="G59" s="1">
        <v>0</v>
      </c>
      <c r="H59" s="1">
        <v>0.02</v>
      </c>
      <c r="I59" s="8">
        <v>44835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139513</v>
      </c>
      <c r="AJ59" s="2">
        <v>10550</v>
      </c>
      <c r="AK59" s="2">
        <v>2491.3000000000002</v>
      </c>
      <c r="AL59" s="2">
        <v>188.39</v>
      </c>
      <c r="AM59" s="5">
        <v>1339.85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4501.88</v>
      </c>
      <c r="AT59" s="12">
        <v>4019.54</v>
      </c>
      <c r="AU59" s="2">
        <v>80.39</v>
      </c>
      <c r="AV59" s="5">
        <v>0</v>
      </c>
      <c r="AX59" s="2">
        <v>139513</v>
      </c>
      <c r="AY59" s="2">
        <v>10550</v>
      </c>
      <c r="AZ59" s="2">
        <v>2491.3000000000002</v>
      </c>
      <c r="BA59" s="2">
        <v>188.39</v>
      </c>
      <c r="BB59" s="5">
        <v>1339.85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4501.88</v>
      </c>
      <c r="BI59" s="12">
        <v>4019.54</v>
      </c>
      <c r="BJ59" s="2">
        <v>80.39</v>
      </c>
      <c r="BK59" s="5">
        <v>0</v>
      </c>
      <c r="BL59" s="1" t="s">
        <v>130</v>
      </c>
    </row>
    <row r="60" spans="1:64" x14ac:dyDescent="0.3">
      <c r="A60" t="s">
        <v>460</v>
      </c>
      <c r="B60" s="1" t="s">
        <v>460</v>
      </c>
      <c r="C60" s="9" t="s">
        <v>461</v>
      </c>
      <c r="D60" s="1" t="s">
        <v>41</v>
      </c>
      <c r="E60" s="1" t="s">
        <v>135</v>
      </c>
      <c r="F60" s="10" t="s">
        <v>462</v>
      </c>
      <c r="G60" s="1">
        <v>3.5000000000000003E-2</v>
      </c>
      <c r="H60" s="1">
        <v>0.02</v>
      </c>
      <c r="I60" s="8">
        <v>45315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504977.05</v>
      </c>
      <c r="AJ60" s="2">
        <v>46713</v>
      </c>
      <c r="AK60" s="2">
        <v>9017.4500000000007</v>
      </c>
      <c r="AL60" s="2">
        <v>834.16</v>
      </c>
      <c r="AM60" s="5">
        <v>4925.8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16550.7</v>
      </c>
      <c r="AT60" s="12">
        <v>14777.41</v>
      </c>
      <c r="AU60" s="2">
        <v>295.55</v>
      </c>
      <c r="AV60" s="5">
        <v>0</v>
      </c>
      <c r="AX60" s="2">
        <v>504977.05</v>
      </c>
      <c r="AY60" s="2">
        <v>46713</v>
      </c>
      <c r="AZ60" s="2">
        <v>9017.4500000000007</v>
      </c>
      <c r="BA60" s="2">
        <v>834.16</v>
      </c>
      <c r="BB60" s="5">
        <v>4925.8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16550.7</v>
      </c>
      <c r="BI60" s="12">
        <v>14777.41</v>
      </c>
      <c r="BJ60" s="2">
        <v>295.55</v>
      </c>
      <c r="BK60" s="5">
        <v>0</v>
      </c>
      <c r="BL60" s="1" t="s">
        <v>302</v>
      </c>
    </row>
    <row r="61" spans="1:64" x14ac:dyDescent="0.3">
      <c r="A61" t="s">
        <v>460</v>
      </c>
      <c r="B61" s="1" t="s">
        <v>463</v>
      </c>
      <c r="C61" s="9" t="s">
        <v>464</v>
      </c>
      <c r="D61" s="1" t="s">
        <v>41</v>
      </c>
      <c r="E61" s="1" t="s">
        <v>135</v>
      </c>
      <c r="F61" s="10" t="s">
        <v>462</v>
      </c>
      <c r="G61" s="1">
        <v>0.04</v>
      </c>
      <c r="H61" s="1">
        <v>0.02</v>
      </c>
      <c r="I61" s="8">
        <v>45315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387978</v>
      </c>
      <c r="AJ61" s="2">
        <v>56297</v>
      </c>
      <c r="AK61" s="2">
        <v>6928.18</v>
      </c>
      <c r="AL61" s="2">
        <v>1005.3</v>
      </c>
      <c r="AM61" s="5">
        <v>3966.74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13328.25</v>
      </c>
      <c r="AT61" s="12">
        <v>11900.220000000001</v>
      </c>
      <c r="AU61" s="2">
        <v>238</v>
      </c>
      <c r="AV61" s="5">
        <v>0</v>
      </c>
      <c r="AX61" s="2">
        <v>387978</v>
      </c>
      <c r="AY61" s="2">
        <v>56297</v>
      </c>
      <c r="AZ61" s="2">
        <v>6928.18</v>
      </c>
      <c r="BA61" s="2">
        <v>1005.3</v>
      </c>
      <c r="BB61" s="5">
        <v>3966.74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13328.25</v>
      </c>
      <c r="BI61" s="12">
        <v>11900.220000000001</v>
      </c>
      <c r="BJ61" s="2">
        <v>238</v>
      </c>
      <c r="BK61" s="5">
        <v>0</v>
      </c>
      <c r="BL61" s="1" t="s">
        <v>302</v>
      </c>
    </row>
    <row r="62" spans="1:64" x14ac:dyDescent="0.3">
      <c r="A62" t="s">
        <v>460</v>
      </c>
      <c r="B62" s="1" t="s">
        <v>465</v>
      </c>
      <c r="C62" s="9" t="s">
        <v>466</v>
      </c>
      <c r="D62" s="1" t="s">
        <v>41</v>
      </c>
      <c r="E62" s="1" t="s">
        <v>135</v>
      </c>
      <c r="F62" s="10" t="s">
        <v>467</v>
      </c>
      <c r="G62" s="1">
        <v>0</v>
      </c>
      <c r="H62" s="1">
        <v>0.02</v>
      </c>
      <c r="I62" s="8">
        <v>45315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0</v>
      </c>
      <c r="AJ62" s="2">
        <v>0</v>
      </c>
      <c r="AK62" s="2">
        <v>0</v>
      </c>
      <c r="AL62" s="2">
        <v>0</v>
      </c>
      <c r="AM62" s="5">
        <v>0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0</v>
      </c>
      <c r="AT62" s="12">
        <v>0</v>
      </c>
      <c r="AU62" s="2">
        <v>0</v>
      </c>
      <c r="AV62" s="5">
        <v>0</v>
      </c>
      <c r="AX62" s="2">
        <v>0</v>
      </c>
      <c r="AY62" s="2">
        <v>0</v>
      </c>
      <c r="AZ62" s="2">
        <v>0</v>
      </c>
      <c r="BA62" s="2">
        <v>0</v>
      </c>
      <c r="BB62" s="5">
        <v>0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0</v>
      </c>
      <c r="BI62" s="12">
        <v>0</v>
      </c>
      <c r="BJ62" s="2">
        <v>0</v>
      </c>
      <c r="BK62" s="5">
        <v>0</v>
      </c>
      <c r="BL62" s="1" t="s">
        <v>302</v>
      </c>
    </row>
    <row r="63" spans="1:64" x14ac:dyDescent="0.3">
      <c r="A63" t="s">
        <v>460</v>
      </c>
      <c r="B63" s="1" t="s">
        <v>468</v>
      </c>
      <c r="C63" s="9" t="s">
        <v>469</v>
      </c>
      <c r="D63" s="1" t="s">
        <v>41</v>
      </c>
      <c r="E63" s="1" t="s">
        <v>135</v>
      </c>
      <c r="F63" s="10" t="s">
        <v>467</v>
      </c>
      <c r="G63" s="1">
        <v>0</v>
      </c>
      <c r="H63" s="1">
        <v>0.05</v>
      </c>
      <c r="I63" s="8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0</v>
      </c>
      <c r="AJ63" s="2">
        <v>0</v>
      </c>
      <c r="AK63" s="2">
        <v>0</v>
      </c>
      <c r="AL63" s="2">
        <v>0</v>
      </c>
      <c r="AM63" s="5">
        <v>0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0</v>
      </c>
      <c r="AT63" s="12">
        <v>0</v>
      </c>
      <c r="AU63" s="2">
        <v>0</v>
      </c>
      <c r="AV63" s="5">
        <v>0</v>
      </c>
      <c r="AX63" s="2">
        <v>0</v>
      </c>
      <c r="AY63" s="2">
        <v>0</v>
      </c>
      <c r="AZ63" s="2">
        <v>0</v>
      </c>
      <c r="BA63" s="2">
        <v>0</v>
      </c>
      <c r="BB63" s="5">
        <v>0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0</v>
      </c>
      <c r="BI63" s="12">
        <v>0</v>
      </c>
      <c r="BJ63" s="2">
        <v>0</v>
      </c>
      <c r="BK63" s="5">
        <v>0</v>
      </c>
      <c r="BL63" s="1" t="s">
        <v>302</v>
      </c>
    </row>
    <row r="64" spans="1:64" x14ac:dyDescent="0.3">
      <c r="A64" t="s">
        <v>490</v>
      </c>
      <c r="B64" s="1" t="s">
        <v>490</v>
      </c>
      <c r="C64" s="9" t="s">
        <v>491</v>
      </c>
      <c r="D64" s="1" t="s">
        <v>41</v>
      </c>
      <c r="E64" s="1" t="s">
        <v>135</v>
      </c>
      <c r="F64" s="10" t="s">
        <v>462</v>
      </c>
      <c r="G64" s="1">
        <v>0</v>
      </c>
      <c r="H64" s="1">
        <v>0.02</v>
      </c>
      <c r="I64" s="8">
        <v>45387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460871.1</v>
      </c>
      <c r="AJ64" s="2">
        <v>72212</v>
      </c>
      <c r="AK64" s="2">
        <v>8229.84</v>
      </c>
      <c r="AL64" s="2">
        <v>1289.5</v>
      </c>
      <c r="AM64" s="5">
        <v>4759.67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15992.49</v>
      </c>
      <c r="AT64" s="12">
        <v>14279.01</v>
      </c>
      <c r="AU64" s="2">
        <v>285.58</v>
      </c>
      <c r="AV64" s="5">
        <v>0</v>
      </c>
      <c r="AX64" s="2">
        <v>460871.1</v>
      </c>
      <c r="AY64" s="2">
        <v>72212</v>
      </c>
      <c r="AZ64" s="2">
        <v>8229.84</v>
      </c>
      <c r="BA64" s="2">
        <v>1289.5</v>
      </c>
      <c r="BB64" s="5">
        <v>4759.67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15992.49</v>
      </c>
      <c r="BI64" s="12">
        <v>14279.01</v>
      </c>
      <c r="BJ64" s="2">
        <v>285.58</v>
      </c>
      <c r="BK64" s="5">
        <v>0</v>
      </c>
      <c r="BL64" s="1" t="s">
        <v>302</v>
      </c>
    </row>
    <row r="65" spans="1:64" x14ac:dyDescent="0.3">
      <c r="A65" t="s">
        <v>490</v>
      </c>
      <c r="B65" s="1" t="s">
        <v>492</v>
      </c>
      <c r="C65" s="9" t="s">
        <v>493</v>
      </c>
      <c r="D65" s="1" t="s">
        <v>41</v>
      </c>
      <c r="E65" s="1" t="s">
        <v>135</v>
      </c>
      <c r="F65" s="10" t="s">
        <v>462</v>
      </c>
      <c r="G65" s="1">
        <v>0</v>
      </c>
      <c r="H65" s="1">
        <v>0.02</v>
      </c>
      <c r="I65" s="8">
        <v>45387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134478</v>
      </c>
      <c r="AJ65" s="2">
        <v>34961</v>
      </c>
      <c r="AK65" s="2">
        <v>2401.39</v>
      </c>
      <c r="AL65" s="2">
        <v>624.29999999999995</v>
      </c>
      <c r="AM65" s="5">
        <v>1512.85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5083.16</v>
      </c>
      <c r="AT65" s="12">
        <v>4538.5399999999991</v>
      </c>
      <c r="AU65" s="2">
        <v>90.77</v>
      </c>
      <c r="AV65" s="5">
        <v>0</v>
      </c>
      <c r="AX65" s="2">
        <v>134478</v>
      </c>
      <c r="AY65" s="2">
        <v>34961</v>
      </c>
      <c r="AZ65" s="2">
        <v>2401.39</v>
      </c>
      <c r="BA65" s="2">
        <v>624.29999999999995</v>
      </c>
      <c r="BB65" s="5">
        <v>1512.85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5083.16</v>
      </c>
      <c r="BI65" s="12">
        <v>4538.5399999999991</v>
      </c>
      <c r="BJ65" s="2">
        <v>90.77</v>
      </c>
      <c r="BK65" s="5">
        <v>0</v>
      </c>
      <c r="BL65" s="1" t="s">
        <v>302</v>
      </c>
    </row>
    <row r="66" spans="1:64" x14ac:dyDescent="0.3">
      <c r="A66" t="s">
        <v>524</v>
      </c>
      <c r="B66" s="1" t="s">
        <v>524</v>
      </c>
      <c r="C66" s="9" t="s">
        <v>525</v>
      </c>
      <c r="D66" s="1" t="s">
        <v>41</v>
      </c>
      <c r="E66" s="1" t="s">
        <v>128</v>
      </c>
      <c r="F66" s="10" t="s">
        <v>372</v>
      </c>
      <c r="G66" s="1">
        <v>3.5000000000000003E-2</v>
      </c>
      <c r="H66" s="1">
        <v>0.02</v>
      </c>
      <c r="I66" s="8">
        <v>45242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609265.45000000007</v>
      </c>
      <c r="AJ66" s="2">
        <v>25038.080000000002</v>
      </c>
      <c r="AK66" s="2">
        <v>10879.74</v>
      </c>
      <c r="AL66" s="2">
        <v>447.11</v>
      </c>
      <c r="AM66" s="5">
        <v>5663.43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19029.11</v>
      </c>
      <c r="AT66" s="12">
        <v>16990.28</v>
      </c>
      <c r="AU66" s="2">
        <v>339.81</v>
      </c>
      <c r="AV66" s="5">
        <v>0</v>
      </c>
      <c r="AX66" s="2">
        <v>609265.45000000007</v>
      </c>
      <c r="AY66" s="2">
        <v>25038.080000000002</v>
      </c>
      <c r="AZ66" s="2">
        <v>10879.74</v>
      </c>
      <c r="BA66" s="2">
        <v>447.11</v>
      </c>
      <c r="BB66" s="5">
        <v>5663.43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19029.11</v>
      </c>
      <c r="BI66" s="12">
        <v>16990.28</v>
      </c>
      <c r="BJ66" s="2">
        <v>339.81</v>
      </c>
      <c r="BK66" s="5">
        <v>0</v>
      </c>
      <c r="BL66" s="1" t="s">
        <v>130</v>
      </c>
    </row>
    <row r="67" spans="1:64" x14ac:dyDescent="0.3">
      <c r="A67" t="s">
        <v>524</v>
      </c>
      <c r="B67" s="1" t="s">
        <v>526</v>
      </c>
      <c r="C67" s="9" t="s">
        <v>527</v>
      </c>
      <c r="D67" s="1" t="s">
        <v>41</v>
      </c>
      <c r="E67" s="1" t="s">
        <v>128</v>
      </c>
      <c r="F67" s="10" t="s">
        <v>372</v>
      </c>
      <c r="G67" s="1">
        <v>0</v>
      </c>
      <c r="H67" s="1">
        <v>0.02</v>
      </c>
      <c r="I67" s="8">
        <v>45242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671437</v>
      </c>
      <c r="AJ67" s="2">
        <v>1014</v>
      </c>
      <c r="AK67" s="2">
        <v>11989.95</v>
      </c>
      <c r="AL67" s="2">
        <v>18.11</v>
      </c>
      <c r="AM67" s="5">
        <v>6004.03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20173.54</v>
      </c>
      <c r="AT67" s="12">
        <v>18012.09</v>
      </c>
      <c r="AU67" s="2">
        <v>360.24</v>
      </c>
      <c r="AV67" s="5">
        <v>0</v>
      </c>
      <c r="AX67" s="2">
        <v>671437</v>
      </c>
      <c r="AY67" s="2">
        <v>1014</v>
      </c>
      <c r="AZ67" s="2">
        <v>11989.95</v>
      </c>
      <c r="BA67" s="2">
        <v>18.11</v>
      </c>
      <c r="BB67" s="5">
        <v>6004.03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20173.54</v>
      </c>
      <c r="BI67" s="12">
        <v>18012.09</v>
      </c>
      <c r="BJ67" s="2">
        <v>360.24</v>
      </c>
      <c r="BK67" s="5">
        <v>0</v>
      </c>
      <c r="BL67" s="1" t="s">
        <v>130</v>
      </c>
    </row>
    <row r="68" spans="1:64" x14ac:dyDescent="0.3">
      <c r="A68" t="s">
        <v>524</v>
      </c>
      <c r="B68" s="1" t="s">
        <v>528</v>
      </c>
      <c r="C68" s="9" t="s">
        <v>529</v>
      </c>
      <c r="D68" s="1" t="s">
        <v>41</v>
      </c>
      <c r="E68" s="1" t="s">
        <v>128</v>
      </c>
      <c r="F68" s="10" t="s">
        <v>372</v>
      </c>
      <c r="G68" s="1">
        <v>0</v>
      </c>
      <c r="H68" s="1">
        <v>0.02</v>
      </c>
      <c r="I68" s="8">
        <v>45242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220123.5</v>
      </c>
      <c r="AJ68" s="2">
        <v>18187</v>
      </c>
      <c r="AK68" s="2">
        <v>3930.78</v>
      </c>
      <c r="AL68" s="2">
        <v>324.77</v>
      </c>
      <c r="AM68" s="5">
        <v>2127.77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7149.32</v>
      </c>
      <c r="AT68" s="12">
        <v>6383.32</v>
      </c>
      <c r="AU68" s="2">
        <v>127.67</v>
      </c>
      <c r="AV68" s="5">
        <v>0</v>
      </c>
      <c r="AX68" s="2">
        <v>220123.5</v>
      </c>
      <c r="AY68" s="2">
        <v>18187</v>
      </c>
      <c r="AZ68" s="2">
        <v>3930.78</v>
      </c>
      <c r="BA68" s="2">
        <v>324.77</v>
      </c>
      <c r="BB68" s="5">
        <v>2127.77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7149.32</v>
      </c>
      <c r="BI68" s="12">
        <v>6383.32</v>
      </c>
      <c r="BJ68" s="2">
        <v>127.67</v>
      </c>
      <c r="BK68" s="5">
        <v>0</v>
      </c>
      <c r="BL68" s="1" t="s">
        <v>130</v>
      </c>
    </row>
    <row r="69" spans="1:64" x14ac:dyDescent="0.3">
      <c r="A69" t="s">
        <v>524</v>
      </c>
      <c r="B69" s="1" t="s">
        <v>530</v>
      </c>
      <c r="C69" s="9" t="s">
        <v>531</v>
      </c>
      <c r="D69" s="1" t="s">
        <v>41</v>
      </c>
      <c r="E69" s="1" t="s">
        <v>128</v>
      </c>
      <c r="F69" s="10" t="s">
        <v>372</v>
      </c>
      <c r="G69" s="1">
        <v>0</v>
      </c>
      <c r="H69" s="1">
        <v>0.02</v>
      </c>
      <c r="I69" s="8">
        <v>45357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0</v>
      </c>
      <c r="AJ69" s="2">
        <v>0</v>
      </c>
      <c r="AK69" s="2">
        <v>0</v>
      </c>
      <c r="AL69" s="2">
        <v>0</v>
      </c>
      <c r="AM69" s="5">
        <v>0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0</v>
      </c>
      <c r="AT69" s="12">
        <v>0</v>
      </c>
      <c r="AU69" s="2">
        <v>0</v>
      </c>
      <c r="AV69" s="5">
        <v>0</v>
      </c>
      <c r="AX69" s="2">
        <v>0</v>
      </c>
      <c r="AY69" s="2">
        <v>0</v>
      </c>
      <c r="AZ69" s="2">
        <v>0</v>
      </c>
      <c r="BA69" s="2">
        <v>0</v>
      </c>
      <c r="BB69" s="5">
        <v>0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0</v>
      </c>
      <c r="BI69" s="12">
        <v>0</v>
      </c>
      <c r="BJ69" s="2">
        <v>0</v>
      </c>
      <c r="BK69" s="5">
        <v>0</v>
      </c>
      <c r="BL69" s="1" t="s">
        <v>130</v>
      </c>
    </row>
    <row r="70" spans="1:64" x14ac:dyDescent="0.3">
      <c r="A70" t="s">
        <v>627</v>
      </c>
      <c r="B70" s="1" t="s">
        <v>627</v>
      </c>
      <c r="C70" s="9" t="s">
        <v>628</v>
      </c>
      <c r="D70" s="1" t="s">
        <v>41</v>
      </c>
      <c r="E70" s="1" t="s">
        <v>135</v>
      </c>
      <c r="F70" s="10" t="s">
        <v>462</v>
      </c>
      <c r="G70" s="1">
        <v>3.5000000000000003E-2</v>
      </c>
      <c r="H70" s="1">
        <v>0.02</v>
      </c>
      <c r="I70" s="8">
        <v>45017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626733.65</v>
      </c>
      <c r="AJ70" s="2">
        <v>116196.25</v>
      </c>
      <c r="AK70" s="2">
        <v>11191.67</v>
      </c>
      <c r="AL70" s="2">
        <v>2074.94</v>
      </c>
      <c r="AM70" s="5">
        <v>6633.3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22287.9</v>
      </c>
      <c r="AT70" s="12">
        <v>19899.91</v>
      </c>
      <c r="AU70" s="2">
        <v>398</v>
      </c>
      <c r="AV70" s="5">
        <v>0</v>
      </c>
      <c r="AX70" s="2">
        <v>626733.65</v>
      </c>
      <c r="AY70" s="2">
        <v>116196.25</v>
      </c>
      <c r="AZ70" s="2">
        <v>11191.67</v>
      </c>
      <c r="BA70" s="2">
        <v>2074.94</v>
      </c>
      <c r="BB70" s="5">
        <v>6633.3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22287.9</v>
      </c>
      <c r="BI70" s="12">
        <v>19899.91</v>
      </c>
      <c r="BJ70" s="2">
        <v>398</v>
      </c>
      <c r="BK70" s="5">
        <v>0</v>
      </c>
      <c r="BL70" s="1" t="s">
        <v>302</v>
      </c>
    </row>
    <row r="71" spans="1:64" x14ac:dyDescent="0.3">
      <c r="A71" t="s">
        <v>656</v>
      </c>
      <c r="B71" s="1" t="s">
        <v>656</v>
      </c>
      <c r="C71" s="9" t="s">
        <v>657</v>
      </c>
      <c r="D71" s="1" t="s">
        <v>41</v>
      </c>
      <c r="E71" s="1" t="s">
        <v>128</v>
      </c>
      <c r="F71" s="10" t="s">
        <v>372</v>
      </c>
      <c r="G71" s="1">
        <v>3.5000000000000003E-2</v>
      </c>
      <c r="H71" s="1">
        <v>0.02</v>
      </c>
      <c r="I71" s="8">
        <v>45276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829904.33999999985</v>
      </c>
      <c r="AJ71" s="2">
        <v>59629.85</v>
      </c>
      <c r="AK71" s="2">
        <v>14819.72</v>
      </c>
      <c r="AL71" s="2">
        <v>1064.82</v>
      </c>
      <c r="AM71" s="5">
        <v>7942.27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26686.03</v>
      </c>
      <c r="AT71" s="12">
        <v>23826.809999999998</v>
      </c>
      <c r="AU71" s="2">
        <v>476.54</v>
      </c>
      <c r="AV71" s="5">
        <v>0</v>
      </c>
      <c r="AX71" s="2">
        <v>829904.33999999985</v>
      </c>
      <c r="AY71" s="2">
        <v>59629.85</v>
      </c>
      <c r="AZ71" s="2">
        <v>14819.72</v>
      </c>
      <c r="BA71" s="2">
        <v>1064.82</v>
      </c>
      <c r="BB71" s="5">
        <v>7942.27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26686.03</v>
      </c>
      <c r="BI71" s="12">
        <v>23826.809999999998</v>
      </c>
      <c r="BJ71" s="2">
        <v>476.54</v>
      </c>
      <c r="BK71" s="5">
        <v>0</v>
      </c>
      <c r="BL71" s="1" t="s">
        <v>130</v>
      </c>
    </row>
    <row r="72" spans="1:64" x14ac:dyDescent="0.3">
      <c r="A72" t="s">
        <v>662</v>
      </c>
      <c r="B72" s="1" t="s">
        <v>662</v>
      </c>
      <c r="C72" s="9" t="s">
        <v>663</v>
      </c>
      <c r="D72" s="1" t="s">
        <v>41</v>
      </c>
      <c r="E72" s="1" t="s">
        <v>88</v>
      </c>
      <c r="F72" s="10" t="s">
        <v>664</v>
      </c>
      <c r="G72" s="1">
        <v>3.5000000000000003E-2</v>
      </c>
      <c r="H72" s="1">
        <v>0.02</v>
      </c>
      <c r="I72" s="8">
        <v>45342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625788</v>
      </c>
      <c r="AJ72" s="2">
        <v>55366</v>
      </c>
      <c r="AK72" s="2">
        <v>11174.79</v>
      </c>
      <c r="AL72" s="2">
        <v>988.68</v>
      </c>
      <c r="AM72" s="5">
        <v>6081.73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20434.62</v>
      </c>
      <c r="AT72" s="12">
        <v>18245.2</v>
      </c>
      <c r="AU72" s="2">
        <v>364.9</v>
      </c>
      <c r="AV72" s="5">
        <v>0</v>
      </c>
      <c r="AX72" s="2">
        <v>625788</v>
      </c>
      <c r="AY72" s="2">
        <v>55366</v>
      </c>
      <c r="AZ72" s="2">
        <v>11174.79</v>
      </c>
      <c r="BA72" s="2">
        <v>988.68</v>
      </c>
      <c r="BB72" s="5">
        <v>6081.73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20434.62</v>
      </c>
      <c r="BI72" s="12">
        <v>18245.2</v>
      </c>
      <c r="BJ72" s="2">
        <v>364.9</v>
      </c>
      <c r="BK72" s="5">
        <v>0</v>
      </c>
      <c r="BL72" s="1" t="s">
        <v>546</v>
      </c>
    </row>
    <row r="73" spans="1:64" x14ac:dyDescent="0.3">
      <c r="A73" t="s">
        <v>669</v>
      </c>
      <c r="B73" s="1" t="s">
        <v>669</v>
      </c>
      <c r="C73" s="9" t="s">
        <v>670</v>
      </c>
      <c r="D73" s="1" t="s">
        <v>41</v>
      </c>
      <c r="E73" s="1" t="s">
        <v>88</v>
      </c>
      <c r="F73" s="10" t="s">
        <v>671</v>
      </c>
      <c r="G73" s="1">
        <v>0</v>
      </c>
      <c r="H73" s="1">
        <v>0.02</v>
      </c>
      <c r="I73" s="8">
        <v>45620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316121</v>
      </c>
      <c r="AJ73" s="2">
        <v>51218</v>
      </c>
      <c r="AK73" s="2">
        <v>5645.02</v>
      </c>
      <c r="AL73" s="2">
        <v>914.61</v>
      </c>
      <c r="AM73" s="5">
        <v>3279.81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11020.17</v>
      </c>
      <c r="AT73" s="12">
        <v>9839.44</v>
      </c>
      <c r="AU73" s="2">
        <v>196.79</v>
      </c>
      <c r="AV73" s="5">
        <v>0</v>
      </c>
      <c r="AX73" s="2">
        <v>316121</v>
      </c>
      <c r="AY73" s="2">
        <v>51218</v>
      </c>
      <c r="AZ73" s="2">
        <v>5645.02</v>
      </c>
      <c r="BA73" s="2">
        <v>914.61</v>
      </c>
      <c r="BB73" s="5">
        <v>3279.81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11020.17</v>
      </c>
      <c r="BI73" s="12">
        <v>9839.44</v>
      </c>
      <c r="BJ73" s="2">
        <v>196.79</v>
      </c>
      <c r="BK73" s="5">
        <v>0</v>
      </c>
      <c r="BL73" s="1" t="s">
        <v>90</v>
      </c>
    </row>
    <row r="74" spans="1:64" x14ac:dyDescent="0.3">
      <c r="A74" t="s">
        <v>676</v>
      </c>
      <c r="B74" s="1" t="s">
        <v>676</v>
      </c>
      <c r="C74" s="9" t="s">
        <v>677</v>
      </c>
      <c r="D74" s="1" t="s">
        <v>41</v>
      </c>
      <c r="E74" s="1" t="s">
        <v>88</v>
      </c>
      <c r="F74" s="10" t="s">
        <v>664</v>
      </c>
      <c r="G74" s="1">
        <v>0</v>
      </c>
      <c r="H74" s="1">
        <v>0.02</v>
      </c>
      <c r="I74" s="8">
        <v>45683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502485</v>
      </c>
      <c r="AJ74" s="2">
        <v>91400</v>
      </c>
      <c r="AK74" s="2">
        <v>8972.9500000000007</v>
      </c>
      <c r="AL74" s="2">
        <v>1632.14</v>
      </c>
      <c r="AM74" s="5">
        <v>5302.54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17816.55</v>
      </c>
      <c r="AT74" s="12">
        <v>15907.630000000001</v>
      </c>
      <c r="AU74" s="2">
        <v>318.14999999999998</v>
      </c>
      <c r="AV74" s="5">
        <v>0</v>
      </c>
      <c r="AX74" s="2">
        <v>502485</v>
      </c>
      <c r="AY74" s="2">
        <v>91400</v>
      </c>
      <c r="AZ74" s="2">
        <v>8972.9500000000007</v>
      </c>
      <c r="BA74" s="2">
        <v>1632.14</v>
      </c>
      <c r="BB74" s="5">
        <v>5302.54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17816.55</v>
      </c>
      <c r="BI74" s="12">
        <v>15907.630000000001</v>
      </c>
      <c r="BJ74" s="2">
        <v>318.14999999999998</v>
      </c>
      <c r="BK74" s="5">
        <v>0</v>
      </c>
      <c r="BL74" s="1" t="s">
        <v>546</v>
      </c>
    </row>
    <row r="75" spans="1:64" x14ac:dyDescent="0.3">
      <c r="A75" t="s">
        <v>690</v>
      </c>
      <c r="B75" s="1" t="s">
        <v>690</v>
      </c>
      <c r="C75" s="9" t="s">
        <v>691</v>
      </c>
      <c r="D75" s="1" t="s">
        <v>41</v>
      </c>
      <c r="E75" s="1" t="s">
        <v>88</v>
      </c>
      <c r="F75" s="10" t="s">
        <v>664</v>
      </c>
      <c r="G75" s="1">
        <v>0</v>
      </c>
      <c r="H75" s="1">
        <v>0.02</v>
      </c>
      <c r="I75" s="8">
        <v>44013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402048</v>
      </c>
      <c r="AJ75" s="2">
        <v>88964</v>
      </c>
      <c r="AK75" s="2">
        <v>7179.43</v>
      </c>
      <c r="AL75" s="2">
        <v>1588.64</v>
      </c>
      <c r="AM75" s="5">
        <v>4384.04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14730.36</v>
      </c>
      <c r="AT75" s="12">
        <v>13152.11</v>
      </c>
      <c r="AU75" s="2">
        <v>263.04000000000002</v>
      </c>
      <c r="AV75" s="5">
        <v>0</v>
      </c>
      <c r="AX75" s="2">
        <v>402048</v>
      </c>
      <c r="AY75" s="2">
        <v>88964</v>
      </c>
      <c r="AZ75" s="2">
        <v>7179.43</v>
      </c>
      <c r="BA75" s="2">
        <v>1588.64</v>
      </c>
      <c r="BB75" s="5">
        <v>4384.04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14730.36</v>
      </c>
      <c r="BI75" s="12">
        <v>13152.11</v>
      </c>
      <c r="BJ75" s="2">
        <v>263.04000000000002</v>
      </c>
      <c r="BK75" s="5">
        <v>0</v>
      </c>
      <c r="BL75" s="1" t="s">
        <v>546</v>
      </c>
    </row>
    <row r="76" spans="1:64" x14ac:dyDescent="0.3">
      <c r="A76" t="s">
        <v>692</v>
      </c>
      <c r="B76" s="1" t="s">
        <v>692</v>
      </c>
      <c r="C76" s="9" t="s">
        <v>693</v>
      </c>
      <c r="D76" s="1" t="s">
        <v>41</v>
      </c>
      <c r="E76" s="1" t="s">
        <v>128</v>
      </c>
      <c r="F76" s="10" t="s">
        <v>372</v>
      </c>
      <c r="G76" s="1">
        <v>3.5000000000000003E-2</v>
      </c>
      <c r="H76" s="1">
        <v>0.02</v>
      </c>
      <c r="I76" s="8">
        <v>44011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316191</v>
      </c>
      <c r="AJ76" s="2">
        <v>72984</v>
      </c>
      <c r="AK76" s="2">
        <v>5646.27</v>
      </c>
      <c r="AL76" s="2">
        <v>1303.29</v>
      </c>
      <c r="AM76" s="5">
        <v>3474.78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11675.26</v>
      </c>
      <c r="AT76" s="12">
        <v>10424.34</v>
      </c>
      <c r="AU76" s="2">
        <v>208.49</v>
      </c>
      <c r="AV76" s="5">
        <v>0</v>
      </c>
      <c r="AX76" s="2">
        <v>316191</v>
      </c>
      <c r="AY76" s="2">
        <v>72984</v>
      </c>
      <c r="AZ76" s="2">
        <v>5646.27</v>
      </c>
      <c r="BA76" s="2">
        <v>1303.29</v>
      </c>
      <c r="BB76" s="5">
        <v>3474.78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11675.26</v>
      </c>
      <c r="BI76" s="12">
        <v>10424.34</v>
      </c>
      <c r="BJ76" s="2">
        <v>208.49</v>
      </c>
      <c r="BK76" s="5">
        <v>0</v>
      </c>
      <c r="BL76" s="1" t="s">
        <v>130</v>
      </c>
    </row>
    <row r="77" spans="1:64" x14ac:dyDescent="0.3">
      <c r="A77" t="s">
        <v>692</v>
      </c>
      <c r="B77" s="1" t="s">
        <v>694</v>
      </c>
      <c r="C77" s="9" t="s">
        <v>695</v>
      </c>
      <c r="D77" s="1" t="s">
        <v>41</v>
      </c>
      <c r="E77" s="1" t="s">
        <v>128</v>
      </c>
      <c r="F77" s="10" t="s">
        <v>372</v>
      </c>
      <c r="G77" s="1">
        <v>3.5000000000000003E-2</v>
      </c>
      <c r="H77" s="1">
        <v>0.02</v>
      </c>
      <c r="I77" s="8">
        <v>44011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158079</v>
      </c>
      <c r="AJ77" s="2">
        <v>46473</v>
      </c>
      <c r="AK77" s="2">
        <v>2822.84</v>
      </c>
      <c r="AL77" s="2">
        <v>829.88</v>
      </c>
      <c r="AM77" s="5">
        <v>1826.36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6136.57</v>
      </c>
      <c r="AT77" s="12">
        <v>5479.08</v>
      </c>
      <c r="AU77" s="2">
        <v>109.58</v>
      </c>
      <c r="AV77" s="5">
        <v>0</v>
      </c>
      <c r="AX77" s="2">
        <v>158079</v>
      </c>
      <c r="AY77" s="2">
        <v>46473</v>
      </c>
      <c r="AZ77" s="2">
        <v>2822.84</v>
      </c>
      <c r="BA77" s="2">
        <v>829.88</v>
      </c>
      <c r="BB77" s="5">
        <v>1826.36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6136.57</v>
      </c>
      <c r="BI77" s="12">
        <v>5479.08</v>
      </c>
      <c r="BJ77" s="2">
        <v>109.58</v>
      </c>
      <c r="BK77" s="5">
        <v>0</v>
      </c>
      <c r="BL77" s="1" t="s">
        <v>130</v>
      </c>
    </row>
    <row r="78" spans="1:64" x14ac:dyDescent="0.3">
      <c r="A78" t="s">
        <v>692</v>
      </c>
      <c r="B78" s="1" t="s">
        <v>696</v>
      </c>
      <c r="C78" s="9" t="s">
        <v>697</v>
      </c>
      <c r="D78" s="1" t="s">
        <v>41</v>
      </c>
      <c r="E78" s="1" t="s">
        <v>128</v>
      </c>
      <c r="F78" s="10" t="s">
        <v>372</v>
      </c>
      <c r="G78" s="1">
        <v>0</v>
      </c>
      <c r="H78" s="1">
        <v>0.02</v>
      </c>
      <c r="I78" s="8">
        <v>44687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126980</v>
      </c>
      <c r="AJ78" s="2">
        <v>22780</v>
      </c>
      <c r="AK78" s="2">
        <v>2267.5</v>
      </c>
      <c r="AL78" s="2">
        <v>406.79</v>
      </c>
      <c r="AM78" s="5">
        <v>1337.14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4492.8</v>
      </c>
      <c r="AT78" s="12">
        <v>4011.4300000000003</v>
      </c>
      <c r="AU78" s="2">
        <v>80.23</v>
      </c>
      <c r="AV78" s="5">
        <v>0</v>
      </c>
      <c r="AX78" s="2">
        <v>126980</v>
      </c>
      <c r="AY78" s="2">
        <v>22780</v>
      </c>
      <c r="AZ78" s="2">
        <v>2267.5</v>
      </c>
      <c r="BA78" s="2">
        <v>406.79</v>
      </c>
      <c r="BB78" s="5">
        <v>1337.14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4492.8</v>
      </c>
      <c r="BI78" s="12">
        <v>4011.4300000000003</v>
      </c>
      <c r="BJ78" s="2">
        <v>80.23</v>
      </c>
      <c r="BK78" s="5">
        <v>0</v>
      </c>
      <c r="BL78" s="1" t="s">
        <v>130</v>
      </c>
    </row>
    <row r="79" spans="1:64" x14ac:dyDescent="0.3">
      <c r="A79" t="s">
        <v>692</v>
      </c>
      <c r="B79" s="1" t="s">
        <v>698</v>
      </c>
      <c r="C79" s="9" t="s">
        <v>699</v>
      </c>
      <c r="D79" s="1" t="s">
        <v>41</v>
      </c>
      <c r="E79" s="1" t="s">
        <v>128</v>
      </c>
      <c r="F79" s="10" t="s">
        <v>372</v>
      </c>
      <c r="G79" s="1">
        <v>0</v>
      </c>
      <c r="H79" s="1">
        <v>0.02</v>
      </c>
      <c r="I79" s="8">
        <v>44713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201394</v>
      </c>
      <c r="AJ79" s="2">
        <v>5744</v>
      </c>
      <c r="AK79" s="2">
        <v>3596.32</v>
      </c>
      <c r="AL79" s="2">
        <v>102.57</v>
      </c>
      <c r="AM79" s="5">
        <v>1849.45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6214.14</v>
      </c>
      <c r="AT79" s="12">
        <v>5548.34</v>
      </c>
      <c r="AU79" s="2">
        <v>110.97</v>
      </c>
      <c r="AV79" s="5">
        <v>0</v>
      </c>
      <c r="AX79" s="2">
        <v>201394</v>
      </c>
      <c r="AY79" s="2">
        <v>5744</v>
      </c>
      <c r="AZ79" s="2">
        <v>3596.32</v>
      </c>
      <c r="BA79" s="2">
        <v>102.57</v>
      </c>
      <c r="BB79" s="5">
        <v>1849.45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6214.14</v>
      </c>
      <c r="BI79" s="12">
        <v>5548.34</v>
      </c>
      <c r="BJ79" s="2">
        <v>110.97</v>
      </c>
      <c r="BK79" s="5">
        <v>0</v>
      </c>
      <c r="BL79" s="1" t="s">
        <v>130</v>
      </c>
    </row>
    <row r="80" spans="1:64" x14ac:dyDescent="0.3">
      <c r="A80" t="s">
        <v>692</v>
      </c>
      <c r="B80" s="1" t="s">
        <v>700</v>
      </c>
      <c r="C80" s="9" t="s">
        <v>701</v>
      </c>
      <c r="D80" s="1" t="s">
        <v>41</v>
      </c>
      <c r="E80" s="1" t="s">
        <v>128</v>
      </c>
      <c r="F80" s="10" t="s">
        <v>372</v>
      </c>
      <c r="G80" s="1">
        <v>0</v>
      </c>
      <c r="H80" s="1">
        <v>0.02</v>
      </c>
      <c r="I80" s="8">
        <v>45294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100134</v>
      </c>
      <c r="AJ80" s="2">
        <v>13256</v>
      </c>
      <c r="AK80" s="2">
        <v>1788.11</v>
      </c>
      <c r="AL80" s="2">
        <v>236.71</v>
      </c>
      <c r="AM80" s="5">
        <v>1012.41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3401.7</v>
      </c>
      <c r="AT80" s="12">
        <v>3037.23</v>
      </c>
      <c r="AU80" s="2">
        <v>60.74</v>
      </c>
      <c r="AV80" s="5">
        <v>0</v>
      </c>
      <c r="AX80" s="2">
        <v>100134</v>
      </c>
      <c r="AY80" s="2">
        <v>13256</v>
      </c>
      <c r="AZ80" s="2">
        <v>1788.11</v>
      </c>
      <c r="BA80" s="2">
        <v>236.71</v>
      </c>
      <c r="BB80" s="5">
        <v>1012.41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3401.7</v>
      </c>
      <c r="BI80" s="12">
        <v>3037.23</v>
      </c>
      <c r="BJ80" s="2">
        <v>60.74</v>
      </c>
      <c r="BK80" s="5">
        <v>0</v>
      </c>
      <c r="BL80" s="1" t="s">
        <v>130</v>
      </c>
    </row>
    <row r="81" spans="1:64" x14ac:dyDescent="0.3">
      <c r="A81" t="s">
        <v>781</v>
      </c>
      <c r="B81" s="1" t="s">
        <v>781</v>
      </c>
      <c r="C81" s="9" t="s">
        <v>782</v>
      </c>
      <c r="D81" s="1" t="s">
        <v>41</v>
      </c>
      <c r="E81" s="1" t="s">
        <v>88</v>
      </c>
      <c r="F81" s="10" t="s">
        <v>664</v>
      </c>
      <c r="G81" s="1">
        <v>0</v>
      </c>
      <c r="H81" s="1">
        <v>0.02</v>
      </c>
      <c r="I81" s="8">
        <v>44647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294429</v>
      </c>
      <c r="AJ81" s="2">
        <v>49265</v>
      </c>
      <c r="AK81" s="2">
        <v>5257.66</v>
      </c>
      <c r="AL81" s="2">
        <v>879.73</v>
      </c>
      <c r="AM81" s="5">
        <v>3068.7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10310.82</v>
      </c>
      <c r="AT81" s="12">
        <v>9206.09</v>
      </c>
      <c r="AU81" s="2">
        <v>184.12</v>
      </c>
      <c r="AV81" s="5">
        <v>0</v>
      </c>
      <c r="AX81" s="2">
        <v>294429</v>
      </c>
      <c r="AY81" s="2">
        <v>49265</v>
      </c>
      <c r="AZ81" s="2">
        <v>5257.66</v>
      </c>
      <c r="BA81" s="2">
        <v>879.73</v>
      </c>
      <c r="BB81" s="5">
        <v>3068.7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10310.82</v>
      </c>
      <c r="BI81" s="12">
        <v>9206.09</v>
      </c>
      <c r="BJ81" s="2">
        <v>184.12</v>
      </c>
      <c r="BK81" s="5">
        <v>0</v>
      </c>
      <c r="BL81" s="1" t="s">
        <v>546</v>
      </c>
    </row>
    <row r="82" spans="1:64" x14ac:dyDescent="0.3">
      <c r="A82" t="s">
        <v>781</v>
      </c>
      <c r="B82" s="1" t="s">
        <v>783</v>
      </c>
      <c r="C82" s="9" t="s">
        <v>784</v>
      </c>
      <c r="D82" s="1" t="s">
        <v>41</v>
      </c>
      <c r="E82" s="1" t="s">
        <v>88</v>
      </c>
      <c r="F82" s="10" t="s">
        <v>664</v>
      </c>
      <c r="G82" s="1">
        <v>0</v>
      </c>
      <c r="H82" s="1">
        <v>0.02</v>
      </c>
      <c r="I82" s="8">
        <v>44647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168918</v>
      </c>
      <c r="AJ82" s="2">
        <v>44722</v>
      </c>
      <c r="AK82" s="2">
        <v>3016.39</v>
      </c>
      <c r="AL82" s="2">
        <v>798.61</v>
      </c>
      <c r="AM82" s="5">
        <v>1907.5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6409.2</v>
      </c>
      <c r="AT82" s="12">
        <v>5722.5</v>
      </c>
      <c r="AU82" s="2">
        <v>114.45</v>
      </c>
      <c r="AV82" s="5">
        <v>0</v>
      </c>
      <c r="AX82" s="2">
        <v>168918</v>
      </c>
      <c r="AY82" s="2">
        <v>44722</v>
      </c>
      <c r="AZ82" s="2">
        <v>3016.39</v>
      </c>
      <c r="BA82" s="2">
        <v>798.61</v>
      </c>
      <c r="BB82" s="5">
        <v>1907.5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6409.2</v>
      </c>
      <c r="BI82" s="12">
        <v>5722.5</v>
      </c>
      <c r="BJ82" s="2">
        <v>114.45</v>
      </c>
      <c r="BK82" s="5">
        <v>0</v>
      </c>
      <c r="BL82" s="1" t="s">
        <v>546</v>
      </c>
    </row>
    <row r="83" spans="1:64" x14ac:dyDescent="0.3">
      <c r="A83" t="s">
        <v>795</v>
      </c>
      <c r="B83" s="1" t="s">
        <v>795</v>
      </c>
      <c r="C83" s="9" t="s">
        <v>796</v>
      </c>
      <c r="D83" s="1" t="s">
        <v>41</v>
      </c>
      <c r="E83" s="1" t="s">
        <v>135</v>
      </c>
      <c r="F83" s="10" t="s">
        <v>797</v>
      </c>
      <c r="G83" s="1">
        <v>0</v>
      </c>
      <c r="H83" s="1">
        <v>0.02</v>
      </c>
      <c r="I83" s="8">
        <v>44804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171746</v>
      </c>
      <c r="AJ83" s="2">
        <v>35320</v>
      </c>
      <c r="AK83" s="2">
        <v>3066.89</v>
      </c>
      <c r="AL83" s="2">
        <v>630.71</v>
      </c>
      <c r="AM83" s="5">
        <v>1848.8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6211.97</v>
      </c>
      <c r="AT83" s="12">
        <v>5546.4</v>
      </c>
      <c r="AU83" s="2">
        <v>110.93</v>
      </c>
      <c r="AV83" s="5">
        <v>0</v>
      </c>
      <c r="AX83" s="2">
        <v>171746</v>
      </c>
      <c r="AY83" s="2">
        <v>35320</v>
      </c>
      <c r="AZ83" s="2">
        <v>3066.89</v>
      </c>
      <c r="BA83" s="2">
        <v>630.71</v>
      </c>
      <c r="BB83" s="5">
        <v>1848.8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6211.97</v>
      </c>
      <c r="BI83" s="12">
        <v>5546.4</v>
      </c>
      <c r="BJ83" s="2">
        <v>110.93</v>
      </c>
      <c r="BK83" s="5">
        <v>0</v>
      </c>
      <c r="BL83" s="1" t="s">
        <v>302</v>
      </c>
    </row>
    <row r="84" spans="1:64" x14ac:dyDescent="0.3">
      <c r="A84" t="s">
        <v>795</v>
      </c>
      <c r="B84" s="1" t="s">
        <v>798</v>
      </c>
      <c r="C84" s="9" t="s">
        <v>799</v>
      </c>
      <c r="D84" s="1" t="s">
        <v>41</v>
      </c>
      <c r="E84" s="1" t="s">
        <v>135</v>
      </c>
      <c r="F84" s="10" t="s">
        <v>797</v>
      </c>
      <c r="G84" s="1">
        <v>0</v>
      </c>
      <c r="H84" s="1">
        <v>0.02</v>
      </c>
      <c r="I84" s="8">
        <v>45565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105676</v>
      </c>
      <c r="AJ84" s="2">
        <v>33446</v>
      </c>
      <c r="AK84" s="2">
        <v>1887.07</v>
      </c>
      <c r="AL84" s="2">
        <v>597.25</v>
      </c>
      <c r="AM84" s="5">
        <v>1242.1600000000001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4173.66</v>
      </c>
      <c r="AT84" s="12">
        <v>3726.4799999999996</v>
      </c>
      <c r="AU84" s="2">
        <v>74.53</v>
      </c>
      <c r="AV84" s="5">
        <v>0</v>
      </c>
      <c r="AX84" s="2">
        <v>105676</v>
      </c>
      <c r="AY84" s="2">
        <v>33446</v>
      </c>
      <c r="AZ84" s="2">
        <v>1887.07</v>
      </c>
      <c r="BA84" s="2">
        <v>597.25</v>
      </c>
      <c r="BB84" s="5">
        <v>1242.1600000000001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4173.66</v>
      </c>
      <c r="BI84" s="12">
        <v>3726.4799999999996</v>
      </c>
      <c r="BJ84" s="2">
        <v>74.53</v>
      </c>
      <c r="BK84" s="5">
        <v>0</v>
      </c>
      <c r="BL84" s="1" t="s">
        <v>302</v>
      </c>
    </row>
    <row r="85" spans="1:64" x14ac:dyDescent="0.3">
      <c r="A85" t="s">
        <v>816</v>
      </c>
      <c r="B85" s="1" t="s">
        <v>816</v>
      </c>
      <c r="C85" s="9" t="s">
        <v>817</v>
      </c>
      <c r="D85" s="1" t="s">
        <v>41</v>
      </c>
      <c r="E85" s="1" t="s">
        <v>135</v>
      </c>
      <c r="F85" s="10" t="s">
        <v>797</v>
      </c>
      <c r="G85" s="1">
        <v>0</v>
      </c>
      <c r="H85" s="1">
        <v>0.02</v>
      </c>
      <c r="I85" s="8">
        <v>44951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686588</v>
      </c>
      <c r="AJ85" s="2">
        <v>101130</v>
      </c>
      <c r="AK85" s="2">
        <v>12260.5</v>
      </c>
      <c r="AL85" s="2">
        <v>1805.89</v>
      </c>
      <c r="AM85" s="5">
        <v>7033.2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23631.54</v>
      </c>
      <c r="AT85" s="12">
        <v>21099.59</v>
      </c>
      <c r="AU85" s="2">
        <v>421.99</v>
      </c>
      <c r="AV85" s="5">
        <v>0</v>
      </c>
      <c r="AX85" s="2">
        <v>686588</v>
      </c>
      <c r="AY85" s="2">
        <v>101130</v>
      </c>
      <c r="AZ85" s="2">
        <v>12260.5</v>
      </c>
      <c r="BA85" s="2">
        <v>1805.89</v>
      </c>
      <c r="BB85" s="5">
        <v>7033.2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23631.54</v>
      </c>
      <c r="BI85" s="12">
        <v>21099.59</v>
      </c>
      <c r="BJ85" s="2">
        <v>421.99</v>
      </c>
      <c r="BK85" s="5">
        <v>0</v>
      </c>
      <c r="BL85" s="1" t="s">
        <v>302</v>
      </c>
    </row>
    <row r="86" spans="1:64" x14ac:dyDescent="0.3">
      <c r="A86" t="s">
        <v>816</v>
      </c>
      <c r="B86" s="1" t="s">
        <v>818</v>
      </c>
      <c r="C86" s="9" t="s">
        <v>819</v>
      </c>
      <c r="D86" s="1" t="s">
        <v>41</v>
      </c>
      <c r="E86" s="1" t="s">
        <v>135</v>
      </c>
      <c r="F86" s="10" t="s">
        <v>797</v>
      </c>
      <c r="G86" s="1">
        <v>0</v>
      </c>
      <c r="H86" s="1">
        <v>0.02</v>
      </c>
      <c r="I86" s="8">
        <v>44951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258665</v>
      </c>
      <c r="AJ86" s="2">
        <v>50847</v>
      </c>
      <c r="AK86" s="2">
        <v>4619.0200000000004</v>
      </c>
      <c r="AL86" s="2">
        <v>907.98</v>
      </c>
      <c r="AM86" s="5">
        <v>2763.5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9285.36</v>
      </c>
      <c r="AT86" s="12">
        <v>8290.5</v>
      </c>
      <c r="AU86" s="2">
        <v>165.81</v>
      </c>
      <c r="AV86" s="5">
        <v>0</v>
      </c>
      <c r="AX86" s="2">
        <v>258665</v>
      </c>
      <c r="AY86" s="2">
        <v>50847</v>
      </c>
      <c r="AZ86" s="2">
        <v>4619.0200000000004</v>
      </c>
      <c r="BA86" s="2">
        <v>907.98</v>
      </c>
      <c r="BB86" s="5">
        <v>2763.5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9285.36</v>
      </c>
      <c r="BI86" s="12">
        <v>8290.5</v>
      </c>
      <c r="BJ86" s="2">
        <v>165.81</v>
      </c>
      <c r="BK86" s="5">
        <v>0</v>
      </c>
      <c r="BL86" s="1" t="s">
        <v>302</v>
      </c>
    </row>
    <row r="87" spans="1:64" x14ac:dyDescent="0.3">
      <c r="A87" t="s">
        <v>824</v>
      </c>
      <c r="B87" s="1" t="s">
        <v>824</v>
      </c>
      <c r="C87" s="9" t="s">
        <v>825</v>
      </c>
      <c r="D87" s="1" t="s">
        <v>41</v>
      </c>
      <c r="E87" s="1" t="s">
        <v>135</v>
      </c>
      <c r="F87" s="10" t="s">
        <v>826</v>
      </c>
      <c r="G87" s="1">
        <v>0</v>
      </c>
      <c r="H87" s="1">
        <v>0.02</v>
      </c>
      <c r="I87" s="8">
        <v>45075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494825</v>
      </c>
      <c r="AJ87" s="2">
        <v>62442</v>
      </c>
      <c r="AK87" s="2">
        <v>8836.16</v>
      </c>
      <c r="AL87" s="2">
        <v>1115.04</v>
      </c>
      <c r="AM87" s="5">
        <v>4975.6000000000004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16718.02</v>
      </c>
      <c r="AT87" s="12">
        <v>14926.800000000001</v>
      </c>
      <c r="AU87" s="2">
        <v>298.54000000000002</v>
      </c>
      <c r="AV87" s="5">
        <v>0</v>
      </c>
      <c r="AX87" s="2">
        <v>494825</v>
      </c>
      <c r="AY87" s="2">
        <v>62442</v>
      </c>
      <c r="AZ87" s="2">
        <v>8836.16</v>
      </c>
      <c r="BA87" s="2">
        <v>1115.04</v>
      </c>
      <c r="BB87" s="5">
        <v>4975.6000000000004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16718.02</v>
      </c>
      <c r="BI87" s="12">
        <v>14926.800000000001</v>
      </c>
      <c r="BJ87" s="2">
        <v>298.54000000000002</v>
      </c>
      <c r="BK87" s="5">
        <v>0</v>
      </c>
      <c r="BL87" s="1" t="s">
        <v>302</v>
      </c>
    </row>
    <row r="88" spans="1:64" x14ac:dyDescent="0.3">
      <c r="A88" t="s">
        <v>886</v>
      </c>
      <c r="B88" s="1" t="s">
        <v>886</v>
      </c>
      <c r="C88" s="9" t="s">
        <v>887</v>
      </c>
      <c r="D88" s="1" t="s">
        <v>41</v>
      </c>
      <c r="E88" s="1" t="s">
        <v>135</v>
      </c>
      <c r="F88" s="10" t="s">
        <v>797</v>
      </c>
      <c r="G88" s="1">
        <v>0</v>
      </c>
      <c r="H88" s="1">
        <v>0.02</v>
      </c>
      <c r="I88" s="8">
        <v>45278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665171</v>
      </c>
      <c r="AJ88" s="2">
        <v>126960</v>
      </c>
      <c r="AK88" s="2">
        <v>11878.05</v>
      </c>
      <c r="AL88" s="2">
        <v>2267.14</v>
      </c>
      <c r="AM88" s="5">
        <v>7072.6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23763.919999999998</v>
      </c>
      <c r="AT88" s="12">
        <v>21217.79</v>
      </c>
      <c r="AU88" s="2">
        <v>424.36</v>
      </c>
      <c r="AV88" s="5">
        <v>0</v>
      </c>
      <c r="AX88" s="2">
        <v>665171</v>
      </c>
      <c r="AY88" s="2">
        <v>126960</v>
      </c>
      <c r="AZ88" s="2">
        <v>11878.05</v>
      </c>
      <c r="BA88" s="2">
        <v>2267.14</v>
      </c>
      <c r="BB88" s="5">
        <v>7072.6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23763.919999999998</v>
      </c>
      <c r="BI88" s="12">
        <v>21217.79</v>
      </c>
      <c r="BJ88" s="2">
        <v>424.36</v>
      </c>
      <c r="BK88" s="5">
        <v>0</v>
      </c>
      <c r="BL88" s="1" t="s">
        <v>302</v>
      </c>
    </row>
    <row r="89" spans="1:64" x14ac:dyDescent="0.3">
      <c r="A89" t="s">
        <v>898</v>
      </c>
      <c r="B89" s="1" t="s">
        <v>898</v>
      </c>
      <c r="C89" s="9" t="s">
        <v>899</v>
      </c>
      <c r="D89" s="1" t="s">
        <v>41</v>
      </c>
      <c r="E89" s="1" t="s">
        <v>88</v>
      </c>
      <c r="F89" s="10" t="s">
        <v>664</v>
      </c>
      <c r="G89" s="1">
        <v>0</v>
      </c>
      <c r="H89" s="1">
        <v>0.02</v>
      </c>
      <c r="I89" s="8">
        <v>45518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170118.48</v>
      </c>
      <c r="AJ89" s="2">
        <v>24953</v>
      </c>
      <c r="AK89" s="2">
        <v>3037.83</v>
      </c>
      <c r="AL89" s="2">
        <v>445.59</v>
      </c>
      <c r="AM89" s="5">
        <v>1741.71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5852.15</v>
      </c>
      <c r="AT89" s="12">
        <v>5225.13</v>
      </c>
      <c r="AU89" s="2">
        <v>104.5</v>
      </c>
      <c r="AV89" s="5">
        <v>0</v>
      </c>
      <c r="AX89" s="2">
        <v>170118.48</v>
      </c>
      <c r="AY89" s="2">
        <v>24953</v>
      </c>
      <c r="AZ89" s="2">
        <v>3037.83</v>
      </c>
      <c r="BA89" s="2">
        <v>445.59</v>
      </c>
      <c r="BB89" s="5">
        <v>1741.71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5852.15</v>
      </c>
      <c r="BI89" s="12">
        <v>5225.13</v>
      </c>
      <c r="BJ89" s="2">
        <v>104.5</v>
      </c>
      <c r="BK89" s="5">
        <v>0</v>
      </c>
      <c r="BL89" s="1" t="s">
        <v>546</v>
      </c>
    </row>
    <row r="90" spans="1:64" x14ac:dyDescent="0.3">
      <c r="A90" t="s">
        <v>898</v>
      </c>
      <c r="B90" s="1" t="s">
        <v>900</v>
      </c>
      <c r="C90" s="9" t="s">
        <v>901</v>
      </c>
      <c r="D90" s="1" t="s">
        <v>41</v>
      </c>
      <c r="E90" s="1" t="s">
        <v>88</v>
      </c>
      <c r="F90" s="10" t="s">
        <v>664</v>
      </c>
      <c r="G90" s="1">
        <v>0</v>
      </c>
      <c r="H90" s="1">
        <v>0.02</v>
      </c>
      <c r="I90" s="8">
        <v>44886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385235</v>
      </c>
      <c r="AJ90" s="2">
        <v>259712</v>
      </c>
      <c r="AK90" s="2">
        <v>6879.2</v>
      </c>
      <c r="AL90" s="2">
        <v>4637.71</v>
      </c>
      <c r="AM90" s="5">
        <v>5758.46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19348.41</v>
      </c>
      <c r="AT90" s="12">
        <v>17275.37</v>
      </c>
      <c r="AU90" s="2">
        <v>345.51</v>
      </c>
      <c r="AV90" s="5">
        <v>0</v>
      </c>
      <c r="AX90" s="2">
        <v>385235</v>
      </c>
      <c r="AY90" s="2">
        <v>259712</v>
      </c>
      <c r="AZ90" s="2">
        <v>6879.2</v>
      </c>
      <c r="BA90" s="2">
        <v>4637.71</v>
      </c>
      <c r="BB90" s="5">
        <v>5758.46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19348.41</v>
      </c>
      <c r="BI90" s="12">
        <v>17275.37</v>
      </c>
      <c r="BJ90" s="2">
        <v>345.51</v>
      </c>
      <c r="BK90" s="5">
        <v>0</v>
      </c>
      <c r="BL90" s="1" t="s">
        <v>546</v>
      </c>
    </row>
    <row r="91" spans="1:64" x14ac:dyDescent="0.3">
      <c r="A91" t="s">
        <v>898</v>
      </c>
      <c r="B91" s="1" t="s">
        <v>902</v>
      </c>
      <c r="C91" s="9" t="s">
        <v>903</v>
      </c>
      <c r="D91" s="1" t="s">
        <v>41</v>
      </c>
      <c r="E91" s="1" t="s">
        <v>88</v>
      </c>
      <c r="F91" s="10" t="s">
        <v>664</v>
      </c>
      <c r="G91" s="1">
        <v>0</v>
      </c>
      <c r="H91" s="1">
        <v>0.02</v>
      </c>
      <c r="I91" s="8">
        <v>45122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113404</v>
      </c>
      <c r="AJ91" s="2">
        <v>0</v>
      </c>
      <c r="AK91" s="2">
        <v>2025.07</v>
      </c>
      <c r="AL91" s="2">
        <v>0</v>
      </c>
      <c r="AM91" s="5">
        <v>1012.54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3402.12</v>
      </c>
      <c r="AT91" s="12">
        <v>3037.6099999999997</v>
      </c>
      <c r="AU91" s="2">
        <v>60.75</v>
      </c>
      <c r="AV91" s="5">
        <v>0</v>
      </c>
      <c r="AX91" s="2">
        <v>113404</v>
      </c>
      <c r="AY91" s="2">
        <v>0</v>
      </c>
      <c r="AZ91" s="2">
        <v>2025.07</v>
      </c>
      <c r="BA91" s="2">
        <v>0</v>
      </c>
      <c r="BB91" s="5">
        <v>1012.54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3402.12</v>
      </c>
      <c r="BI91" s="12">
        <v>3037.6099999999997</v>
      </c>
      <c r="BJ91" s="2">
        <v>60.75</v>
      </c>
      <c r="BK91" s="5">
        <v>0</v>
      </c>
      <c r="BL91" s="1" t="s">
        <v>546</v>
      </c>
    </row>
    <row r="92" spans="1:64" x14ac:dyDescent="0.3">
      <c r="A92" t="s">
        <v>908</v>
      </c>
      <c r="B92" s="1" t="s">
        <v>908</v>
      </c>
      <c r="C92" s="9" t="s">
        <v>909</v>
      </c>
      <c r="D92" s="1" t="s">
        <v>41</v>
      </c>
      <c r="E92" s="1" t="s">
        <v>88</v>
      </c>
      <c r="F92" s="10" t="s">
        <v>664</v>
      </c>
      <c r="G92" s="1">
        <v>0</v>
      </c>
      <c r="H92" s="1">
        <v>0.02</v>
      </c>
      <c r="I92" s="8">
        <v>45595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0</v>
      </c>
      <c r="AJ92" s="2">
        <v>0</v>
      </c>
      <c r="AK92" s="2">
        <v>0</v>
      </c>
      <c r="AL92" s="2">
        <v>0</v>
      </c>
      <c r="AM92" s="5">
        <v>0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0</v>
      </c>
      <c r="AT92" s="12">
        <v>0</v>
      </c>
      <c r="AU92" s="2">
        <v>0</v>
      </c>
      <c r="AV92" s="5">
        <v>0</v>
      </c>
      <c r="AX92" s="2">
        <v>0</v>
      </c>
      <c r="AY92" s="2">
        <v>0</v>
      </c>
      <c r="AZ92" s="2">
        <v>0</v>
      </c>
      <c r="BA92" s="2">
        <v>0</v>
      </c>
      <c r="BB92" s="5">
        <v>0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0</v>
      </c>
      <c r="BI92" s="12">
        <v>0</v>
      </c>
      <c r="BJ92" s="2">
        <v>0</v>
      </c>
      <c r="BK92" s="5">
        <v>0</v>
      </c>
      <c r="BL92" s="1" t="s">
        <v>546</v>
      </c>
    </row>
    <row r="93" spans="1:64" x14ac:dyDescent="0.3">
      <c r="A93" t="s">
        <v>938</v>
      </c>
      <c r="B93" s="1" t="s">
        <v>938</v>
      </c>
      <c r="C93" s="9" t="s">
        <v>939</v>
      </c>
      <c r="D93" s="1" t="s">
        <v>41</v>
      </c>
      <c r="E93" s="1" t="s">
        <v>88</v>
      </c>
      <c r="F93" s="10" t="s">
        <v>671</v>
      </c>
      <c r="G93" s="1">
        <v>0</v>
      </c>
      <c r="H93" s="1">
        <v>0.02</v>
      </c>
      <c r="I93" s="8">
        <v>45630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138408</v>
      </c>
      <c r="AJ93" s="2">
        <v>33965</v>
      </c>
      <c r="AK93" s="2">
        <v>2471.5700000000002</v>
      </c>
      <c r="AL93" s="2">
        <v>606.52</v>
      </c>
      <c r="AM93" s="5">
        <v>1539.04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5171.1899999999996</v>
      </c>
      <c r="AT93" s="12">
        <v>4617.13</v>
      </c>
      <c r="AU93" s="2">
        <v>92.34</v>
      </c>
      <c r="AV93" s="5">
        <v>0</v>
      </c>
      <c r="AX93" s="2">
        <v>138408</v>
      </c>
      <c r="AY93" s="2">
        <v>33965</v>
      </c>
      <c r="AZ93" s="2">
        <v>2471.5700000000002</v>
      </c>
      <c r="BA93" s="2">
        <v>606.52</v>
      </c>
      <c r="BB93" s="5">
        <v>1539.04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5171.1899999999996</v>
      </c>
      <c r="BI93" s="12">
        <v>4617.13</v>
      </c>
      <c r="BJ93" s="2">
        <v>92.34</v>
      </c>
      <c r="BK93" s="5">
        <v>0</v>
      </c>
      <c r="BL93" s="1" t="s">
        <v>90</v>
      </c>
    </row>
    <row r="94" spans="1:64" x14ac:dyDescent="0.3">
      <c r="A94" t="s">
        <v>938</v>
      </c>
      <c r="B94" s="1" t="s">
        <v>940</v>
      </c>
      <c r="C94" s="9" t="s">
        <v>941</v>
      </c>
      <c r="D94" s="1" t="s">
        <v>41</v>
      </c>
      <c r="E94" s="1" t="s">
        <v>88</v>
      </c>
      <c r="F94" s="10" t="s">
        <v>671</v>
      </c>
      <c r="G94" s="1">
        <v>0</v>
      </c>
      <c r="H94" s="1">
        <v>0.02</v>
      </c>
      <c r="I94" s="8">
        <v>45283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55446</v>
      </c>
      <c r="AJ94" s="2">
        <v>11940</v>
      </c>
      <c r="AK94" s="2">
        <v>990.11</v>
      </c>
      <c r="AL94" s="2">
        <v>213.21</v>
      </c>
      <c r="AM94" s="5">
        <v>601.66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2021.58</v>
      </c>
      <c r="AT94" s="12">
        <v>1804.98</v>
      </c>
      <c r="AU94" s="2">
        <v>36.1</v>
      </c>
      <c r="AV94" s="5">
        <v>0</v>
      </c>
      <c r="AX94" s="2">
        <v>55446</v>
      </c>
      <c r="AY94" s="2">
        <v>11940</v>
      </c>
      <c r="AZ94" s="2">
        <v>990.11</v>
      </c>
      <c r="BA94" s="2">
        <v>213.21</v>
      </c>
      <c r="BB94" s="5">
        <v>601.66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2021.58</v>
      </c>
      <c r="BI94" s="12">
        <v>1804.98</v>
      </c>
      <c r="BJ94" s="2">
        <v>36.1</v>
      </c>
      <c r="BK94" s="5">
        <v>0</v>
      </c>
      <c r="BL94" s="1" t="s">
        <v>90</v>
      </c>
    </row>
    <row r="95" spans="1:64" x14ac:dyDescent="0.3">
      <c r="A95" t="s">
        <v>938</v>
      </c>
      <c r="B95" s="1" t="s">
        <v>942</v>
      </c>
      <c r="C95" s="9" t="s">
        <v>943</v>
      </c>
      <c r="D95" s="1" t="s">
        <v>41</v>
      </c>
      <c r="E95" s="1" t="s">
        <v>88</v>
      </c>
      <c r="F95" s="10" t="s">
        <v>671</v>
      </c>
      <c r="G95" s="1">
        <v>0</v>
      </c>
      <c r="H95" s="1">
        <v>0.02</v>
      </c>
      <c r="I95" s="8">
        <v>44977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63327</v>
      </c>
      <c r="AJ95" s="2">
        <v>17261</v>
      </c>
      <c r="AK95" s="2">
        <v>1130.8399999999999</v>
      </c>
      <c r="AL95" s="2">
        <v>308.23</v>
      </c>
      <c r="AM95" s="5">
        <v>719.54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2417.64</v>
      </c>
      <c r="AT95" s="12">
        <v>2158.6099999999997</v>
      </c>
      <c r="AU95" s="2">
        <v>43.17</v>
      </c>
      <c r="AV95" s="5">
        <v>0</v>
      </c>
      <c r="AX95" s="2">
        <v>63327</v>
      </c>
      <c r="AY95" s="2">
        <v>17261</v>
      </c>
      <c r="AZ95" s="2">
        <v>1130.8399999999999</v>
      </c>
      <c r="BA95" s="2">
        <v>308.23</v>
      </c>
      <c r="BB95" s="5">
        <v>719.54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2417.64</v>
      </c>
      <c r="BI95" s="12">
        <v>2158.6099999999997</v>
      </c>
      <c r="BJ95" s="2">
        <v>43.17</v>
      </c>
      <c r="BK95" s="5">
        <v>0</v>
      </c>
      <c r="BL95" s="1" t="s">
        <v>90</v>
      </c>
    </row>
    <row r="96" spans="1:64" x14ac:dyDescent="0.3">
      <c r="A96" t="s">
        <v>944</v>
      </c>
      <c r="B96" s="1" t="s">
        <v>945</v>
      </c>
      <c r="C96" s="9" t="s">
        <v>946</v>
      </c>
      <c r="D96" s="1" t="s">
        <v>41</v>
      </c>
      <c r="E96" s="1" t="s">
        <v>88</v>
      </c>
      <c r="F96" s="10" t="s">
        <v>664</v>
      </c>
      <c r="G96" s="1">
        <v>0</v>
      </c>
      <c r="H96" s="1">
        <v>0.02</v>
      </c>
      <c r="I96" s="8">
        <v>44985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21278</v>
      </c>
      <c r="AJ96" s="2">
        <v>19503</v>
      </c>
      <c r="AK96" s="2">
        <v>379.96</v>
      </c>
      <c r="AL96" s="2">
        <v>348.27</v>
      </c>
      <c r="AM96" s="5">
        <v>364.12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1223.43</v>
      </c>
      <c r="AT96" s="12">
        <v>1092.3499999999999</v>
      </c>
      <c r="AU96" s="2">
        <v>21.85</v>
      </c>
      <c r="AV96" s="5">
        <v>0</v>
      </c>
      <c r="AX96" s="2">
        <v>21278</v>
      </c>
      <c r="AY96" s="2">
        <v>19503</v>
      </c>
      <c r="AZ96" s="2">
        <v>379.96</v>
      </c>
      <c r="BA96" s="2">
        <v>348.27</v>
      </c>
      <c r="BB96" s="5">
        <v>364.12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1223.43</v>
      </c>
      <c r="BI96" s="12">
        <v>1092.3499999999999</v>
      </c>
      <c r="BJ96" s="2">
        <v>21.85</v>
      </c>
      <c r="BK96" s="5">
        <v>0</v>
      </c>
      <c r="BL96" s="1" t="s">
        <v>546</v>
      </c>
    </row>
    <row r="97" spans="1:64" x14ac:dyDescent="0.3">
      <c r="A97" t="s">
        <v>944</v>
      </c>
      <c r="B97" s="1" t="s">
        <v>944</v>
      </c>
      <c r="C97" s="9" t="s">
        <v>947</v>
      </c>
      <c r="D97" s="1" t="s">
        <v>41</v>
      </c>
      <c r="E97" s="1" t="s">
        <v>88</v>
      </c>
      <c r="F97" s="10" t="s">
        <v>664</v>
      </c>
      <c r="G97" s="1">
        <v>0</v>
      </c>
      <c r="H97" s="1">
        <v>0.02</v>
      </c>
      <c r="I97" s="8">
        <v>44260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267317</v>
      </c>
      <c r="AJ97" s="2">
        <v>22543</v>
      </c>
      <c r="AK97" s="2">
        <v>4773.5200000000004</v>
      </c>
      <c r="AL97" s="2">
        <v>402.55</v>
      </c>
      <c r="AM97" s="5">
        <v>2588.04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8695.7999999999993</v>
      </c>
      <c r="AT97" s="12">
        <v>7764.1100000000006</v>
      </c>
      <c r="AU97" s="2">
        <v>155.28</v>
      </c>
      <c r="AV97" s="5">
        <v>0</v>
      </c>
      <c r="AX97" s="2">
        <v>267317</v>
      </c>
      <c r="AY97" s="2">
        <v>22543</v>
      </c>
      <c r="AZ97" s="2">
        <v>4773.5200000000004</v>
      </c>
      <c r="BA97" s="2">
        <v>402.55</v>
      </c>
      <c r="BB97" s="5">
        <v>2588.04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8695.7999999999993</v>
      </c>
      <c r="BI97" s="12">
        <v>7764.1100000000006</v>
      </c>
      <c r="BJ97" s="2">
        <v>155.28</v>
      </c>
      <c r="BK97" s="5">
        <v>0</v>
      </c>
      <c r="BL97" s="1" t="s">
        <v>546</v>
      </c>
    </row>
    <row r="98" spans="1:64" x14ac:dyDescent="0.3">
      <c r="A98" t="s">
        <v>944</v>
      </c>
      <c r="B98" s="1" t="s">
        <v>948</v>
      </c>
      <c r="C98" s="9" t="s">
        <v>949</v>
      </c>
      <c r="D98" s="1" t="s">
        <v>41</v>
      </c>
      <c r="E98" s="1" t="s">
        <v>88</v>
      </c>
      <c r="F98" s="10" t="s">
        <v>664</v>
      </c>
      <c r="G98" s="1">
        <v>0</v>
      </c>
      <c r="H98" s="1">
        <v>0.02</v>
      </c>
      <c r="I98" s="8">
        <v>45348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134095</v>
      </c>
      <c r="AJ98" s="2">
        <v>22300</v>
      </c>
      <c r="AK98" s="2">
        <v>2394.5500000000002</v>
      </c>
      <c r="AL98" s="2">
        <v>398.21</v>
      </c>
      <c r="AM98" s="5">
        <v>1396.38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4691.84</v>
      </c>
      <c r="AT98" s="12">
        <v>4189.1400000000003</v>
      </c>
      <c r="AU98" s="2">
        <v>83.78</v>
      </c>
      <c r="AV98" s="5">
        <v>0</v>
      </c>
      <c r="AX98" s="2">
        <v>134095</v>
      </c>
      <c r="AY98" s="2">
        <v>22300</v>
      </c>
      <c r="AZ98" s="2">
        <v>2394.5500000000002</v>
      </c>
      <c r="BA98" s="2">
        <v>398.21</v>
      </c>
      <c r="BB98" s="5">
        <v>1396.38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4691.84</v>
      </c>
      <c r="BI98" s="12">
        <v>4189.1400000000003</v>
      </c>
      <c r="BJ98" s="2">
        <v>83.78</v>
      </c>
      <c r="BK98" s="5">
        <v>0</v>
      </c>
      <c r="BL98" s="1" t="s">
        <v>546</v>
      </c>
    </row>
    <row r="99" spans="1:64" x14ac:dyDescent="0.3">
      <c r="A99" t="s">
        <v>952</v>
      </c>
      <c r="B99" s="1" t="s">
        <v>953</v>
      </c>
      <c r="C99" s="9" t="s">
        <v>954</v>
      </c>
      <c r="D99" s="1" t="s">
        <v>41</v>
      </c>
      <c r="E99" s="1" t="s">
        <v>135</v>
      </c>
      <c r="F99" s="10" t="s">
        <v>826</v>
      </c>
      <c r="G99" s="1">
        <v>3.5000000000000003E-2</v>
      </c>
      <c r="H99" s="1">
        <v>0.02</v>
      </c>
      <c r="I99" s="8">
        <v>45105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247545</v>
      </c>
      <c r="AJ99" s="2">
        <v>75744</v>
      </c>
      <c r="AK99" s="2">
        <v>4420.45</v>
      </c>
      <c r="AL99" s="2">
        <v>1352.57</v>
      </c>
      <c r="AM99" s="5">
        <v>2886.51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9698.67</v>
      </c>
      <c r="AT99" s="12">
        <v>8659.5299999999988</v>
      </c>
      <c r="AU99" s="2">
        <v>173.19</v>
      </c>
      <c r="AV99" s="5">
        <v>0</v>
      </c>
      <c r="AX99" s="2">
        <v>247545</v>
      </c>
      <c r="AY99" s="2">
        <v>75744</v>
      </c>
      <c r="AZ99" s="2">
        <v>4420.45</v>
      </c>
      <c r="BA99" s="2">
        <v>1352.57</v>
      </c>
      <c r="BB99" s="5">
        <v>2886.51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9698.67</v>
      </c>
      <c r="BI99" s="12">
        <v>8659.5299999999988</v>
      </c>
      <c r="BJ99" s="2">
        <v>173.19</v>
      </c>
      <c r="BK99" s="5">
        <v>0</v>
      </c>
      <c r="BL99" s="1" t="s">
        <v>302</v>
      </c>
    </row>
    <row r="100" spans="1:64" x14ac:dyDescent="0.3">
      <c r="A100" t="s">
        <v>952</v>
      </c>
      <c r="B100" s="1" t="s">
        <v>952</v>
      </c>
      <c r="C100" s="9" t="s">
        <v>955</v>
      </c>
      <c r="D100" s="1" t="s">
        <v>41</v>
      </c>
      <c r="E100" s="1" t="s">
        <v>135</v>
      </c>
      <c r="F100" s="10" t="s">
        <v>826</v>
      </c>
      <c r="G100" s="1">
        <v>0</v>
      </c>
      <c r="H100" s="1">
        <v>0.02</v>
      </c>
      <c r="I100" s="8">
        <v>45629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233585</v>
      </c>
      <c r="AJ100" s="2">
        <v>60755</v>
      </c>
      <c r="AK100" s="2">
        <v>4171.16</v>
      </c>
      <c r="AL100" s="2">
        <v>1084.9100000000001</v>
      </c>
      <c r="AM100" s="5">
        <v>2628.04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8830.2000000000007</v>
      </c>
      <c r="AT100" s="12">
        <v>7884.11</v>
      </c>
      <c r="AU100" s="2">
        <v>157.68</v>
      </c>
      <c r="AV100" s="5">
        <v>0</v>
      </c>
      <c r="AX100" s="2">
        <v>233585</v>
      </c>
      <c r="AY100" s="2">
        <v>60755</v>
      </c>
      <c r="AZ100" s="2">
        <v>4171.16</v>
      </c>
      <c r="BA100" s="2">
        <v>1084.9100000000001</v>
      </c>
      <c r="BB100" s="5">
        <v>2628.04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8830.2000000000007</v>
      </c>
      <c r="BI100" s="12">
        <v>7884.11</v>
      </c>
      <c r="BJ100" s="2">
        <v>157.68</v>
      </c>
      <c r="BK100" s="5">
        <v>0</v>
      </c>
      <c r="BL100" s="1" t="s">
        <v>302</v>
      </c>
    </row>
    <row r="101" spans="1:64" x14ac:dyDescent="0.3">
      <c r="A101" t="s">
        <v>966</v>
      </c>
      <c r="B101" s="1" t="s">
        <v>966</v>
      </c>
      <c r="C101" s="9" t="s">
        <v>967</v>
      </c>
      <c r="D101" s="1" t="s">
        <v>41</v>
      </c>
      <c r="E101" s="1" t="s">
        <v>128</v>
      </c>
      <c r="F101" s="10" t="s">
        <v>331</v>
      </c>
      <c r="G101" s="1">
        <v>0</v>
      </c>
      <c r="H101" s="1">
        <v>0.02</v>
      </c>
      <c r="I101" s="8">
        <v>45716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278755</v>
      </c>
      <c r="AJ101" s="2">
        <v>20178</v>
      </c>
      <c r="AK101" s="2">
        <v>4977.7700000000004</v>
      </c>
      <c r="AL101" s="2">
        <v>360.32</v>
      </c>
      <c r="AM101" s="5">
        <v>2669.04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8967.99</v>
      </c>
      <c r="AT101" s="12">
        <v>8007.13</v>
      </c>
      <c r="AU101" s="2">
        <v>160.13999999999999</v>
      </c>
      <c r="AV101" s="5">
        <v>0</v>
      </c>
      <c r="AX101" s="2">
        <v>278755</v>
      </c>
      <c r="AY101" s="2">
        <v>20178</v>
      </c>
      <c r="AZ101" s="2">
        <v>4977.7700000000004</v>
      </c>
      <c r="BA101" s="2">
        <v>360.32</v>
      </c>
      <c r="BB101" s="5">
        <v>2669.04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8967.99</v>
      </c>
      <c r="BI101" s="12">
        <v>8007.13</v>
      </c>
      <c r="BJ101" s="2">
        <v>160.13999999999999</v>
      </c>
      <c r="BK101" s="5">
        <v>0</v>
      </c>
      <c r="BL101" s="1" t="s">
        <v>130</v>
      </c>
    </row>
    <row r="102" spans="1:64" x14ac:dyDescent="0.3">
      <c r="A102" t="s">
        <v>966</v>
      </c>
      <c r="B102" s="1" t="s">
        <v>968</v>
      </c>
      <c r="C102" s="9" t="s">
        <v>969</v>
      </c>
      <c r="D102" s="1" t="s">
        <v>41</v>
      </c>
      <c r="E102" s="1" t="s">
        <v>128</v>
      </c>
      <c r="F102" s="10" t="s">
        <v>331</v>
      </c>
      <c r="G102" s="1">
        <v>0</v>
      </c>
      <c r="H102" s="1">
        <v>0.02</v>
      </c>
      <c r="I102" s="8">
        <v>45716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371204</v>
      </c>
      <c r="AJ102" s="2">
        <v>6840</v>
      </c>
      <c r="AK102" s="2">
        <v>6628.64</v>
      </c>
      <c r="AL102" s="2">
        <v>122.14</v>
      </c>
      <c r="AM102" s="5">
        <v>3375.39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11341.31</v>
      </c>
      <c r="AT102" s="12">
        <v>10126.17</v>
      </c>
      <c r="AU102" s="2">
        <v>202.52</v>
      </c>
      <c r="AV102" s="5">
        <v>0</v>
      </c>
      <c r="AX102" s="2">
        <v>371204</v>
      </c>
      <c r="AY102" s="2">
        <v>6840</v>
      </c>
      <c r="AZ102" s="2">
        <v>6628.64</v>
      </c>
      <c r="BA102" s="2">
        <v>122.14</v>
      </c>
      <c r="BB102" s="5">
        <v>3375.39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11341.31</v>
      </c>
      <c r="BI102" s="12">
        <v>10126.17</v>
      </c>
      <c r="BJ102" s="2">
        <v>202.52</v>
      </c>
      <c r="BK102" s="5">
        <v>0</v>
      </c>
      <c r="BL102" s="1" t="s">
        <v>130</v>
      </c>
    </row>
    <row r="103" spans="1:64" x14ac:dyDescent="0.3">
      <c r="A103" t="s">
        <v>1021</v>
      </c>
      <c r="B103" s="1" t="s">
        <v>1021</v>
      </c>
      <c r="C103" s="9" t="s">
        <v>1022</v>
      </c>
      <c r="D103" s="1" t="s">
        <v>41</v>
      </c>
      <c r="E103" s="1" t="s">
        <v>128</v>
      </c>
      <c r="F103" s="10" t="s">
        <v>372</v>
      </c>
      <c r="G103" s="1">
        <v>0</v>
      </c>
      <c r="H103" s="1">
        <v>0.02</v>
      </c>
      <c r="I103" s="8">
        <v>44462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703580.85000000009</v>
      </c>
      <c r="AJ103" s="2">
        <v>41922.1</v>
      </c>
      <c r="AK103" s="2">
        <v>12563.95</v>
      </c>
      <c r="AL103" s="2">
        <v>748.61</v>
      </c>
      <c r="AM103" s="5">
        <v>6656.28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22365.1</v>
      </c>
      <c r="AT103" s="12">
        <v>19968.84</v>
      </c>
      <c r="AU103" s="2">
        <v>399.38</v>
      </c>
      <c r="AV103" s="5">
        <v>0</v>
      </c>
      <c r="AX103" s="2">
        <v>703580.85000000009</v>
      </c>
      <c r="AY103" s="2">
        <v>41922.1</v>
      </c>
      <c r="AZ103" s="2">
        <v>12563.95</v>
      </c>
      <c r="BA103" s="2">
        <v>748.61</v>
      </c>
      <c r="BB103" s="5">
        <v>6656.28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22365.1</v>
      </c>
      <c r="BI103" s="12">
        <v>19968.84</v>
      </c>
      <c r="BJ103" s="2">
        <v>399.38</v>
      </c>
      <c r="BK103" s="5">
        <v>0</v>
      </c>
      <c r="BL103" s="1" t="s">
        <v>130</v>
      </c>
    </row>
    <row r="104" spans="1:64" x14ac:dyDescent="0.3">
      <c r="A104" t="s">
        <v>1021</v>
      </c>
      <c r="B104" s="1" t="s">
        <v>1023</v>
      </c>
      <c r="C104" s="9" t="s">
        <v>1024</v>
      </c>
      <c r="D104" s="1" t="s">
        <v>41</v>
      </c>
      <c r="E104" s="1" t="s">
        <v>128</v>
      </c>
      <c r="F104" s="10" t="s">
        <v>372</v>
      </c>
      <c r="G104" s="1">
        <v>0</v>
      </c>
      <c r="H104" s="1">
        <v>0.02</v>
      </c>
      <c r="I104" s="8">
        <v>44649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180303</v>
      </c>
      <c r="AJ104" s="2">
        <v>16651</v>
      </c>
      <c r="AK104" s="2">
        <v>3219.7</v>
      </c>
      <c r="AL104" s="2">
        <v>297.33999999999997</v>
      </c>
      <c r="AM104" s="5">
        <v>1758.52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5908.63</v>
      </c>
      <c r="AT104" s="12">
        <v>5275.5599999999995</v>
      </c>
      <c r="AU104" s="2">
        <v>105.51</v>
      </c>
      <c r="AV104" s="5">
        <v>0</v>
      </c>
      <c r="AX104" s="2">
        <v>180303</v>
      </c>
      <c r="AY104" s="2">
        <v>16651</v>
      </c>
      <c r="AZ104" s="2">
        <v>3219.7</v>
      </c>
      <c r="BA104" s="2">
        <v>297.33999999999997</v>
      </c>
      <c r="BB104" s="5">
        <v>1758.52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5908.63</v>
      </c>
      <c r="BI104" s="12">
        <v>5275.5599999999995</v>
      </c>
      <c r="BJ104" s="2">
        <v>105.51</v>
      </c>
      <c r="BK104" s="5">
        <v>0</v>
      </c>
      <c r="BL104" s="1" t="s">
        <v>130</v>
      </c>
    </row>
    <row r="105" spans="1:64" x14ac:dyDescent="0.3">
      <c r="A105" t="s">
        <v>1021</v>
      </c>
      <c r="B105" s="1" t="s">
        <v>1025</v>
      </c>
      <c r="C105" s="9" t="s">
        <v>1026</v>
      </c>
      <c r="D105" s="1" t="s">
        <v>41</v>
      </c>
      <c r="E105" s="1" t="s">
        <v>128</v>
      </c>
      <c r="F105" s="10" t="s">
        <v>372</v>
      </c>
      <c r="G105" s="1">
        <v>0</v>
      </c>
      <c r="H105" s="1">
        <v>0.02</v>
      </c>
      <c r="I105" s="8">
        <v>44995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398073</v>
      </c>
      <c r="AJ105" s="2">
        <v>5638</v>
      </c>
      <c r="AK105" s="2">
        <v>7108.45</v>
      </c>
      <c r="AL105" s="2">
        <v>100.68</v>
      </c>
      <c r="AM105" s="5">
        <v>3604.56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12111.33</v>
      </c>
      <c r="AT105" s="12">
        <v>10813.69</v>
      </c>
      <c r="AU105" s="2">
        <v>216.27</v>
      </c>
      <c r="AV105" s="5">
        <v>0</v>
      </c>
      <c r="AX105" s="2">
        <v>398073</v>
      </c>
      <c r="AY105" s="2">
        <v>5638</v>
      </c>
      <c r="AZ105" s="2">
        <v>7108.45</v>
      </c>
      <c r="BA105" s="2">
        <v>100.68</v>
      </c>
      <c r="BB105" s="5">
        <v>3604.56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12111.33</v>
      </c>
      <c r="BI105" s="12">
        <v>10813.69</v>
      </c>
      <c r="BJ105" s="2">
        <v>216.27</v>
      </c>
      <c r="BK105" s="5">
        <v>0</v>
      </c>
      <c r="BL105" s="1" t="s">
        <v>130</v>
      </c>
    </row>
    <row r="106" spans="1:64" x14ac:dyDescent="0.3">
      <c r="A106" t="s">
        <v>1021</v>
      </c>
      <c r="B106" s="1" t="s">
        <v>1027</v>
      </c>
      <c r="C106" s="9" t="s">
        <v>1028</v>
      </c>
      <c r="D106" s="1" t="s">
        <v>41</v>
      </c>
      <c r="E106" s="1" t="s">
        <v>128</v>
      </c>
      <c r="F106" s="10" t="s">
        <v>372</v>
      </c>
      <c r="G106" s="1">
        <v>0</v>
      </c>
      <c r="H106" s="1">
        <v>0.02</v>
      </c>
      <c r="I106" s="8">
        <v>45086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198124.2</v>
      </c>
      <c r="AJ106" s="2">
        <v>16790</v>
      </c>
      <c r="AK106" s="2">
        <v>3537.93</v>
      </c>
      <c r="AL106" s="2">
        <v>299.82</v>
      </c>
      <c r="AM106" s="5">
        <v>1918.87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6447.41</v>
      </c>
      <c r="AT106" s="12">
        <v>5756.62</v>
      </c>
      <c r="AU106" s="2">
        <v>115.13</v>
      </c>
      <c r="AV106" s="5">
        <v>0</v>
      </c>
      <c r="AX106" s="2">
        <v>198124.2</v>
      </c>
      <c r="AY106" s="2">
        <v>16790</v>
      </c>
      <c r="AZ106" s="2">
        <v>3537.93</v>
      </c>
      <c r="BA106" s="2">
        <v>299.82</v>
      </c>
      <c r="BB106" s="5">
        <v>1918.87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6447.41</v>
      </c>
      <c r="BI106" s="12">
        <v>5756.62</v>
      </c>
      <c r="BJ106" s="2">
        <v>115.13</v>
      </c>
      <c r="BK106" s="5">
        <v>0</v>
      </c>
      <c r="BL106" s="1" t="s">
        <v>130</v>
      </c>
    </row>
    <row r="107" spans="1:64" x14ac:dyDescent="0.3">
      <c r="A107" t="s">
        <v>1021</v>
      </c>
      <c r="B107" s="1" t="s">
        <v>1029</v>
      </c>
      <c r="C107" s="9" t="s">
        <v>1030</v>
      </c>
      <c r="D107" s="1" t="s">
        <v>41</v>
      </c>
      <c r="E107" s="1" t="s">
        <v>128</v>
      </c>
      <c r="F107" s="10" t="s">
        <v>372</v>
      </c>
      <c r="G107" s="1">
        <v>0</v>
      </c>
      <c r="H107" s="1">
        <v>0.02</v>
      </c>
      <c r="I107" s="8">
        <v>45097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133966.70000000001</v>
      </c>
      <c r="AJ107" s="2">
        <v>1695</v>
      </c>
      <c r="AK107" s="2">
        <v>2392.2600000000002</v>
      </c>
      <c r="AL107" s="2">
        <v>30.27</v>
      </c>
      <c r="AM107" s="5">
        <v>1211.27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4069.86</v>
      </c>
      <c r="AT107" s="12">
        <v>3633.8</v>
      </c>
      <c r="AU107" s="2">
        <v>72.680000000000007</v>
      </c>
      <c r="AV107" s="5">
        <v>0</v>
      </c>
      <c r="AX107" s="2">
        <v>133966.70000000001</v>
      </c>
      <c r="AY107" s="2">
        <v>1695</v>
      </c>
      <c r="AZ107" s="2">
        <v>2392.2600000000002</v>
      </c>
      <c r="BA107" s="2">
        <v>30.27</v>
      </c>
      <c r="BB107" s="5">
        <v>1211.27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4069.86</v>
      </c>
      <c r="BI107" s="12">
        <v>3633.8</v>
      </c>
      <c r="BJ107" s="2">
        <v>72.680000000000007</v>
      </c>
      <c r="BK107" s="5">
        <v>0</v>
      </c>
      <c r="BL107" s="1" t="s">
        <v>130</v>
      </c>
    </row>
    <row r="108" spans="1:64" x14ac:dyDescent="0.3">
      <c r="A108" t="s">
        <v>1021</v>
      </c>
      <c r="B108" s="1" t="s">
        <v>1031</v>
      </c>
      <c r="C108" s="9" t="s">
        <v>1032</v>
      </c>
      <c r="D108" s="1" t="s">
        <v>41</v>
      </c>
      <c r="E108" s="1" t="s">
        <v>128</v>
      </c>
      <c r="F108" s="10" t="s">
        <v>372</v>
      </c>
      <c r="G108" s="1">
        <v>0</v>
      </c>
      <c r="H108" s="1">
        <v>0.02</v>
      </c>
      <c r="I108" s="8">
        <v>45098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251176.25</v>
      </c>
      <c r="AJ108" s="2">
        <v>9827</v>
      </c>
      <c r="AK108" s="2">
        <v>4485.29</v>
      </c>
      <c r="AL108" s="2">
        <v>175.48</v>
      </c>
      <c r="AM108" s="5">
        <v>2330.38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7830.09</v>
      </c>
      <c r="AT108" s="12">
        <v>6991.15</v>
      </c>
      <c r="AU108" s="2">
        <v>139.82</v>
      </c>
      <c r="AV108" s="5">
        <v>0</v>
      </c>
      <c r="AX108" s="2">
        <v>251176.25</v>
      </c>
      <c r="AY108" s="2">
        <v>9827</v>
      </c>
      <c r="AZ108" s="2">
        <v>4485.29</v>
      </c>
      <c r="BA108" s="2">
        <v>175.48</v>
      </c>
      <c r="BB108" s="5">
        <v>2330.38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7830.09</v>
      </c>
      <c r="BI108" s="12">
        <v>6991.15</v>
      </c>
      <c r="BJ108" s="2">
        <v>139.82</v>
      </c>
      <c r="BK108" s="5">
        <v>0</v>
      </c>
      <c r="BL108" s="1" t="s">
        <v>130</v>
      </c>
    </row>
    <row r="109" spans="1:64" x14ac:dyDescent="0.3">
      <c r="A109" t="s">
        <v>1067</v>
      </c>
      <c r="B109" s="1" t="s">
        <v>1067</v>
      </c>
      <c r="C109" s="9" t="s">
        <v>1068</v>
      </c>
      <c r="D109" s="1" t="s">
        <v>41</v>
      </c>
      <c r="E109" s="1" t="s">
        <v>128</v>
      </c>
      <c r="F109" s="10" t="s">
        <v>331</v>
      </c>
      <c r="G109" s="1">
        <v>0</v>
      </c>
      <c r="H109" s="1">
        <v>0.02</v>
      </c>
      <c r="I109" s="8">
        <v>44729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301591.25</v>
      </c>
      <c r="AJ109" s="2">
        <v>27259</v>
      </c>
      <c r="AK109" s="2">
        <v>5385.55</v>
      </c>
      <c r="AL109" s="2">
        <v>486.77</v>
      </c>
      <c r="AM109" s="5">
        <v>2936.16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9865.5</v>
      </c>
      <c r="AT109" s="12">
        <v>8808.48</v>
      </c>
      <c r="AU109" s="2">
        <v>176.17</v>
      </c>
      <c r="AV109" s="5">
        <v>0</v>
      </c>
      <c r="AX109" s="2">
        <v>301591.25</v>
      </c>
      <c r="AY109" s="2">
        <v>27259</v>
      </c>
      <c r="AZ109" s="2">
        <v>5385.55</v>
      </c>
      <c r="BA109" s="2">
        <v>486.77</v>
      </c>
      <c r="BB109" s="5">
        <v>2936.16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9865.5</v>
      </c>
      <c r="BI109" s="12">
        <v>8808.48</v>
      </c>
      <c r="BJ109" s="2">
        <v>176.17</v>
      </c>
      <c r="BK109" s="5">
        <v>0</v>
      </c>
      <c r="BL109" s="1" t="s">
        <v>130</v>
      </c>
    </row>
    <row r="110" spans="1:64" x14ac:dyDescent="0.3">
      <c r="A110" t="s">
        <v>1120</v>
      </c>
      <c r="B110" s="1" t="s">
        <v>1120</v>
      </c>
      <c r="C110" s="9" t="s">
        <v>1121</v>
      </c>
      <c r="D110" s="1" t="s">
        <v>41</v>
      </c>
      <c r="E110" s="1" t="s">
        <v>128</v>
      </c>
      <c r="F110" s="10" t="s">
        <v>372</v>
      </c>
      <c r="G110" s="1">
        <v>0</v>
      </c>
      <c r="H110" s="1">
        <v>0.02</v>
      </c>
      <c r="I110" s="8">
        <v>0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0</v>
      </c>
      <c r="AJ110" s="2">
        <v>0</v>
      </c>
      <c r="AK110" s="2">
        <v>0</v>
      </c>
      <c r="AL110" s="2">
        <v>0</v>
      </c>
      <c r="AM110" s="5">
        <v>0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0</v>
      </c>
      <c r="AT110" s="12">
        <v>0</v>
      </c>
      <c r="AU110" s="2">
        <v>0</v>
      </c>
      <c r="AV110" s="5">
        <v>0</v>
      </c>
      <c r="AX110" s="2">
        <v>0</v>
      </c>
      <c r="AY110" s="2">
        <v>0</v>
      </c>
      <c r="AZ110" s="2">
        <v>0</v>
      </c>
      <c r="BA110" s="2">
        <v>0</v>
      </c>
      <c r="BB110" s="5">
        <v>0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0</v>
      </c>
      <c r="BI110" s="12">
        <v>0</v>
      </c>
      <c r="BJ110" s="2">
        <v>0</v>
      </c>
      <c r="BK110" s="5">
        <v>0</v>
      </c>
      <c r="BL110" s="1" t="s">
        <v>130</v>
      </c>
    </row>
    <row r="111" spans="1:64" x14ac:dyDescent="0.3">
      <c r="A111" t="s">
        <v>1126</v>
      </c>
      <c r="B111" s="1" t="s">
        <v>1126</v>
      </c>
      <c r="C111" s="9" t="s">
        <v>1127</v>
      </c>
      <c r="D111" s="1" t="s">
        <v>41</v>
      </c>
      <c r="E111" s="1" t="s">
        <v>128</v>
      </c>
      <c r="F111" s="10" t="s">
        <v>372</v>
      </c>
      <c r="G111" s="1">
        <v>0</v>
      </c>
      <c r="H111" s="1">
        <v>0.02</v>
      </c>
      <c r="I111" s="8">
        <v>45016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602563.08000000007</v>
      </c>
      <c r="AJ111" s="2">
        <v>36826.71</v>
      </c>
      <c r="AK111" s="2">
        <v>10760.05</v>
      </c>
      <c r="AL111" s="2">
        <v>657.62</v>
      </c>
      <c r="AM111" s="5">
        <v>5708.84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19181.689999999999</v>
      </c>
      <c r="AT111" s="12">
        <v>17126.510000000002</v>
      </c>
      <c r="AU111" s="2">
        <v>342.53</v>
      </c>
      <c r="AV111" s="5">
        <v>0</v>
      </c>
      <c r="AX111" s="2">
        <v>602563.08000000007</v>
      </c>
      <c r="AY111" s="2">
        <v>36826.71</v>
      </c>
      <c r="AZ111" s="2">
        <v>10760.05</v>
      </c>
      <c r="BA111" s="2">
        <v>657.62</v>
      </c>
      <c r="BB111" s="5">
        <v>5708.84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19181.689999999999</v>
      </c>
      <c r="BI111" s="12">
        <v>17126.510000000002</v>
      </c>
      <c r="BJ111" s="2">
        <v>342.53</v>
      </c>
      <c r="BK111" s="5">
        <v>0</v>
      </c>
      <c r="BL111" s="1" t="s">
        <v>130</v>
      </c>
    </row>
    <row r="112" spans="1:64" x14ac:dyDescent="0.3">
      <c r="A112" t="s">
        <v>1126</v>
      </c>
      <c r="B112" s="1" t="s">
        <v>1128</v>
      </c>
      <c r="C112" s="9" t="s">
        <v>1129</v>
      </c>
      <c r="D112" s="1" t="s">
        <v>41</v>
      </c>
      <c r="E112" s="1" t="s">
        <v>128</v>
      </c>
      <c r="F112" s="10" t="s">
        <v>372</v>
      </c>
      <c r="G112" s="1">
        <v>0</v>
      </c>
      <c r="H112" s="1">
        <v>0.02</v>
      </c>
      <c r="I112" s="8">
        <v>45147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258546.6</v>
      </c>
      <c r="AJ112" s="2">
        <v>3900</v>
      </c>
      <c r="AK112" s="2">
        <v>4616.8999999999996</v>
      </c>
      <c r="AL112" s="2">
        <v>69.64</v>
      </c>
      <c r="AM112" s="5">
        <v>2343.2800000000002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7873.4</v>
      </c>
      <c r="AT112" s="12">
        <v>7029.82</v>
      </c>
      <c r="AU112" s="2">
        <v>140.6</v>
      </c>
      <c r="AV112" s="5">
        <v>0</v>
      </c>
      <c r="AX112" s="2">
        <v>258546.6</v>
      </c>
      <c r="AY112" s="2">
        <v>3900</v>
      </c>
      <c r="AZ112" s="2">
        <v>4616.8999999999996</v>
      </c>
      <c r="BA112" s="2">
        <v>69.64</v>
      </c>
      <c r="BB112" s="5">
        <v>2343.2800000000002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7873.4</v>
      </c>
      <c r="BI112" s="12">
        <v>7029.82</v>
      </c>
      <c r="BJ112" s="2">
        <v>140.6</v>
      </c>
      <c r="BK112" s="5">
        <v>0</v>
      </c>
      <c r="BL112" s="1" t="s">
        <v>130</v>
      </c>
    </row>
    <row r="113" spans="1:64" x14ac:dyDescent="0.3">
      <c r="A113" t="s">
        <v>1126</v>
      </c>
      <c r="B113" s="1" t="s">
        <v>1130</v>
      </c>
      <c r="C113" s="9" t="s">
        <v>1131</v>
      </c>
      <c r="D113" s="1" t="s">
        <v>41</v>
      </c>
      <c r="E113" s="1" t="s">
        <v>128</v>
      </c>
      <c r="F113" s="10" t="s">
        <v>372</v>
      </c>
      <c r="G113" s="1">
        <v>0</v>
      </c>
      <c r="H113" s="1">
        <v>0.02</v>
      </c>
      <c r="I113" s="8">
        <v>45191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97692.700000000012</v>
      </c>
      <c r="AJ113" s="2">
        <v>2147</v>
      </c>
      <c r="AK113" s="2">
        <v>1744.51</v>
      </c>
      <c r="AL113" s="2">
        <v>38.340000000000003</v>
      </c>
      <c r="AM113" s="5">
        <v>891.43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2995.19</v>
      </c>
      <c r="AT113" s="12">
        <v>2674.2799999999997</v>
      </c>
      <c r="AU113" s="2">
        <v>53.49</v>
      </c>
      <c r="AV113" s="5">
        <v>0</v>
      </c>
      <c r="AX113" s="2">
        <v>97692.700000000012</v>
      </c>
      <c r="AY113" s="2">
        <v>2147</v>
      </c>
      <c r="AZ113" s="2">
        <v>1744.51</v>
      </c>
      <c r="BA113" s="2">
        <v>38.340000000000003</v>
      </c>
      <c r="BB113" s="5">
        <v>891.43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2995.19</v>
      </c>
      <c r="BI113" s="12">
        <v>2674.2799999999997</v>
      </c>
      <c r="BJ113" s="2">
        <v>53.49</v>
      </c>
      <c r="BK113" s="5">
        <v>0</v>
      </c>
      <c r="BL113" s="1" t="s">
        <v>130</v>
      </c>
    </row>
    <row r="114" spans="1:64" x14ac:dyDescent="0.3">
      <c r="A114" t="s">
        <v>1132</v>
      </c>
      <c r="B114" s="1" t="s">
        <v>1132</v>
      </c>
      <c r="C114" s="9" t="s">
        <v>1133</v>
      </c>
      <c r="D114" s="1" t="s">
        <v>41</v>
      </c>
      <c r="E114" s="1" t="s">
        <v>128</v>
      </c>
      <c r="F114" s="10" t="s">
        <v>372</v>
      </c>
      <c r="G114" s="1">
        <v>0</v>
      </c>
      <c r="H114" s="1">
        <v>0.02</v>
      </c>
      <c r="I114" s="8">
        <v>44918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401200.93</v>
      </c>
      <c r="AJ114" s="2">
        <v>40447.22</v>
      </c>
      <c r="AK114" s="2">
        <v>7164.3</v>
      </c>
      <c r="AL114" s="2">
        <v>722.27</v>
      </c>
      <c r="AM114" s="5">
        <v>3943.29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13249.44</v>
      </c>
      <c r="AT114" s="12">
        <v>11829.86</v>
      </c>
      <c r="AU114" s="2">
        <v>236.6</v>
      </c>
      <c r="AV114" s="5">
        <v>0</v>
      </c>
      <c r="AX114" s="2">
        <v>401200.93</v>
      </c>
      <c r="AY114" s="2">
        <v>40447.22</v>
      </c>
      <c r="AZ114" s="2">
        <v>7164.3</v>
      </c>
      <c r="BA114" s="2">
        <v>722.27</v>
      </c>
      <c r="BB114" s="5">
        <v>3943.29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13249.44</v>
      </c>
      <c r="BI114" s="12">
        <v>11829.86</v>
      </c>
      <c r="BJ114" s="2">
        <v>236.6</v>
      </c>
      <c r="BK114" s="5">
        <v>0</v>
      </c>
      <c r="BL114" s="1" t="s">
        <v>130</v>
      </c>
    </row>
    <row r="115" spans="1:64" x14ac:dyDescent="0.3">
      <c r="A115" t="s">
        <v>1132</v>
      </c>
      <c r="B115" s="1" t="s">
        <v>1134</v>
      </c>
      <c r="C115" s="9" t="s">
        <v>1135</v>
      </c>
      <c r="D115" s="1" t="s">
        <v>41</v>
      </c>
      <c r="E115" s="1" t="s">
        <v>128</v>
      </c>
      <c r="F115" s="10" t="s">
        <v>372</v>
      </c>
      <c r="G115" s="1">
        <v>0</v>
      </c>
      <c r="H115" s="1">
        <v>0.02</v>
      </c>
      <c r="I115" s="8">
        <v>44981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314211</v>
      </c>
      <c r="AJ115" s="2">
        <v>0</v>
      </c>
      <c r="AK115" s="2">
        <v>5610.91</v>
      </c>
      <c r="AL115" s="2">
        <v>0</v>
      </c>
      <c r="AM115" s="5">
        <v>2805.46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9426.33</v>
      </c>
      <c r="AT115" s="12">
        <v>8416.369999999999</v>
      </c>
      <c r="AU115" s="2">
        <v>168.33</v>
      </c>
      <c r="AV115" s="5">
        <v>0</v>
      </c>
      <c r="AX115" s="2">
        <v>314211</v>
      </c>
      <c r="AY115" s="2">
        <v>0</v>
      </c>
      <c r="AZ115" s="2">
        <v>5610.91</v>
      </c>
      <c r="BA115" s="2">
        <v>0</v>
      </c>
      <c r="BB115" s="5">
        <v>2805.46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9426.33</v>
      </c>
      <c r="BI115" s="12">
        <v>8416.369999999999</v>
      </c>
      <c r="BJ115" s="2">
        <v>168.33</v>
      </c>
      <c r="BK115" s="5">
        <v>0</v>
      </c>
      <c r="BL115" s="1" t="s">
        <v>130</v>
      </c>
    </row>
    <row r="116" spans="1:64" x14ac:dyDescent="0.3">
      <c r="A116" t="s">
        <v>1132</v>
      </c>
      <c r="B116" s="1" t="s">
        <v>1136</v>
      </c>
      <c r="C116" s="9" t="s">
        <v>1137</v>
      </c>
      <c r="D116" s="1" t="s">
        <v>41</v>
      </c>
      <c r="E116" s="1" t="s">
        <v>128</v>
      </c>
      <c r="F116" s="10" t="s">
        <v>372</v>
      </c>
      <c r="G116" s="1">
        <v>0</v>
      </c>
      <c r="H116" s="1">
        <v>0.02</v>
      </c>
      <c r="I116" s="8">
        <v>45113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230989.85</v>
      </c>
      <c r="AJ116" s="2">
        <v>4030</v>
      </c>
      <c r="AK116" s="2">
        <v>4124.82</v>
      </c>
      <c r="AL116" s="2">
        <v>71.959999999999994</v>
      </c>
      <c r="AM116" s="5">
        <v>2098.39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7050.59</v>
      </c>
      <c r="AT116" s="12">
        <v>6295.17</v>
      </c>
      <c r="AU116" s="2">
        <v>125.9</v>
      </c>
      <c r="AV116" s="5">
        <v>0</v>
      </c>
      <c r="AX116" s="2">
        <v>230989.85</v>
      </c>
      <c r="AY116" s="2">
        <v>4030</v>
      </c>
      <c r="AZ116" s="2">
        <v>4124.82</v>
      </c>
      <c r="BA116" s="2">
        <v>71.959999999999994</v>
      </c>
      <c r="BB116" s="5">
        <v>2098.39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7050.59</v>
      </c>
      <c r="BI116" s="12">
        <v>6295.17</v>
      </c>
      <c r="BJ116" s="2">
        <v>125.9</v>
      </c>
      <c r="BK116" s="5">
        <v>0</v>
      </c>
      <c r="BL116" s="1" t="s">
        <v>130</v>
      </c>
    </row>
    <row r="117" spans="1:64" x14ac:dyDescent="0.3">
      <c r="A117" t="s">
        <v>1132</v>
      </c>
      <c r="B117" s="1" t="s">
        <v>1138</v>
      </c>
      <c r="C117" s="9" t="s">
        <v>1139</v>
      </c>
      <c r="D117" s="1" t="s">
        <v>41</v>
      </c>
      <c r="E117" s="1" t="s">
        <v>128</v>
      </c>
      <c r="F117" s="10" t="s">
        <v>372</v>
      </c>
      <c r="G117" s="1">
        <v>0</v>
      </c>
      <c r="H117" s="1">
        <v>0.02</v>
      </c>
      <c r="I117" s="8">
        <v>44947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485851.11</v>
      </c>
      <c r="AJ117" s="2">
        <v>150513.29</v>
      </c>
      <c r="AK117" s="2">
        <v>8675.91</v>
      </c>
      <c r="AL117" s="2">
        <v>2687.74</v>
      </c>
      <c r="AM117" s="5">
        <v>5681.82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19090.93</v>
      </c>
      <c r="AT117" s="12">
        <v>17045.47</v>
      </c>
      <c r="AU117" s="2">
        <v>340.91</v>
      </c>
      <c r="AV117" s="5">
        <v>0</v>
      </c>
      <c r="AX117" s="2">
        <v>485851.11</v>
      </c>
      <c r="AY117" s="2">
        <v>150513.29</v>
      </c>
      <c r="AZ117" s="2">
        <v>8675.91</v>
      </c>
      <c r="BA117" s="2">
        <v>2687.74</v>
      </c>
      <c r="BB117" s="5">
        <v>5681.82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19090.93</v>
      </c>
      <c r="BI117" s="12">
        <v>17045.47</v>
      </c>
      <c r="BJ117" s="2">
        <v>340.91</v>
      </c>
      <c r="BK117" s="5">
        <v>0</v>
      </c>
      <c r="BL117" s="1" t="s">
        <v>130</v>
      </c>
    </row>
    <row r="118" spans="1:64" x14ac:dyDescent="0.3">
      <c r="A118" t="s">
        <v>1173</v>
      </c>
      <c r="B118" s="1" t="s">
        <v>1173</v>
      </c>
      <c r="C118" s="9" t="s">
        <v>1174</v>
      </c>
      <c r="D118" s="1" t="s">
        <v>41</v>
      </c>
      <c r="E118" s="1" t="s">
        <v>128</v>
      </c>
      <c r="F118" s="10" t="s">
        <v>372</v>
      </c>
      <c r="G118" s="1">
        <v>0</v>
      </c>
      <c r="H118" s="1">
        <v>0.02</v>
      </c>
      <c r="I118" s="8">
        <v>45077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294349.04000000004</v>
      </c>
      <c r="AJ118" s="2">
        <v>14737.25</v>
      </c>
      <c r="AK118" s="2">
        <v>5256.23</v>
      </c>
      <c r="AL118" s="2">
        <v>263.16000000000003</v>
      </c>
      <c r="AM118" s="5">
        <v>2759.7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9272.58</v>
      </c>
      <c r="AT118" s="12">
        <v>8279.09</v>
      </c>
      <c r="AU118" s="2">
        <v>165.58</v>
      </c>
      <c r="AV118" s="5">
        <v>0</v>
      </c>
      <c r="AX118" s="2">
        <v>294349.04000000004</v>
      </c>
      <c r="AY118" s="2">
        <v>14737.25</v>
      </c>
      <c r="AZ118" s="2">
        <v>5256.23</v>
      </c>
      <c r="BA118" s="2">
        <v>263.16000000000003</v>
      </c>
      <c r="BB118" s="5">
        <v>2759.7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9272.58</v>
      </c>
      <c r="BI118" s="12">
        <v>8279.09</v>
      </c>
      <c r="BJ118" s="2">
        <v>165.58</v>
      </c>
      <c r="BK118" s="5">
        <v>0</v>
      </c>
      <c r="BL118" s="1" t="s">
        <v>130</v>
      </c>
    </row>
    <row r="119" spans="1:64" x14ac:dyDescent="0.3">
      <c r="A119" t="s">
        <v>1185</v>
      </c>
      <c r="B119" s="1" t="s">
        <v>1186</v>
      </c>
      <c r="C119" s="9" t="s">
        <v>1187</v>
      </c>
      <c r="D119" s="1" t="s">
        <v>41</v>
      </c>
      <c r="E119" s="1" t="s">
        <v>128</v>
      </c>
      <c r="F119" s="10" t="s">
        <v>372</v>
      </c>
      <c r="G119" s="1">
        <v>0</v>
      </c>
      <c r="H119" s="1">
        <v>0.02</v>
      </c>
      <c r="I119" s="8">
        <v>44527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227860</v>
      </c>
      <c r="AJ119" s="2">
        <v>3950</v>
      </c>
      <c r="AK119" s="2">
        <v>4068.93</v>
      </c>
      <c r="AL119" s="2">
        <v>70.540000000000006</v>
      </c>
      <c r="AM119" s="5">
        <v>2069.73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6954.3</v>
      </c>
      <c r="AT119" s="12">
        <v>6209.2000000000007</v>
      </c>
      <c r="AU119" s="2">
        <v>124.18</v>
      </c>
      <c r="AV119" s="5">
        <v>0</v>
      </c>
      <c r="AX119" s="2">
        <v>227860</v>
      </c>
      <c r="AY119" s="2">
        <v>3950</v>
      </c>
      <c r="AZ119" s="2">
        <v>4068.93</v>
      </c>
      <c r="BA119" s="2">
        <v>70.540000000000006</v>
      </c>
      <c r="BB119" s="5">
        <v>2069.73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6954.3</v>
      </c>
      <c r="BI119" s="12">
        <v>6209.2000000000007</v>
      </c>
      <c r="BJ119" s="2">
        <v>124.18</v>
      </c>
      <c r="BK119" s="5">
        <v>0</v>
      </c>
      <c r="BL119" s="1" t="s">
        <v>130</v>
      </c>
    </row>
    <row r="120" spans="1:64" x14ac:dyDescent="0.3">
      <c r="A120" t="s">
        <v>1185</v>
      </c>
      <c r="B120" s="1" t="s">
        <v>1188</v>
      </c>
      <c r="C120" s="9" t="s">
        <v>1189</v>
      </c>
      <c r="D120" s="1" t="s">
        <v>41</v>
      </c>
      <c r="E120" s="1" t="s">
        <v>128</v>
      </c>
      <c r="F120" s="10" t="s">
        <v>372</v>
      </c>
      <c r="G120" s="1">
        <v>0</v>
      </c>
      <c r="H120" s="1">
        <v>0.02</v>
      </c>
      <c r="I120" s="8">
        <v>44862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382922</v>
      </c>
      <c r="AJ120" s="2">
        <v>0</v>
      </c>
      <c r="AK120" s="2">
        <v>6837.89</v>
      </c>
      <c r="AL120" s="2">
        <v>0</v>
      </c>
      <c r="AM120" s="5">
        <v>3418.95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11487.66</v>
      </c>
      <c r="AT120" s="12">
        <v>10256.84</v>
      </c>
      <c r="AU120" s="2">
        <v>205.14</v>
      </c>
      <c r="AV120" s="5">
        <v>0</v>
      </c>
      <c r="AX120" s="2">
        <v>382922</v>
      </c>
      <c r="AY120" s="2">
        <v>0</v>
      </c>
      <c r="AZ120" s="2">
        <v>6837.89</v>
      </c>
      <c r="BA120" s="2">
        <v>0</v>
      </c>
      <c r="BB120" s="5">
        <v>3418.95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11487.66</v>
      </c>
      <c r="BI120" s="12">
        <v>10256.84</v>
      </c>
      <c r="BJ120" s="2">
        <v>205.14</v>
      </c>
      <c r="BK120" s="5">
        <v>0</v>
      </c>
      <c r="BL120" s="1" t="s">
        <v>130</v>
      </c>
    </row>
    <row r="121" spans="1:64" x14ac:dyDescent="0.3">
      <c r="A121" t="s">
        <v>1185</v>
      </c>
      <c r="B121" s="1" t="s">
        <v>1185</v>
      </c>
      <c r="C121" s="9" t="s">
        <v>1190</v>
      </c>
      <c r="D121" s="1" t="s">
        <v>41</v>
      </c>
      <c r="E121" s="1" t="s">
        <v>128</v>
      </c>
      <c r="F121" s="10" t="s">
        <v>372</v>
      </c>
      <c r="G121" s="1">
        <v>0</v>
      </c>
      <c r="H121" s="1">
        <v>0.02</v>
      </c>
      <c r="I121" s="8">
        <v>44967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597919.15</v>
      </c>
      <c r="AJ121" s="2">
        <v>28834</v>
      </c>
      <c r="AK121" s="2">
        <v>10677.12</v>
      </c>
      <c r="AL121" s="2">
        <v>514.89</v>
      </c>
      <c r="AM121" s="5">
        <v>5596.01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18802.580000000002</v>
      </c>
      <c r="AT121" s="12">
        <v>16788.02</v>
      </c>
      <c r="AU121" s="2">
        <v>335.76</v>
      </c>
      <c r="AV121" s="5">
        <v>0</v>
      </c>
      <c r="AX121" s="2">
        <v>597919.15</v>
      </c>
      <c r="AY121" s="2">
        <v>28834</v>
      </c>
      <c r="AZ121" s="2">
        <v>10677.12</v>
      </c>
      <c r="BA121" s="2">
        <v>514.89</v>
      </c>
      <c r="BB121" s="5">
        <v>5596.01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18802.580000000002</v>
      </c>
      <c r="BI121" s="12">
        <v>16788.02</v>
      </c>
      <c r="BJ121" s="2">
        <v>335.76</v>
      </c>
      <c r="BK121" s="5">
        <v>0</v>
      </c>
      <c r="BL121" s="1" t="s">
        <v>130</v>
      </c>
    </row>
    <row r="122" spans="1:64" x14ac:dyDescent="0.3">
      <c r="A122" t="s">
        <v>1185</v>
      </c>
      <c r="B122" s="1" t="s">
        <v>1191</v>
      </c>
      <c r="C122" s="9" t="s">
        <v>1192</v>
      </c>
      <c r="D122" s="1" t="s">
        <v>41</v>
      </c>
      <c r="E122" s="1" t="s">
        <v>128</v>
      </c>
      <c r="F122" s="10" t="s">
        <v>372</v>
      </c>
      <c r="G122" s="1">
        <v>0</v>
      </c>
      <c r="H122" s="1">
        <v>0.02</v>
      </c>
      <c r="I122" s="8">
        <v>45238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303750.59999999998</v>
      </c>
      <c r="AJ122" s="2">
        <v>1920</v>
      </c>
      <c r="AK122" s="2">
        <v>5424.12</v>
      </c>
      <c r="AL122" s="2">
        <v>34.29</v>
      </c>
      <c r="AM122" s="5">
        <v>2729.21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9170.1299999999992</v>
      </c>
      <c r="AT122" s="12">
        <v>8187.62</v>
      </c>
      <c r="AU122" s="2">
        <v>163.75</v>
      </c>
      <c r="AV122" s="5">
        <v>0</v>
      </c>
      <c r="AX122" s="2">
        <v>303750.59999999998</v>
      </c>
      <c r="AY122" s="2">
        <v>1920</v>
      </c>
      <c r="AZ122" s="2">
        <v>5424.12</v>
      </c>
      <c r="BA122" s="2">
        <v>34.29</v>
      </c>
      <c r="BB122" s="5">
        <v>2729.21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9170.1299999999992</v>
      </c>
      <c r="BI122" s="12">
        <v>8187.62</v>
      </c>
      <c r="BJ122" s="2">
        <v>163.75</v>
      </c>
      <c r="BK122" s="5">
        <v>0</v>
      </c>
      <c r="BL122" s="1" t="s">
        <v>130</v>
      </c>
    </row>
    <row r="123" spans="1:64" x14ac:dyDescent="0.3">
      <c r="A123" t="s">
        <v>1193</v>
      </c>
      <c r="B123" s="1" t="s">
        <v>1193</v>
      </c>
      <c r="C123" s="9" t="s">
        <v>1194</v>
      </c>
      <c r="D123" s="1" t="s">
        <v>41</v>
      </c>
      <c r="E123" s="1" t="s">
        <v>128</v>
      </c>
      <c r="F123" s="10" t="s">
        <v>331</v>
      </c>
      <c r="G123" s="1">
        <v>0</v>
      </c>
      <c r="H123" s="1">
        <v>0.02</v>
      </c>
      <c r="I123" s="8">
        <v>45034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261451</v>
      </c>
      <c r="AJ123" s="2">
        <v>19244</v>
      </c>
      <c r="AK123" s="2">
        <v>4668.7700000000004</v>
      </c>
      <c r="AL123" s="2">
        <v>343.64</v>
      </c>
      <c r="AM123" s="5">
        <v>2506.21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8420.85</v>
      </c>
      <c r="AT123" s="12">
        <v>7518.6200000000008</v>
      </c>
      <c r="AU123" s="2">
        <v>150.37</v>
      </c>
      <c r="AV123" s="5">
        <v>0</v>
      </c>
      <c r="AX123" s="2">
        <v>261451</v>
      </c>
      <c r="AY123" s="2">
        <v>19244</v>
      </c>
      <c r="AZ123" s="2">
        <v>4668.7700000000004</v>
      </c>
      <c r="BA123" s="2">
        <v>343.64</v>
      </c>
      <c r="BB123" s="5">
        <v>2506.21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8420.85</v>
      </c>
      <c r="BI123" s="12">
        <v>7518.6200000000008</v>
      </c>
      <c r="BJ123" s="2">
        <v>150.37</v>
      </c>
      <c r="BK123" s="5">
        <v>0</v>
      </c>
      <c r="BL123" s="1" t="s">
        <v>130</v>
      </c>
    </row>
    <row r="124" spans="1:64" x14ac:dyDescent="0.3">
      <c r="A124" t="s">
        <v>1193</v>
      </c>
      <c r="B124" s="1" t="s">
        <v>1195</v>
      </c>
      <c r="C124" s="9" t="s">
        <v>1196</v>
      </c>
      <c r="D124" s="1" t="s">
        <v>41</v>
      </c>
      <c r="E124" s="1" t="s">
        <v>128</v>
      </c>
      <c r="F124" s="10" t="s">
        <v>331</v>
      </c>
      <c r="G124" s="1">
        <v>0</v>
      </c>
      <c r="H124" s="1">
        <v>0.02</v>
      </c>
      <c r="I124" s="8">
        <v>45034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154740</v>
      </c>
      <c r="AJ124" s="2">
        <v>10920</v>
      </c>
      <c r="AK124" s="2">
        <v>2763.21</v>
      </c>
      <c r="AL124" s="2">
        <v>195</v>
      </c>
      <c r="AM124" s="5">
        <v>1479.11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4969.8</v>
      </c>
      <c r="AT124" s="12">
        <v>4437.32</v>
      </c>
      <c r="AU124" s="2">
        <v>88.75</v>
      </c>
      <c r="AV124" s="5">
        <v>0</v>
      </c>
      <c r="AX124" s="2">
        <v>154740</v>
      </c>
      <c r="AY124" s="2">
        <v>10920</v>
      </c>
      <c r="AZ124" s="2">
        <v>2763.21</v>
      </c>
      <c r="BA124" s="2">
        <v>195</v>
      </c>
      <c r="BB124" s="5">
        <v>1479.11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4969.8</v>
      </c>
      <c r="BI124" s="12">
        <v>4437.32</v>
      </c>
      <c r="BJ124" s="2">
        <v>88.75</v>
      </c>
      <c r="BK124" s="5">
        <v>0</v>
      </c>
      <c r="BL124" s="1" t="s">
        <v>130</v>
      </c>
    </row>
    <row r="125" spans="1:64" x14ac:dyDescent="0.3">
      <c r="A125" t="s">
        <v>1193</v>
      </c>
      <c r="B125" s="1" t="s">
        <v>1197</v>
      </c>
      <c r="C125" s="9" t="s">
        <v>1198</v>
      </c>
      <c r="D125" s="1" t="s">
        <v>41</v>
      </c>
      <c r="E125" s="1" t="s">
        <v>128</v>
      </c>
      <c r="F125" s="10" t="s">
        <v>331</v>
      </c>
      <c r="G125" s="1">
        <v>0</v>
      </c>
      <c r="H125" s="1">
        <v>0.02</v>
      </c>
      <c r="I125" s="8">
        <v>45035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150739</v>
      </c>
      <c r="AJ125" s="2">
        <v>10966</v>
      </c>
      <c r="AK125" s="2">
        <v>2691.77</v>
      </c>
      <c r="AL125" s="2">
        <v>195.82</v>
      </c>
      <c r="AM125" s="5">
        <v>1443.79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4851.1499999999996</v>
      </c>
      <c r="AT125" s="12">
        <v>4331.38</v>
      </c>
      <c r="AU125" s="2">
        <v>86.63</v>
      </c>
      <c r="AV125" s="5">
        <v>0</v>
      </c>
      <c r="AX125" s="2">
        <v>150739</v>
      </c>
      <c r="AY125" s="2">
        <v>10966</v>
      </c>
      <c r="AZ125" s="2">
        <v>2691.77</v>
      </c>
      <c r="BA125" s="2">
        <v>195.82</v>
      </c>
      <c r="BB125" s="5">
        <v>1443.79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4851.1499999999996</v>
      </c>
      <c r="BI125" s="12">
        <v>4331.38</v>
      </c>
      <c r="BJ125" s="2">
        <v>86.63</v>
      </c>
      <c r="BK125" s="5">
        <v>0</v>
      </c>
      <c r="BL125" s="1" t="s">
        <v>130</v>
      </c>
    </row>
    <row r="126" spans="1:64" x14ac:dyDescent="0.3">
      <c r="A126" t="s">
        <v>1199</v>
      </c>
      <c r="B126" s="1" t="s">
        <v>1199</v>
      </c>
      <c r="C126" s="9" t="s">
        <v>1200</v>
      </c>
      <c r="D126" s="1" t="s">
        <v>41</v>
      </c>
      <c r="E126" s="1" t="s">
        <v>135</v>
      </c>
      <c r="F126" s="10" t="s">
        <v>467</v>
      </c>
      <c r="G126" s="1">
        <v>0</v>
      </c>
      <c r="H126" s="1">
        <v>0.02</v>
      </c>
      <c r="I126" s="8">
        <v>45066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308019.80999999994</v>
      </c>
      <c r="AJ126" s="2">
        <v>91821.200000000012</v>
      </c>
      <c r="AK126" s="2">
        <v>5500.36</v>
      </c>
      <c r="AL126" s="2">
        <v>1639.66</v>
      </c>
      <c r="AM126" s="5">
        <v>3570.01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11995.23</v>
      </c>
      <c r="AT126" s="12">
        <v>10710.029999999999</v>
      </c>
      <c r="AU126" s="2">
        <v>214.2</v>
      </c>
      <c r="AV126" s="5">
        <v>0</v>
      </c>
      <c r="AX126" s="2">
        <v>308019.80999999994</v>
      </c>
      <c r="AY126" s="2">
        <v>91821.200000000012</v>
      </c>
      <c r="AZ126" s="2">
        <v>5500.36</v>
      </c>
      <c r="BA126" s="2">
        <v>1639.66</v>
      </c>
      <c r="BB126" s="5">
        <v>3570.01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11995.23</v>
      </c>
      <c r="BI126" s="12">
        <v>10710.029999999999</v>
      </c>
      <c r="BJ126" s="2">
        <v>214.2</v>
      </c>
      <c r="BK126" s="5">
        <v>0</v>
      </c>
      <c r="BL126" s="1" t="s">
        <v>302</v>
      </c>
    </row>
    <row r="127" spans="1:64" x14ac:dyDescent="0.3">
      <c r="A127" t="s">
        <v>1201</v>
      </c>
      <c r="B127" s="1" t="s">
        <v>1201</v>
      </c>
      <c r="C127" s="9" t="s">
        <v>1202</v>
      </c>
      <c r="D127" s="1" t="s">
        <v>41</v>
      </c>
      <c r="E127" s="1" t="s">
        <v>128</v>
      </c>
      <c r="F127" s="10" t="s">
        <v>372</v>
      </c>
      <c r="G127" s="1">
        <v>0</v>
      </c>
      <c r="H127" s="1">
        <v>0.02</v>
      </c>
      <c r="I127" s="8">
        <v>45056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558836.37</v>
      </c>
      <c r="AJ127" s="2">
        <v>29843.800000000003</v>
      </c>
      <c r="AK127" s="2">
        <v>9979.2199999999993</v>
      </c>
      <c r="AL127" s="2">
        <v>532.92999999999995</v>
      </c>
      <c r="AM127" s="5">
        <v>5256.07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17660.41</v>
      </c>
      <c r="AT127" s="12">
        <v>15768.22</v>
      </c>
      <c r="AU127" s="2">
        <v>315.36</v>
      </c>
      <c r="AV127" s="5">
        <v>0</v>
      </c>
      <c r="AX127" s="2">
        <v>558836.37</v>
      </c>
      <c r="AY127" s="2">
        <v>29843.800000000003</v>
      </c>
      <c r="AZ127" s="2">
        <v>9979.2199999999993</v>
      </c>
      <c r="BA127" s="2">
        <v>532.92999999999995</v>
      </c>
      <c r="BB127" s="5">
        <v>5256.07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17660.41</v>
      </c>
      <c r="BI127" s="12">
        <v>15768.22</v>
      </c>
      <c r="BJ127" s="2">
        <v>315.36</v>
      </c>
      <c r="BK127" s="5">
        <v>0</v>
      </c>
      <c r="BL127" s="1" t="s">
        <v>130</v>
      </c>
    </row>
    <row r="128" spans="1:64" x14ac:dyDescent="0.3">
      <c r="A128" t="s">
        <v>1203</v>
      </c>
      <c r="B128" s="1" t="s">
        <v>1203</v>
      </c>
      <c r="C128" s="9" t="s">
        <v>1204</v>
      </c>
      <c r="D128" s="1" t="s">
        <v>41</v>
      </c>
      <c r="E128" s="1" t="s">
        <v>88</v>
      </c>
      <c r="F128" s="10" t="s">
        <v>671</v>
      </c>
      <c r="G128" s="1">
        <v>0</v>
      </c>
      <c r="H128" s="1">
        <v>0.02</v>
      </c>
      <c r="I128" s="8">
        <v>45161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136819</v>
      </c>
      <c r="AJ128" s="2">
        <v>22524</v>
      </c>
      <c r="AK128" s="2">
        <v>2443.1999999999998</v>
      </c>
      <c r="AL128" s="2">
        <v>402.21</v>
      </c>
      <c r="AM128" s="5">
        <v>1422.71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4780.29</v>
      </c>
      <c r="AT128" s="12">
        <v>4268.12</v>
      </c>
      <c r="AU128" s="2">
        <v>85.36</v>
      </c>
      <c r="AV128" s="5">
        <v>0</v>
      </c>
      <c r="AX128" s="2">
        <v>136819</v>
      </c>
      <c r="AY128" s="2">
        <v>22524</v>
      </c>
      <c r="AZ128" s="2">
        <v>2443.1999999999998</v>
      </c>
      <c r="BA128" s="2">
        <v>402.21</v>
      </c>
      <c r="BB128" s="5">
        <v>1422.71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4780.29</v>
      </c>
      <c r="BI128" s="12">
        <v>4268.12</v>
      </c>
      <c r="BJ128" s="2">
        <v>85.36</v>
      </c>
      <c r="BK128" s="5">
        <v>0</v>
      </c>
      <c r="BL128" s="1" t="s">
        <v>90</v>
      </c>
    </row>
    <row r="129" spans="1:64" x14ac:dyDescent="0.3">
      <c r="A129" t="s">
        <v>1203</v>
      </c>
      <c r="B129" s="1" t="s">
        <v>1205</v>
      </c>
      <c r="C129" s="9" t="s">
        <v>1206</v>
      </c>
      <c r="D129" s="1" t="s">
        <v>41</v>
      </c>
      <c r="E129" s="1" t="s">
        <v>88</v>
      </c>
      <c r="F129" s="10" t="s">
        <v>671</v>
      </c>
      <c r="G129" s="1">
        <v>0</v>
      </c>
      <c r="H129" s="1">
        <v>0.02</v>
      </c>
      <c r="I129" s="8">
        <v>45474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102779</v>
      </c>
      <c r="AJ129" s="2">
        <v>58839</v>
      </c>
      <c r="AK129" s="2">
        <v>1835.34</v>
      </c>
      <c r="AL129" s="2">
        <v>1050.7</v>
      </c>
      <c r="AM129" s="5">
        <v>1443.02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4848.55</v>
      </c>
      <c r="AT129" s="12">
        <v>4329.0599999999995</v>
      </c>
      <c r="AU129" s="2">
        <v>86.58</v>
      </c>
      <c r="AV129" s="5">
        <v>0</v>
      </c>
      <c r="AX129" s="2">
        <v>102779</v>
      </c>
      <c r="AY129" s="2">
        <v>58839</v>
      </c>
      <c r="AZ129" s="2">
        <v>1835.34</v>
      </c>
      <c r="BA129" s="2">
        <v>1050.7</v>
      </c>
      <c r="BB129" s="5">
        <v>1443.02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4848.55</v>
      </c>
      <c r="BI129" s="12">
        <v>4329.0599999999995</v>
      </c>
      <c r="BJ129" s="2">
        <v>86.58</v>
      </c>
      <c r="BK129" s="5">
        <v>0</v>
      </c>
      <c r="BL129" s="1" t="s">
        <v>90</v>
      </c>
    </row>
    <row r="130" spans="1:64" x14ac:dyDescent="0.3">
      <c r="A130" t="s">
        <v>1217</v>
      </c>
      <c r="B130" s="1" t="s">
        <v>1217</v>
      </c>
      <c r="C130" s="9" t="s">
        <v>1218</v>
      </c>
      <c r="D130" s="1" t="s">
        <v>41</v>
      </c>
      <c r="E130" s="1" t="s">
        <v>88</v>
      </c>
      <c r="F130" s="10" t="s">
        <v>671</v>
      </c>
      <c r="G130" s="1">
        <v>0</v>
      </c>
      <c r="H130" s="1">
        <v>0.02</v>
      </c>
      <c r="I130" s="8">
        <v>45135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166920</v>
      </c>
      <c r="AJ130" s="2">
        <v>59647</v>
      </c>
      <c r="AK130" s="2">
        <v>2980.71</v>
      </c>
      <c r="AL130" s="2">
        <v>1065.1199999999999</v>
      </c>
      <c r="AM130" s="5">
        <v>2022.92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6797</v>
      </c>
      <c r="AT130" s="12">
        <v>6068.75</v>
      </c>
      <c r="AU130" s="2">
        <v>121.38</v>
      </c>
      <c r="AV130" s="5">
        <v>0</v>
      </c>
      <c r="AX130" s="2">
        <v>166920</v>
      </c>
      <c r="AY130" s="2">
        <v>59647</v>
      </c>
      <c r="AZ130" s="2">
        <v>2980.71</v>
      </c>
      <c r="BA130" s="2">
        <v>1065.1199999999999</v>
      </c>
      <c r="BB130" s="5">
        <v>2022.92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6797</v>
      </c>
      <c r="BI130" s="12">
        <v>6068.75</v>
      </c>
      <c r="BJ130" s="2">
        <v>121.38</v>
      </c>
      <c r="BK130" s="5">
        <v>0</v>
      </c>
      <c r="BL130" s="1" t="s">
        <v>90</v>
      </c>
    </row>
    <row r="131" spans="1:64" x14ac:dyDescent="0.3">
      <c r="A131" t="s">
        <v>1219</v>
      </c>
      <c r="B131" s="1" t="s">
        <v>1219</v>
      </c>
      <c r="C131" s="9" t="s">
        <v>1220</v>
      </c>
      <c r="D131" s="1" t="s">
        <v>41</v>
      </c>
      <c r="E131" s="1" t="s">
        <v>88</v>
      </c>
      <c r="F131" s="10" t="s">
        <v>671</v>
      </c>
      <c r="G131" s="1">
        <v>0</v>
      </c>
      <c r="H131" s="1">
        <v>0.02</v>
      </c>
      <c r="I131" s="8">
        <v>45093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152091</v>
      </c>
      <c r="AJ131" s="2">
        <v>29697</v>
      </c>
      <c r="AK131" s="2">
        <v>2715.91</v>
      </c>
      <c r="AL131" s="2">
        <v>530.29999999999995</v>
      </c>
      <c r="AM131" s="5">
        <v>1623.11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5453.64</v>
      </c>
      <c r="AT131" s="12">
        <v>4869.32</v>
      </c>
      <c r="AU131" s="2">
        <v>97.39</v>
      </c>
      <c r="AV131" s="5">
        <v>0</v>
      </c>
      <c r="AX131" s="2">
        <v>152091</v>
      </c>
      <c r="AY131" s="2">
        <v>29697</v>
      </c>
      <c r="AZ131" s="2">
        <v>2715.91</v>
      </c>
      <c r="BA131" s="2">
        <v>530.29999999999995</v>
      </c>
      <c r="BB131" s="5">
        <v>1623.11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5453.64</v>
      </c>
      <c r="BI131" s="12">
        <v>4869.32</v>
      </c>
      <c r="BJ131" s="2">
        <v>97.39</v>
      </c>
      <c r="BK131" s="5">
        <v>0</v>
      </c>
      <c r="BL131" s="1" t="s">
        <v>90</v>
      </c>
    </row>
    <row r="132" spans="1:64" x14ac:dyDescent="0.3">
      <c r="A132" t="s">
        <v>1268</v>
      </c>
      <c r="B132" s="1" t="s">
        <v>1268</v>
      </c>
      <c r="C132" s="9" t="s">
        <v>1269</v>
      </c>
      <c r="D132" s="1" t="s">
        <v>41</v>
      </c>
      <c r="E132" s="1" t="s">
        <v>135</v>
      </c>
      <c r="F132" s="10" t="s">
        <v>752</v>
      </c>
      <c r="G132" s="1">
        <v>0</v>
      </c>
      <c r="H132" s="1">
        <v>0.02</v>
      </c>
      <c r="I132" s="8">
        <v>45118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239768</v>
      </c>
      <c r="AJ132" s="2">
        <v>53403</v>
      </c>
      <c r="AK132" s="2">
        <v>4281.57</v>
      </c>
      <c r="AL132" s="2">
        <v>953.62</v>
      </c>
      <c r="AM132" s="5">
        <v>2617.6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8795.1200000000008</v>
      </c>
      <c r="AT132" s="12">
        <v>7852.7899999999991</v>
      </c>
      <c r="AU132" s="2">
        <v>157.06</v>
      </c>
      <c r="AV132" s="5">
        <v>0</v>
      </c>
      <c r="AX132" s="2">
        <v>239768</v>
      </c>
      <c r="AY132" s="2">
        <v>53403</v>
      </c>
      <c r="AZ132" s="2">
        <v>4281.57</v>
      </c>
      <c r="BA132" s="2">
        <v>953.62</v>
      </c>
      <c r="BB132" s="5">
        <v>2617.6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8795.1200000000008</v>
      </c>
      <c r="BI132" s="12">
        <v>7852.7899999999991</v>
      </c>
      <c r="BJ132" s="2">
        <v>157.06</v>
      </c>
      <c r="BK132" s="5">
        <v>0</v>
      </c>
      <c r="BL132" s="1" t="s">
        <v>302</v>
      </c>
    </row>
    <row r="133" spans="1:64" x14ac:dyDescent="0.3">
      <c r="A133" t="s">
        <v>1268</v>
      </c>
      <c r="B133" s="1" t="s">
        <v>1270</v>
      </c>
      <c r="C133" s="9" t="s">
        <v>1271</v>
      </c>
      <c r="D133" s="1" t="s">
        <v>41</v>
      </c>
      <c r="E133" s="1" t="s">
        <v>135</v>
      </c>
      <c r="F133" s="10" t="s">
        <v>752</v>
      </c>
      <c r="G133" s="1">
        <v>0</v>
      </c>
      <c r="H133" s="1">
        <v>0.02</v>
      </c>
      <c r="I133" s="8">
        <v>45264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229735</v>
      </c>
      <c r="AJ133" s="2">
        <v>16842</v>
      </c>
      <c r="AK133" s="2">
        <v>4102.41</v>
      </c>
      <c r="AL133" s="2">
        <v>300.75</v>
      </c>
      <c r="AM133" s="5">
        <v>2201.58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7397.31</v>
      </c>
      <c r="AT133" s="12">
        <v>6604.74</v>
      </c>
      <c r="AU133" s="2">
        <v>132.09</v>
      </c>
      <c r="AV133" s="5">
        <v>0</v>
      </c>
      <c r="AX133" s="2">
        <v>229735</v>
      </c>
      <c r="AY133" s="2">
        <v>16842</v>
      </c>
      <c r="AZ133" s="2">
        <v>4102.41</v>
      </c>
      <c r="BA133" s="2">
        <v>300.75</v>
      </c>
      <c r="BB133" s="5">
        <v>2201.58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7397.31</v>
      </c>
      <c r="BI133" s="12">
        <v>6604.74</v>
      </c>
      <c r="BJ133" s="2">
        <v>132.09</v>
      </c>
      <c r="BK133" s="5">
        <v>0</v>
      </c>
      <c r="BL133" s="1" t="s">
        <v>302</v>
      </c>
    </row>
    <row r="134" spans="1:64" x14ac:dyDescent="0.3">
      <c r="A134" t="s">
        <v>1282</v>
      </c>
      <c r="B134" s="1" t="s">
        <v>1282</v>
      </c>
      <c r="C134" s="9" t="s">
        <v>1283</v>
      </c>
      <c r="D134" s="1" t="s">
        <v>41</v>
      </c>
      <c r="E134" s="1" t="s">
        <v>88</v>
      </c>
      <c r="F134" s="10" t="s">
        <v>671</v>
      </c>
      <c r="G134" s="1">
        <v>0</v>
      </c>
      <c r="H134" s="1">
        <v>0.02</v>
      </c>
      <c r="I134" s="8">
        <v>45230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302539</v>
      </c>
      <c r="AJ134" s="2">
        <v>70793</v>
      </c>
      <c r="AK134" s="2">
        <v>5402.48</v>
      </c>
      <c r="AL134" s="2">
        <v>1264.1600000000001</v>
      </c>
      <c r="AM134" s="5">
        <v>3333.32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11199.96</v>
      </c>
      <c r="AT134" s="12">
        <v>9999.9599999999991</v>
      </c>
      <c r="AU134" s="2">
        <v>200</v>
      </c>
      <c r="AV134" s="5">
        <v>0</v>
      </c>
      <c r="AX134" s="2">
        <v>302539</v>
      </c>
      <c r="AY134" s="2">
        <v>70793</v>
      </c>
      <c r="AZ134" s="2">
        <v>5402.48</v>
      </c>
      <c r="BA134" s="2">
        <v>1264.1600000000001</v>
      </c>
      <c r="BB134" s="5">
        <v>3333.32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11199.96</v>
      </c>
      <c r="BI134" s="12">
        <v>9999.9599999999991</v>
      </c>
      <c r="BJ134" s="2">
        <v>200</v>
      </c>
      <c r="BK134" s="5">
        <v>0</v>
      </c>
      <c r="BL134" s="1" t="s">
        <v>90</v>
      </c>
    </row>
    <row r="135" spans="1:64" x14ac:dyDescent="0.3">
      <c r="A135" t="s">
        <v>1308</v>
      </c>
      <c r="B135" s="1" t="s">
        <v>1308</v>
      </c>
      <c r="C135" s="9" t="s">
        <v>1309</v>
      </c>
      <c r="D135" s="1" t="s">
        <v>41</v>
      </c>
      <c r="E135" s="1" t="s">
        <v>128</v>
      </c>
      <c r="F135" s="10" t="s">
        <v>331</v>
      </c>
      <c r="G135" s="1">
        <v>0</v>
      </c>
      <c r="H135" s="1">
        <v>0.02</v>
      </c>
      <c r="I135" s="8">
        <v>45289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555424.6</v>
      </c>
      <c r="AJ135" s="2">
        <v>19032</v>
      </c>
      <c r="AK135" s="2">
        <v>9918.2900000000009</v>
      </c>
      <c r="AL135" s="2">
        <v>339.86</v>
      </c>
      <c r="AM135" s="5">
        <v>5129.08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17233.7</v>
      </c>
      <c r="AT135" s="12">
        <v>15387.230000000001</v>
      </c>
      <c r="AU135" s="2">
        <v>307.74</v>
      </c>
      <c r="AV135" s="5">
        <v>0</v>
      </c>
      <c r="AX135" s="2">
        <v>555424.6</v>
      </c>
      <c r="AY135" s="2">
        <v>19032</v>
      </c>
      <c r="AZ135" s="2">
        <v>9918.2900000000009</v>
      </c>
      <c r="BA135" s="2">
        <v>339.86</v>
      </c>
      <c r="BB135" s="5">
        <v>5129.08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17233.7</v>
      </c>
      <c r="BI135" s="12">
        <v>15387.230000000001</v>
      </c>
      <c r="BJ135" s="2">
        <v>307.74</v>
      </c>
      <c r="BK135" s="5">
        <v>0</v>
      </c>
      <c r="BL135" s="1" t="s">
        <v>130</v>
      </c>
    </row>
    <row r="136" spans="1:64" x14ac:dyDescent="0.3">
      <c r="A136" t="s">
        <v>1308</v>
      </c>
      <c r="B136" s="1" t="s">
        <v>1310</v>
      </c>
      <c r="C136" s="9" t="s">
        <v>1311</v>
      </c>
      <c r="D136" s="1" t="s">
        <v>41</v>
      </c>
      <c r="E136" s="1" t="s">
        <v>128</v>
      </c>
      <c r="F136" s="10" t="s">
        <v>331</v>
      </c>
      <c r="G136" s="1">
        <v>0</v>
      </c>
      <c r="H136" s="1">
        <v>0.02</v>
      </c>
      <c r="I136" s="8">
        <v>45330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227085</v>
      </c>
      <c r="AJ136" s="2">
        <v>0</v>
      </c>
      <c r="AK136" s="2">
        <v>4055.09</v>
      </c>
      <c r="AL136" s="2">
        <v>0</v>
      </c>
      <c r="AM136" s="5">
        <v>2027.54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6812.55</v>
      </c>
      <c r="AT136" s="12">
        <v>6082.63</v>
      </c>
      <c r="AU136" s="2">
        <v>121.65</v>
      </c>
      <c r="AV136" s="5">
        <v>0</v>
      </c>
      <c r="AX136" s="2">
        <v>227085</v>
      </c>
      <c r="AY136" s="2">
        <v>0</v>
      </c>
      <c r="AZ136" s="2">
        <v>4055.09</v>
      </c>
      <c r="BA136" s="2">
        <v>0</v>
      </c>
      <c r="BB136" s="5">
        <v>2027.54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6812.55</v>
      </c>
      <c r="BI136" s="12">
        <v>6082.63</v>
      </c>
      <c r="BJ136" s="2">
        <v>121.65</v>
      </c>
      <c r="BK136" s="5">
        <v>0</v>
      </c>
      <c r="BL136" s="1" t="s">
        <v>130</v>
      </c>
    </row>
    <row r="137" spans="1:64" x14ac:dyDescent="0.3">
      <c r="A137" t="s">
        <v>1316</v>
      </c>
      <c r="B137" s="1" t="s">
        <v>1316</v>
      </c>
      <c r="C137" s="9" t="s">
        <v>1317</v>
      </c>
      <c r="D137" s="1" t="s">
        <v>41</v>
      </c>
      <c r="E137" s="1" t="s">
        <v>128</v>
      </c>
      <c r="F137" s="10" t="s">
        <v>331</v>
      </c>
      <c r="G137" s="1">
        <v>0</v>
      </c>
      <c r="H137" s="1">
        <v>0.02</v>
      </c>
      <c r="I137" s="8">
        <v>45219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235257.25</v>
      </c>
      <c r="AJ137" s="2">
        <v>23396</v>
      </c>
      <c r="AK137" s="2">
        <v>4201.03</v>
      </c>
      <c r="AL137" s="2">
        <v>417.79</v>
      </c>
      <c r="AM137" s="5">
        <v>2309.4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7759.61</v>
      </c>
      <c r="AT137" s="12">
        <v>6928.2199999999993</v>
      </c>
      <c r="AU137" s="2">
        <v>138.56</v>
      </c>
      <c r="AV137" s="5">
        <v>0</v>
      </c>
      <c r="AX137" s="2">
        <v>235257.25</v>
      </c>
      <c r="AY137" s="2">
        <v>23396</v>
      </c>
      <c r="AZ137" s="2">
        <v>4201.03</v>
      </c>
      <c r="BA137" s="2">
        <v>417.79</v>
      </c>
      <c r="BB137" s="5">
        <v>2309.4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7759.61</v>
      </c>
      <c r="BI137" s="12">
        <v>6928.2199999999993</v>
      </c>
      <c r="BJ137" s="2">
        <v>138.56</v>
      </c>
      <c r="BK137" s="5">
        <v>0</v>
      </c>
      <c r="BL137" s="1" t="s">
        <v>130</v>
      </c>
    </row>
    <row r="138" spans="1:64" x14ac:dyDescent="0.3">
      <c r="A138" t="s">
        <v>1326</v>
      </c>
      <c r="B138" s="1" t="s">
        <v>1326</v>
      </c>
      <c r="C138" s="9" t="s">
        <v>1327</v>
      </c>
      <c r="D138" s="1" t="s">
        <v>41</v>
      </c>
      <c r="E138" s="1" t="s">
        <v>135</v>
      </c>
      <c r="F138" s="10" t="s">
        <v>467</v>
      </c>
      <c r="G138" s="1">
        <v>0</v>
      </c>
      <c r="H138" s="1">
        <v>0.02</v>
      </c>
      <c r="I138" s="8">
        <v>45254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480737</v>
      </c>
      <c r="AJ138" s="2">
        <v>60717</v>
      </c>
      <c r="AK138" s="2">
        <v>8584.59</v>
      </c>
      <c r="AL138" s="2">
        <v>1084.23</v>
      </c>
      <c r="AM138" s="5">
        <v>4834.41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16243.62</v>
      </c>
      <c r="AT138" s="12">
        <v>14503.23</v>
      </c>
      <c r="AU138" s="2">
        <v>290.06</v>
      </c>
      <c r="AV138" s="5">
        <v>0</v>
      </c>
      <c r="AX138" s="2">
        <v>480737</v>
      </c>
      <c r="AY138" s="2">
        <v>60717</v>
      </c>
      <c r="AZ138" s="2">
        <v>8584.59</v>
      </c>
      <c r="BA138" s="2">
        <v>1084.23</v>
      </c>
      <c r="BB138" s="5">
        <v>4834.41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16243.62</v>
      </c>
      <c r="BI138" s="12">
        <v>14503.23</v>
      </c>
      <c r="BJ138" s="2">
        <v>290.06</v>
      </c>
      <c r="BK138" s="5">
        <v>0</v>
      </c>
      <c r="BL138" s="1" t="s">
        <v>302</v>
      </c>
    </row>
    <row r="139" spans="1:64" x14ac:dyDescent="0.3">
      <c r="A139" t="s">
        <v>1326</v>
      </c>
      <c r="B139" s="1" t="s">
        <v>1328</v>
      </c>
      <c r="C139" s="9" t="s">
        <v>1329</v>
      </c>
      <c r="D139" s="1" t="s">
        <v>41</v>
      </c>
      <c r="E139" s="1" t="s">
        <v>135</v>
      </c>
      <c r="F139" s="10" t="s">
        <v>467</v>
      </c>
      <c r="G139" s="1">
        <v>0</v>
      </c>
      <c r="H139" s="1">
        <v>0.02</v>
      </c>
      <c r="I139" s="8">
        <v>45219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100059</v>
      </c>
      <c r="AJ139" s="2">
        <v>19915</v>
      </c>
      <c r="AK139" s="2">
        <v>1786.77</v>
      </c>
      <c r="AL139" s="2">
        <v>355.62</v>
      </c>
      <c r="AM139" s="5">
        <v>1071.2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3599.22</v>
      </c>
      <c r="AT139" s="12">
        <v>3213.59</v>
      </c>
      <c r="AU139" s="2">
        <v>64.27</v>
      </c>
      <c r="AV139" s="5">
        <v>0</v>
      </c>
      <c r="AX139" s="2">
        <v>100059</v>
      </c>
      <c r="AY139" s="2">
        <v>19915</v>
      </c>
      <c r="AZ139" s="2">
        <v>1786.77</v>
      </c>
      <c r="BA139" s="2">
        <v>355.62</v>
      </c>
      <c r="BB139" s="5">
        <v>1071.2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3599.22</v>
      </c>
      <c r="BI139" s="12">
        <v>3213.59</v>
      </c>
      <c r="BJ139" s="2">
        <v>64.27</v>
      </c>
      <c r="BK139" s="5">
        <v>0</v>
      </c>
      <c r="BL139" s="1" t="s">
        <v>302</v>
      </c>
    </row>
    <row r="140" spans="1:64" x14ac:dyDescent="0.3">
      <c r="A140" t="s">
        <v>1326</v>
      </c>
      <c r="B140" s="1" t="s">
        <v>1330</v>
      </c>
      <c r="C140" s="9" t="s">
        <v>1331</v>
      </c>
      <c r="D140" s="1" t="s">
        <v>41</v>
      </c>
      <c r="E140" s="1" t="s">
        <v>135</v>
      </c>
      <c r="F140" s="10" t="s">
        <v>467</v>
      </c>
      <c r="G140" s="1">
        <v>0</v>
      </c>
      <c r="H140" s="1">
        <v>0.02</v>
      </c>
      <c r="I140" s="8">
        <v>45315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266987</v>
      </c>
      <c r="AJ140" s="2">
        <v>38305</v>
      </c>
      <c r="AK140" s="2">
        <v>4767.62</v>
      </c>
      <c r="AL140" s="2">
        <v>684.02</v>
      </c>
      <c r="AM140" s="5">
        <v>2725.82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9158.76</v>
      </c>
      <c r="AT140" s="12">
        <v>8177.4599999999991</v>
      </c>
      <c r="AU140" s="2">
        <v>163.55000000000001</v>
      </c>
      <c r="AV140" s="5">
        <v>0</v>
      </c>
      <c r="AX140" s="2">
        <v>266987</v>
      </c>
      <c r="AY140" s="2">
        <v>38305</v>
      </c>
      <c r="AZ140" s="2">
        <v>4767.62</v>
      </c>
      <c r="BA140" s="2">
        <v>684.02</v>
      </c>
      <c r="BB140" s="5">
        <v>2725.82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9158.76</v>
      </c>
      <c r="BI140" s="12">
        <v>8177.4599999999991</v>
      </c>
      <c r="BJ140" s="2">
        <v>163.55000000000001</v>
      </c>
      <c r="BK140" s="5">
        <v>0</v>
      </c>
      <c r="BL140" s="1" t="s">
        <v>302</v>
      </c>
    </row>
    <row r="141" spans="1:64" x14ac:dyDescent="0.3">
      <c r="A141" t="s">
        <v>1326</v>
      </c>
      <c r="B141" s="1" t="s">
        <v>1332</v>
      </c>
      <c r="C141" s="9" t="s">
        <v>1333</v>
      </c>
      <c r="D141" s="1" t="s">
        <v>41</v>
      </c>
      <c r="E141" s="1" t="s">
        <v>135</v>
      </c>
      <c r="F141" s="10" t="s">
        <v>467</v>
      </c>
      <c r="G141" s="1">
        <v>0</v>
      </c>
      <c r="H141" s="1">
        <v>0.02</v>
      </c>
      <c r="I141" s="8">
        <v>45771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0</v>
      </c>
      <c r="AJ141" s="2">
        <v>0</v>
      </c>
      <c r="AK141" s="2">
        <v>0</v>
      </c>
      <c r="AL141" s="2">
        <v>0</v>
      </c>
      <c r="AM141" s="5">
        <v>0</v>
      </c>
      <c r="AN141" s="12">
        <v>191711.40000000002</v>
      </c>
      <c r="AO141" s="2">
        <v>0</v>
      </c>
      <c r="AP141" s="2">
        <v>798.79</v>
      </c>
      <c r="AQ141" s="2">
        <v>0</v>
      </c>
      <c r="AR141" s="5">
        <v>1711.71</v>
      </c>
      <c r="AS141" s="2">
        <v>2811.76</v>
      </c>
      <c r="AT141" s="12">
        <v>2510.5</v>
      </c>
      <c r="AU141" s="2">
        <v>50.21</v>
      </c>
      <c r="AV141" s="5">
        <v>0</v>
      </c>
      <c r="AX141" s="2">
        <v>0</v>
      </c>
      <c r="AY141" s="2">
        <v>0</v>
      </c>
      <c r="AZ141" s="2">
        <v>0</v>
      </c>
      <c r="BA141" s="2">
        <v>0</v>
      </c>
      <c r="BB141" s="5">
        <v>0</v>
      </c>
      <c r="BC141" s="12">
        <v>191711.40000000002</v>
      </c>
      <c r="BD141" s="2">
        <v>0</v>
      </c>
      <c r="BE141" s="2">
        <v>798.79</v>
      </c>
      <c r="BF141" s="2">
        <v>0</v>
      </c>
      <c r="BG141" s="5">
        <v>1711.71</v>
      </c>
      <c r="BH141" s="2">
        <v>2811.76</v>
      </c>
      <c r="BI141" s="12">
        <v>2510.5</v>
      </c>
      <c r="BJ141" s="2">
        <v>50.21</v>
      </c>
      <c r="BK141" s="5">
        <v>0</v>
      </c>
      <c r="BL141" s="1" t="s">
        <v>302</v>
      </c>
    </row>
    <row r="142" spans="1:64" x14ac:dyDescent="0.3">
      <c r="A142" t="s">
        <v>1338</v>
      </c>
      <c r="B142" s="1" t="s">
        <v>1339</v>
      </c>
      <c r="C142" s="9" t="s">
        <v>1340</v>
      </c>
      <c r="D142" s="1" t="s">
        <v>41</v>
      </c>
      <c r="E142" s="1" t="s">
        <v>128</v>
      </c>
      <c r="F142" s="10" t="s">
        <v>331</v>
      </c>
      <c r="G142" s="1">
        <v>0</v>
      </c>
      <c r="H142" s="1">
        <v>0.02</v>
      </c>
      <c r="I142" s="8">
        <v>45140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153322.35</v>
      </c>
      <c r="AJ142" s="2">
        <v>12395</v>
      </c>
      <c r="AK142" s="2">
        <v>2737.9</v>
      </c>
      <c r="AL142" s="2">
        <v>221.34</v>
      </c>
      <c r="AM142" s="5">
        <v>1479.62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4971.5200000000004</v>
      </c>
      <c r="AT142" s="12">
        <v>4438.8600000000006</v>
      </c>
      <c r="AU142" s="2">
        <v>88.78</v>
      </c>
      <c r="AV142" s="5">
        <v>0</v>
      </c>
      <c r="AX142" s="2">
        <v>153322.35</v>
      </c>
      <c r="AY142" s="2">
        <v>12395</v>
      </c>
      <c r="AZ142" s="2">
        <v>2737.9</v>
      </c>
      <c r="BA142" s="2">
        <v>221.34</v>
      </c>
      <c r="BB142" s="5">
        <v>1479.62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4971.5200000000004</v>
      </c>
      <c r="BI142" s="12">
        <v>4438.8600000000006</v>
      </c>
      <c r="BJ142" s="2">
        <v>88.78</v>
      </c>
      <c r="BK142" s="5">
        <v>0</v>
      </c>
      <c r="BL142" s="1" t="s">
        <v>130</v>
      </c>
    </row>
    <row r="143" spans="1:64" x14ac:dyDescent="0.3">
      <c r="A143" t="s">
        <v>1338</v>
      </c>
      <c r="B143" s="1" t="s">
        <v>1338</v>
      </c>
      <c r="C143" s="9" t="s">
        <v>1341</v>
      </c>
      <c r="D143" s="1" t="s">
        <v>41</v>
      </c>
      <c r="E143" s="1" t="s">
        <v>128</v>
      </c>
      <c r="F143" s="10" t="s">
        <v>331</v>
      </c>
      <c r="G143" s="1">
        <v>0</v>
      </c>
      <c r="H143" s="1">
        <v>0.02</v>
      </c>
      <c r="I143" s="8">
        <v>45280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165405.45000000001</v>
      </c>
      <c r="AJ143" s="2">
        <v>12693</v>
      </c>
      <c r="AK143" s="2">
        <v>2953.67</v>
      </c>
      <c r="AL143" s="2">
        <v>226.66</v>
      </c>
      <c r="AM143" s="5">
        <v>1590.16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5342.95</v>
      </c>
      <c r="AT143" s="12">
        <v>4770.49</v>
      </c>
      <c r="AU143" s="2">
        <v>95.41</v>
      </c>
      <c r="AV143" s="5">
        <v>0</v>
      </c>
      <c r="AX143" s="2">
        <v>165405.45000000001</v>
      </c>
      <c r="AY143" s="2">
        <v>12693</v>
      </c>
      <c r="AZ143" s="2">
        <v>2953.67</v>
      </c>
      <c r="BA143" s="2">
        <v>226.66</v>
      </c>
      <c r="BB143" s="5">
        <v>1590.16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5342.95</v>
      </c>
      <c r="BI143" s="12">
        <v>4770.49</v>
      </c>
      <c r="BJ143" s="2">
        <v>95.41</v>
      </c>
      <c r="BK143" s="5">
        <v>0</v>
      </c>
      <c r="BL143" s="1" t="s">
        <v>130</v>
      </c>
    </row>
    <row r="144" spans="1:64" x14ac:dyDescent="0.3">
      <c r="A144" t="s">
        <v>1342</v>
      </c>
      <c r="B144" s="1" t="s">
        <v>1342</v>
      </c>
      <c r="C144" s="9" t="s">
        <v>1343</v>
      </c>
      <c r="D144" s="1" t="s">
        <v>41</v>
      </c>
      <c r="E144" s="1" t="s">
        <v>88</v>
      </c>
      <c r="F144" s="10" t="s">
        <v>671</v>
      </c>
      <c r="G144" s="1">
        <v>0</v>
      </c>
      <c r="H144" s="1">
        <v>0.02</v>
      </c>
      <c r="I144" s="8">
        <v>45315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87597</v>
      </c>
      <c r="AJ144" s="2">
        <v>21294</v>
      </c>
      <c r="AK144" s="2">
        <v>1564.23</v>
      </c>
      <c r="AL144" s="2">
        <v>380.25</v>
      </c>
      <c r="AM144" s="5">
        <v>972.24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3266.73</v>
      </c>
      <c r="AT144" s="12">
        <v>2916.7200000000003</v>
      </c>
      <c r="AU144" s="2">
        <v>58.33</v>
      </c>
      <c r="AV144" s="5">
        <v>0</v>
      </c>
      <c r="AX144" s="2">
        <v>87597</v>
      </c>
      <c r="AY144" s="2">
        <v>21294</v>
      </c>
      <c r="AZ144" s="2">
        <v>1564.23</v>
      </c>
      <c r="BA144" s="2">
        <v>380.25</v>
      </c>
      <c r="BB144" s="5">
        <v>972.24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3266.73</v>
      </c>
      <c r="BI144" s="12">
        <v>2916.7200000000003</v>
      </c>
      <c r="BJ144" s="2">
        <v>58.33</v>
      </c>
      <c r="BK144" s="5">
        <v>0</v>
      </c>
      <c r="BL144" s="1" t="s">
        <v>90</v>
      </c>
    </row>
    <row r="145" spans="1:64" x14ac:dyDescent="0.3">
      <c r="A145" t="s">
        <v>1375</v>
      </c>
      <c r="B145" s="1" t="s">
        <v>1376</v>
      </c>
      <c r="C145" s="9" t="s">
        <v>1377</v>
      </c>
      <c r="D145" s="1" t="s">
        <v>41</v>
      </c>
      <c r="E145" s="1" t="s">
        <v>128</v>
      </c>
      <c r="F145" s="10" t="s">
        <v>372</v>
      </c>
      <c r="G145" s="1">
        <v>0</v>
      </c>
      <c r="H145" s="1">
        <v>0.02</v>
      </c>
      <c r="I145" s="8">
        <v>44720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47270.5</v>
      </c>
      <c r="AJ145" s="2">
        <v>0</v>
      </c>
      <c r="AK145" s="2">
        <v>844.12</v>
      </c>
      <c r="AL145" s="2">
        <v>0</v>
      </c>
      <c r="AM145" s="5">
        <v>422.05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1418.11</v>
      </c>
      <c r="AT145" s="12">
        <v>1266.17</v>
      </c>
      <c r="AU145" s="2">
        <v>25.32</v>
      </c>
      <c r="AV145" s="5">
        <v>0</v>
      </c>
      <c r="AX145" s="2">
        <v>47270.5</v>
      </c>
      <c r="AY145" s="2">
        <v>0</v>
      </c>
      <c r="AZ145" s="2">
        <v>844.12</v>
      </c>
      <c r="BA145" s="2">
        <v>0</v>
      </c>
      <c r="BB145" s="5">
        <v>422.05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1418.11</v>
      </c>
      <c r="BI145" s="12">
        <v>1266.17</v>
      </c>
      <c r="BJ145" s="2">
        <v>25.32</v>
      </c>
      <c r="BK145" s="5">
        <v>0</v>
      </c>
      <c r="BL145" s="1" t="s">
        <v>130</v>
      </c>
    </row>
    <row r="146" spans="1:64" x14ac:dyDescent="0.3">
      <c r="A146" t="s">
        <v>1375</v>
      </c>
      <c r="B146" s="1" t="s">
        <v>1375</v>
      </c>
      <c r="C146" s="9" t="s">
        <v>1378</v>
      </c>
      <c r="D146" s="1" t="s">
        <v>41</v>
      </c>
      <c r="E146" s="1" t="s">
        <v>128</v>
      </c>
      <c r="F146" s="10" t="s">
        <v>372</v>
      </c>
      <c r="G146" s="1">
        <v>0</v>
      </c>
      <c r="H146" s="1">
        <v>0.02</v>
      </c>
      <c r="I146" s="8">
        <v>45573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83168</v>
      </c>
      <c r="AJ146" s="2">
        <v>16874</v>
      </c>
      <c r="AK146" s="2">
        <v>1485.14</v>
      </c>
      <c r="AL146" s="2">
        <v>301.32</v>
      </c>
      <c r="AM146" s="5">
        <v>893.23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3001.25</v>
      </c>
      <c r="AT146" s="12">
        <v>2679.69</v>
      </c>
      <c r="AU146" s="2">
        <v>53.59</v>
      </c>
      <c r="AV146" s="5">
        <v>0</v>
      </c>
      <c r="AX146" s="2">
        <v>83168</v>
      </c>
      <c r="AY146" s="2">
        <v>16874</v>
      </c>
      <c r="AZ146" s="2">
        <v>1485.14</v>
      </c>
      <c r="BA146" s="2">
        <v>301.32</v>
      </c>
      <c r="BB146" s="5">
        <v>893.23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3001.25</v>
      </c>
      <c r="BI146" s="12">
        <v>2679.69</v>
      </c>
      <c r="BJ146" s="2">
        <v>53.59</v>
      </c>
      <c r="BK146" s="5">
        <v>0</v>
      </c>
      <c r="BL146" s="1" t="s">
        <v>130</v>
      </c>
    </row>
    <row r="147" spans="1:64" x14ac:dyDescent="0.3">
      <c r="A147" t="s">
        <v>1403</v>
      </c>
      <c r="B147" s="1" t="s">
        <v>1403</v>
      </c>
      <c r="C147" s="9" t="s">
        <v>1404</v>
      </c>
      <c r="D147" s="1" t="s">
        <v>41</v>
      </c>
      <c r="E147" s="1" t="s">
        <v>128</v>
      </c>
      <c r="F147" s="10" t="s">
        <v>385</v>
      </c>
      <c r="G147" s="1">
        <v>0</v>
      </c>
      <c r="H147" s="1">
        <v>0.02</v>
      </c>
      <c r="I147" s="8">
        <v>45349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453984</v>
      </c>
      <c r="AJ147" s="2">
        <v>43826</v>
      </c>
      <c r="AK147" s="2">
        <v>8106.86</v>
      </c>
      <c r="AL147" s="2">
        <v>782.61</v>
      </c>
      <c r="AM147" s="5">
        <v>4444.7299999999996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14934.3</v>
      </c>
      <c r="AT147" s="12">
        <v>13334.199999999999</v>
      </c>
      <c r="AU147" s="2">
        <v>266.68</v>
      </c>
      <c r="AV147" s="5">
        <v>0</v>
      </c>
      <c r="AX147" s="2">
        <v>453984</v>
      </c>
      <c r="AY147" s="2">
        <v>43826</v>
      </c>
      <c r="AZ147" s="2">
        <v>8106.86</v>
      </c>
      <c r="BA147" s="2">
        <v>782.61</v>
      </c>
      <c r="BB147" s="5">
        <v>4444.7299999999996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14934.3</v>
      </c>
      <c r="BI147" s="12">
        <v>13334.199999999999</v>
      </c>
      <c r="BJ147" s="2">
        <v>266.68</v>
      </c>
      <c r="BK147" s="5">
        <v>0</v>
      </c>
      <c r="BL147" s="1" t="s">
        <v>326</v>
      </c>
    </row>
    <row r="148" spans="1:64" x14ac:dyDescent="0.3">
      <c r="A148" t="s">
        <v>265</v>
      </c>
      <c r="B148" s="1" t="s">
        <v>265</v>
      </c>
      <c r="C148" s="9" t="s">
        <v>266</v>
      </c>
      <c r="D148" s="1" t="s">
        <v>42</v>
      </c>
      <c r="E148" s="1" t="s">
        <v>88</v>
      </c>
      <c r="F148" s="10" t="s">
        <v>267</v>
      </c>
      <c r="G148" s="1">
        <v>2.5000000000000001E-2</v>
      </c>
      <c r="H148" s="1">
        <v>0.02</v>
      </c>
      <c r="I148" s="8">
        <v>45527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1358077</v>
      </c>
      <c r="AJ148" s="2">
        <v>258509</v>
      </c>
      <c r="AK148" s="2">
        <v>24251.38</v>
      </c>
      <c r="AL148" s="2">
        <v>4616.2299999999996</v>
      </c>
      <c r="AM148" s="5">
        <v>14433.8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48497.58</v>
      </c>
      <c r="AT148" s="12">
        <v>43301.41</v>
      </c>
      <c r="AU148" s="2">
        <v>866.03</v>
      </c>
      <c r="AV148" s="5">
        <v>0</v>
      </c>
      <c r="AX148" s="2">
        <v>1358077</v>
      </c>
      <c r="AY148" s="2">
        <v>258509</v>
      </c>
      <c r="AZ148" s="2">
        <v>24251.38</v>
      </c>
      <c r="BA148" s="2">
        <v>4616.2299999999996</v>
      </c>
      <c r="BB148" s="5">
        <v>14433.8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48497.58</v>
      </c>
      <c r="BI148" s="12">
        <v>43301.41</v>
      </c>
      <c r="BJ148" s="2">
        <v>866.03</v>
      </c>
      <c r="BK148" s="5">
        <v>0</v>
      </c>
      <c r="BL148" s="1" t="s">
        <v>90</v>
      </c>
    </row>
    <row r="149" spans="1:64" x14ac:dyDescent="0.3">
      <c r="A149" t="s">
        <v>265</v>
      </c>
      <c r="B149" s="1" t="s">
        <v>268</v>
      </c>
      <c r="C149" s="9" t="s">
        <v>269</v>
      </c>
      <c r="D149" s="1" t="s">
        <v>42</v>
      </c>
      <c r="E149" s="1" t="s">
        <v>88</v>
      </c>
      <c r="F149" s="10" t="s">
        <v>267</v>
      </c>
      <c r="G149" s="1">
        <v>0</v>
      </c>
      <c r="H149" s="1">
        <v>0.02</v>
      </c>
      <c r="I149" s="8">
        <v>45616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149293</v>
      </c>
      <c r="AJ149" s="2">
        <v>49680</v>
      </c>
      <c r="AK149" s="2">
        <v>2665.95</v>
      </c>
      <c r="AL149" s="2">
        <v>887.14</v>
      </c>
      <c r="AM149" s="5">
        <v>1776.54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5969.19</v>
      </c>
      <c r="AT149" s="12">
        <v>5329.6299999999992</v>
      </c>
      <c r="AU149" s="2">
        <v>106.59</v>
      </c>
      <c r="AV149" s="5">
        <v>0</v>
      </c>
      <c r="AX149" s="2">
        <v>149293</v>
      </c>
      <c r="AY149" s="2">
        <v>49680</v>
      </c>
      <c r="AZ149" s="2">
        <v>2665.95</v>
      </c>
      <c r="BA149" s="2">
        <v>887.14</v>
      </c>
      <c r="BB149" s="5">
        <v>1776.54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5969.19</v>
      </c>
      <c r="BI149" s="12">
        <v>5329.6299999999992</v>
      </c>
      <c r="BJ149" s="2">
        <v>106.59</v>
      </c>
      <c r="BK149" s="5">
        <v>0</v>
      </c>
      <c r="BL149" s="1" t="s">
        <v>90</v>
      </c>
    </row>
    <row r="150" spans="1:64" x14ac:dyDescent="0.3">
      <c r="A150" t="s">
        <v>470</v>
      </c>
      <c r="B150" s="1" t="s">
        <v>470</v>
      </c>
      <c r="C150" s="9" t="s">
        <v>471</v>
      </c>
      <c r="D150" s="1" t="s">
        <v>42</v>
      </c>
      <c r="E150" s="1" t="s">
        <v>88</v>
      </c>
      <c r="F150" s="10" t="s">
        <v>472</v>
      </c>
      <c r="G150" s="1">
        <v>2.5000000000000001E-2</v>
      </c>
      <c r="H150" s="1">
        <v>0.02</v>
      </c>
      <c r="I150" s="8">
        <v>44418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368343.60000000003</v>
      </c>
      <c r="AJ150" s="2">
        <v>81963.199999999997</v>
      </c>
      <c r="AK150" s="2">
        <v>6577.56</v>
      </c>
      <c r="AL150" s="2">
        <v>1463.62</v>
      </c>
      <c r="AM150" s="5">
        <v>4020.6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13509.19</v>
      </c>
      <c r="AT150" s="12">
        <v>12061.78</v>
      </c>
      <c r="AU150" s="2">
        <v>241.24</v>
      </c>
      <c r="AV150" s="5">
        <v>0</v>
      </c>
      <c r="AX150" s="2">
        <v>368343.60000000003</v>
      </c>
      <c r="AY150" s="2">
        <v>81963.199999999997</v>
      </c>
      <c r="AZ150" s="2">
        <v>6577.56</v>
      </c>
      <c r="BA150" s="2">
        <v>1463.62</v>
      </c>
      <c r="BB150" s="5">
        <v>4020.6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13509.19</v>
      </c>
      <c r="BI150" s="12">
        <v>12061.78</v>
      </c>
      <c r="BJ150" s="2">
        <v>241.24</v>
      </c>
      <c r="BK150" s="5">
        <v>0</v>
      </c>
      <c r="BL150" s="1" t="s">
        <v>90</v>
      </c>
    </row>
    <row r="151" spans="1:64" x14ac:dyDescent="0.3">
      <c r="A151" t="s">
        <v>470</v>
      </c>
      <c r="B151" s="1" t="s">
        <v>473</v>
      </c>
      <c r="C151" s="9" t="s">
        <v>474</v>
      </c>
      <c r="D151" s="1" t="s">
        <v>42</v>
      </c>
      <c r="E151" s="1" t="s">
        <v>88</v>
      </c>
      <c r="F151" s="10" t="s">
        <v>472</v>
      </c>
      <c r="G151" s="1">
        <v>2.5000000000000001E-2</v>
      </c>
      <c r="H151" s="1">
        <v>0.02</v>
      </c>
      <c r="I151" s="8">
        <v>44418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238129</v>
      </c>
      <c r="AJ151" s="2">
        <v>76610</v>
      </c>
      <c r="AK151" s="2">
        <v>4252.3</v>
      </c>
      <c r="AL151" s="2">
        <v>1368.04</v>
      </c>
      <c r="AM151" s="5">
        <v>2810.17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9442.17</v>
      </c>
      <c r="AT151" s="12">
        <v>8430.51</v>
      </c>
      <c r="AU151" s="2">
        <v>168.61</v>
      </c>
      <c r="AV151" s="5">
        <v>0</v>
      </c>
      <c r="AX151" s="2">
        <v>238129</v>
      </c>
      <c r="AY151" s="2">
        <v>76610</v>
      </c>
      <c r="AZ151" s="2">
        <v>4252.3</v>
      </c>
      <c r="BA151" s="2">
        <v>1368.04</v>
      </c>
      <c r="BB151" s="5">
        <v>2810.17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9442.17</v>
      </c>
      <c r="BI151" s="12">
        <v>8430.51</v>
      </c>
      <c r="BJ151" s="2">
        <v>168.61</v>
      </c>
      <c r="BK151" s="5">
        <v>0</v>
      </c>
      <c r="BL151" s="1" t="s">
        <v>90</v>
      </c>
    </row>
    <row r="152" spans="1:64" x14ac:dyDescent="0.3">
      <c r="A152" t="s">
        <v>502</v>
      </c>
      <c r="B152" s="1" t="s">
        <v>502</v>
      </c>
      <c r="C152" s="9" t="s">
        <v>503</v>
      </c>
      <c r="D152" s="1" t="s">
        <v>42</v>
      </c>
      <c r="E152" s="1" t="s">
        <v>88</v>
      </c>
      <c r="F152" s="10" t="s">
        <v>472</v>
      </c>
      <c r="G152" s="1">
        <v>3.5000000000000003E-2</v>
      </c>
      <c r="H152" s="1">
        <v>0.02</v>
      </c>
      <c r="I152" s="8">
        <v>45118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510480.17</v>
      </c>
      <c r="AJ152" s="2">
        <v>214412.56</v>
      </c>
      <c r="AK152" s="2">
        <v>9115.7099999999991</v>
      </c>
      <c r="AL152" s="2">
        <v>3828.79</v>
      </c>
      <c r="AM152" s="5">
        <v>6472.26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21746.77</v>
      </c>
      <c r="AT152" s="12">
        <v>19416.760000000002</v>
      </c>
      <c r="AU152" s="2">
        <v>388.34</v>
      </c>
      <c r="AV152" s="5">
        <v>0</v>
      </c>
      <c r="AX152" s="2">
        <v>510480.17</v>
      </c>
      <c r="AY152" s="2">
        <v>214412.56</v>
      </c>
      <c r="AZ152" s="2">
        <v>9115.7099999999991</v>
      </c>
      <c r="BA152" s="2">
        <v>3828.79</v>
      </c>
      <c r="BB152" s="5">
        <v>6472.26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21746.77</v>
      </c>
      <c r="BI152" s="12">
        <v>19416.760000000002</v>
      </c>
      <c r="BJ152" s="2">
        <v>388.34</v>
      </c>
      <c r="BK152" s="5">
        <v>0</v>
      </c>
      <c r="BL152" s="1" t="s">
        <v>90</v>
      </c>
    </row>
    <row r="153" spans="1:64" x14ac:dyDescent="0.3">
      <c r="A153" t="s">
        <v>502</v>
      </c>
      <c r="B153" s="1" t="s">
        <v>504</v>
      </c>
      <c r="C153" s="9" t="s">
        <v>505</v>
      </c>
      <c r="D153" s="1" t="s">
        <v>42</v>
      </c>
      <c r="E153" s="1" t="s">
        <v>88</v>
      </c>
      <c r="F153" s="10" t="s">
        <v>472</v>
      </c>
      <c r="G153" s="1">
        <v>0.04</v>
      </c>
      <c r="H153" s="1">
        <v>0.02</v>
      </c>
      <c r="I153" s="8">
        <v>45118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-858</v>
      </c>
      <c r="AJ153" s="2">
        <v>33465</v>
      </c>
      <c r="AK153" s="2">
        <v>-15.32</v>
      </c>
      <c r="AL153" s="2">
        <v>597.59</v>
      </c>
      <c r="AM153" s="5">
        <v>291.13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978.21</v>
      </c>
      <c r="AT153" s="12">
        <v>873.4</v>
      </c>
      <c r="AU153" s="2">
        <v>17.47</v>
      </c>
      <c r="AV153" s="5">
        <v>0</v>
      </c>
      <c r="AX153" s="2">
        <v>-858</v>
      </c>
      <c r="AY153" s="2">
        <v>33465</v>
      </c>
      <c r="AZ153" s="2">
        <v>-15.32</v>
      </c>
      <c r="BA153" s="2">
        <v>597.59</v>
      </c>
      <c r="BB153" s="5">
        <v>291.13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978.21</v>
      </c>
      <c r="BI153" s="12">
        <v>873.4</v>
      </c>
      <c r="BJ153" s="2">
        <v>17.47</v>
      </c>
      <c r="BK153" s="5">
        <v>0</v>
      </c>
      <c r="BL153" s="1" t="s">
        <v>90</v>
      </c>
    </row>
    <row r="154" spans="1:64" x14ac:dyDescent="0.3">
      <c r="A154" t="s">
        <v>506</v>
      </c>
      <c r="B154" s="1" t="s">
        <v>506</v>
      </c>
      <c r="C154" s="9" t="s">
        <v>507</v>
      </c>
      <c r="D154" s="1" t="s">
        <v>42</v>
      </c>
      <c r="E154" s="1" t="s">
        <v>88</v>
      </c>
      <c r="F154" s="10" t="s">
        <v>472</v>
      </c>
      <c r="G154" s="1">
        <v>3.5000000000000003E-2</v>
      </c>
      <c r="H154" s="1">
        <v>0.02</v>
      </c>
      <c r="I154" s="8">
        <v>45160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911982.85</v>
      </c>
      <c r="AJ154" s="2">
        <v>193567.93</v>
      </c>
      <c r="AK154" s="2">
        <v>16285.41</v>
      </c>
      <c r="AL154" s="2">
        <v>3456.57</v>
      </c>
      <c r="AM154" s="5">
        <v>9870.99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33166.53</v>
      </c>
      <c r="AT154" s="12">
        <v>29612.97</v>
      </c>
      <c r="AU154" s="2">
        <v>592.26</v>
      </c>
      <c r="AV154" s="5">
        <v>0</v>
      </c>
      <c r="AX154" s="2">
        <v>911982.85</v>
      </c>
      <c r="AY154" s="2">
        <v>193567.93</v>
      </c>
      <c r="AZ154" s="2">
        <v>16285.41</v>
      </c>
      <c r="BA154" s="2">
        <v>3456.57</v>
      </c>
      <c r="BB154" s="5">
        <v>9870.99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33166.53</v>
      </c>
      <c r="BI154" s="12">
        <v>29612.97</v>
      </c>
      <c r="BJ154" s="2">
        <v>592.26</v>
      </c>
      <c r="BK154" s="5">
        <v>0</v>
      </c>
      <c r="BL154" s="1" t="s">
        <v>90</v>
      </c>
    </row>
    <row r="155" spans="1:64" x14ac:dyDescent="0.3">
      <c r="A155" t="s">
        <v>506</v>
      </c>
      <c r="B155" s="1" t="s">
        <v>508</v>
      </c>
      <c r="C155" s="9" t="s">
        <v>509</v>
      </c>
      <c r="D155" s="1" t="s">
        <v>42</v>
      </c>
      <c r="E155" s="1" t="s">
        <v>88</v>
      </c>
      <c r="F155" s="10" t="s">
        <v>472</v>
      </c>
      <c r="G155" s="1">
        <v>0</v>
      </c>
      <c r="H155" s="1">
        <v>0.02</v>
      </c>
      <c r="I155" s="8">
        <v>45160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-1677</v>
      </c>
      <c r="AJ155" s="2">
        <v>15446</v>
      </c>
      <c r="AK155" s="2">
        <v>-29.95</v>
      </c>
      <c r="AL155" s="2">
        <v>275.82</v>
      </c>
      <c r="AM155" s="5">
        <v>122.94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413.07</v>
      </c>
      <c r="AT155" s="12">
        <v>368.81</v>
      </c>
      <c r="AU155" s="2">
        <v>7.38</v>
      </c>
      <c r="AV155" s="5">
        <v>0</v>
      </c>
      <c r="AX155" s="2">
        <v>-1677</v>
      </c>
      <c r="AY155" s="2">
        <v>15446</v>
      </c>
      <c r="AZ155" s="2">
        <v>-29.95</v>
      </c>
      <c r="BA155" s="2">
        <v>275.82</v>
      </c>
      <c r="BB155" s="5">
        <v>122.94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413.07</v>
      </c>
      <c r="BI155" s="12">
        <v>368.81</v>
      </c>
      <c r="BJ155" s="2">
        <v>7.38</v>
      </c>
      <c r="BK155" s="5">
        <v>0</v>
      </c>
      <c r="BL155" s="1" t="s">
        <v>90</v>
      </c>
    </row>
    <row r="156" spans="1:64" x14ac:dyDescent="0.3">
      <c r="A156" t="s">
        <v>559</v>
      </c>
      <c r="B156" s="1" t="s">
        <v>559</v>
      </c>
      <c r="C156" s="9" t="s">
        <v>560</v>
      </c>
      <c r="D156" s="1" t="s">
        <v>42</v>
      </c>
      <c r="E156" s="1" t="s">
        <v>88</v>
      </c>
      <c r="F156" s="10" t="s">
        <v>472</v>
      </c>
      <c r="G156" s="1">
        <v>2.5000000000000001E-2</v>
      </c>
      <c r="H156" s="1">
        <v>0.02</v>
      </c>
      <c r="I156" s="8">
        <v>44093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564639.93999999994</v>
      </c>
      <c r="AJ156" s="2">
        <v>215688.66</v>
      </c>
      <c r="AK156" s="2">
        <v>10082.86</v>
      </c>
      <c r="AL156" s="2">
        <v>3851.58</v>
      </c>
      <c r="AM156" s="5">
        <v>6967.22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23409.86</v>
      </c>
      <c r="AT156" s="12">
        <v>20901.66</v>
      </c>
      <c r="AU156" s="2">
        <v>418.03</v>
      </c>
      <c r="AV156" s="5">
        <v>0</v>
      </c>
      <c r="AX156" s="2">
        <v>564639.93999999994</v>
      </c>
      <c r="AY156" s="2">
        <v>215688.66</v>
      </c>
      <c r="AZ156" s="2">
        <v>10082.86</v>
      </c>
      <c r="BA156" s="2">
        <v>3851.58</v>
      </c>
      <c r="BB156" s="5">
        <v>6967.22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23409.86</v>
      </c>
      <c r="BI156" s="12">
        <v>20901.66</v>
      </c>
      <c r="BJ156" s="2">
        <v>418.03</v>
      </c>
      <c r="BK156" s="5">
        <v>0</v>
      </c>
      <c r="BL156" s="1" t="s">
        <v>90</v>
      </c>
    </row>
    <row r="157" spans="1:64" x14ac:dyDescent="0.3">
      <c r="A157" t="s">
        <v>559</v>
      </c>
      <c r="B157" s="1" t="s">
        <v>561</v>
      </c>
      <c r="C157" s="9" t="s">
        <v>562</v>
      </c>
      <c r="D157" s="1" t="s">
        <v>42</v>
      </c>
      <c r="E157" s="1" t="s">
        <v>88</v>
      </c>
      <c r="F157" s="10" t="s">
        <v>472</v>
      </c>
      <c r="G157" s="1">
        <v>2.5000000000000001E-2</v>
      </c>
      <c r="H157" s="1">
        <v>0.02</v>
      </c>
      <c r="I157" s="8">
        <v>44093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44473</v>
      </c>
      <c r="AJ157" s="2">
        <v>49647</v>
      </c>
      <c r="AK157" s="2">
        <v>794.16</v>
      </c>
      <c r="AL157" s="2">
        <v>886.55</v>
      </c>
      <c r="AM157" s="5">
        <v>840.36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2823.6</v>
      </c>
      <c r="AT157" s="12">
        <v>2521.0700000000002</v>
      </c>
      <c r="AU157" s="2">
        <v>50.42</v>
      </c>
      <c r="AV157" s="5">
        <v>0</v>
      </c>
      <c r="AX157" s="2">
        <v>44473</v>
      </c>
      <c r="AY157" s="2">
        <v>49647</v>
      </c>
      <c r="AZ157" s="2">
        <v>794.16</v>
      </c>
      <c r="BA157" s="2">
        <v>886.55</v>
      </c>
      <c r="BB157" s="5">
        <v>840.36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2823.6</v>
      </c>
      <c r="BI157" s="12">
        <v>2521.0700000000002</v>
      </c>
      <c r="BJ157" s="2">
        <v>50.42</v>
      </c>
      <c r="BK157" s="5">
        <v>0</v>
      </c>
      <c r="BL157" s="1" t="s">
        <v>90</v>
      </c>
    </row>
    <row r="158" spans="1:64" x14ac:dyDescent="0.3">
      <c r="A158" t="s">
        <v>559</v>
      </c>
      <c r="B158" s="1" t="s">
        <v>563</v>
      </c>
      <c r="C158" s="9" t="s">
        <v>564</v>
      </c>
      <c r="D158" s="1" t="s">
        <v>42</v>
      </c>
      <c r="E158" s="1" t="s">
        <v>88</v>
      </c>
      <c r="F158" s="10" t="s">
        <v>472</v>
      </c>
      <c r="G158" s="1">
        <v>0</v>
      </c>
      <c r="H158" s="1">
        <v>0.02</v>
      </c>
      <c r="I158" s="8">
        <v>44093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-5410</v>
      </c>
      <c r="AJ158" s="2">
        <v>31247</v>
      </c>
      <c r="AK158" s="2">
        <v>-96.61</v>
      </c>
      <c r="AL158" s="2">
        <v>557.98</v>
      </c>
      <c r="AM158" s="5">
        <v>230.69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775.11</v>
      </c>
      <c r="AT158" s="12">
        <v>692.06</v>
      </c>
      <c r="AU158" s="2">
        <v>13.84</v>
      </c>
      <c r="AV158" s="5">
        <v>0</v>
      </c>
      <c r="AX158" s="2">
        <v>-5410</v>
      </c>
      <c r="AY158" s="2">
        <v>31247</v>
      </c>
      <c r="AZ158" s="2">
        <v>-96.61</v>
      </c>
      <c r="BA158" s="2">
        <v>557.98</v>
      </c>
      <c r="BB158" s="5">
        <v>230.69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775.11</v>
      </c>
      <c r="BI158" s="12">
        <v>692.06</v>
      </c>
      <c r="BJ158" s="2">
        <v>13.84</v>
      </c>
      <c r="BK158" s="5">
        <v>0</v>
      </c>
      <c r="BL158" s="1" t="s">
        <v>90</v>
      </c>
    </row>
    <row r="159" spans="1:64" x14ac:dyDescent="0.3">
      <c r="A159" t="s">
        <v>559</v>
      </c>
      <c r="B159" s="1" t="s">
        <v>565</v>
      </c>
      <c r="C159" s="9" t="s">
        <v>566</v>
      </c>
      <c r="D159" s="1" t="s">
        <v>42</v>
      </c>
      <c r="E159" s="1" t="s">
        <v>88</v>
      </c>
      <c r="F159" s="10" t="s">
        <v>472</v>
      </c>
      <c r="G159" s="1">
        <v>0</v>
      </c>
      <c r="H159" s="1">
        <v>0.02</v>
      </c>
      <c r="I159" s="8">
        <v>44093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-2497</v>
      </c>
      <c r="AJ159" s="2">
        <v>19059</v>
      </c>
      <c r="AK159" s="2">
        <v>-44.59</v>
      </c>
      <c r="AL159" s="2">
        <v>340.34</v>
      </c>
      <c r="AM159" s="5">
        <v>147.88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496.87</v>
      </c>
      <c r="AT159" s="12">
        <v>443.63</v>
      </c>
      <c r="AU159" s="2">
        <v>8.8699999999999992</v>
      </c>
      <c r="AV159" s="5">
        <v>0</v>
      </c>
      <c r="AX159" s="2">
        <v>-2497</v>
      </c>
      <c r="AY159" s="2">
        <v>19059</v>
      </c>
      <c r="AZ159" s="2">
        <v>-44.59</v>
      </c>
      <c r="BA159" s="2">
        <v>340.34</v>
      </c>
      <c r="BB159" s="5">
        <v>147.88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496.87</v>
      </c>
      <c r="BI159" s="12">
        <v>443.63</v>
      </c>
      <c r="BJ159" s="2">
        <v>8.8699999999999992</v>
      </c>
      <c r="BK159" s="5">
        <v>0</v>
      </c>
      <c r="BL159" s="1" t="s">
        <v>90</v>
      </c>
    </row>
    <row r="160" spans="1:64" x14ac:dyDescent="0.3">
      <c r="A160" t="s">
        <v>577</v>
      </c>
      <c r="B160" s="1" t="s">
        <v>577</v>
      </c>
      <c r="C160" s="9" t="s">
        <v>578</v>
      </c>
      <c r="D160" s="1" t="s">
        <v>42</v>
      </c>
      <c r="E160" s="1" t="s">
        <v>88</v>
      </c>
      <c r="F160" s="10" t="s">
        <v>267</v>
      </c>
      <c r="G160" s="1">
        <v>2.5000000000000001E-2</v>
      </c>
      <c r="H160" s="1">
        <v>0.02</v>
      </c>
      <c r="I160" s="8">
        <v>44374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617259.44999999995</v>
      </c>
      <c r="AJ160" s="2">
        <v>164739</v>
      </c>
      <c r="AK160" s="2">
        <v>11022.49</v>
      </c>
      <c r="AL160" s="2">
        <v>2941.77</v>
      </c>
      <c r="AM160" s="5">
        <v>6982.12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23459.95</v>
      </c>
      <c r="AT160" s="12">
        <v>20946.38</v>
      </c>
      <c r="AU160" s="2">
        <v>418.93</v>
      </c>
      <c r="AV160" s="5">
        <v>0</v>
      </c>
      <c r="AX160" s="2">
        <v>617259.44999999995</v>
      </c>
      <c r="AY160" s="2">
        <v>164739</v>
      </c>
      <c r="AZ160" s="2">
        <v>11022.49</v>
      </c>
      <c r="BA160" s="2">
        <v>2941.77</v>
      </c>
      <c r="BB160" s="5">
        <v>6982.12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23459.95</v>
      </c>
      <c r="BI160" s="12">
        <v>20946.38</v>
      </c>
      <c r="BJ160" s="2">
        <v>418.93</v>
      </c>
      <c r="BK160" s="5">
        <v>0</v>
      </c>
      <c r="BL160" s="1" t="s">
        <v>90</v>
      </c>
    </row>
    <row r="161" spans="1:64" x14ac:dyDescent="0.3">
      <c r="A161" t="s">
        <v>577</v>
      </c>
      <c r="B161" s="1" t="s">
        <v>579</v>
      </c>
      <c r="C161" s="9" t="s">
        <v>580</v>
      </c>
      <c r="D161" s="1" t="s">
        <v>42</v>
      </c>
      <c r="E161" s="1" t="s">
        <v>88</v>
      </c>
      <c r="F161" s="10" t="s">
        <v>267</v>
      </c>
      <c r="G161" s="1">
        <v>0</v>
      </c>
      <c r="H161" s="1">
        <v>0.02</v>
      </c>
      <c r="I161" s="8">
        <v>44374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201304</v>
      </c>
      <c r="AJ161" s="2">
        <v>40007</v>
      </c>
      <c r="AK161" s="2">
        <v>3594.71</v>
      </c>
      <c r="AL161" s="2">
        <v>714.41</v>
      </c>
      <c r="AM161" s="5">
        <v>2154.56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7239.32</v>
      </c>
      <c r="AT161" s="12">
        <v>6463.68</v>
      </c>
      <c r="AU161" s="2">
        <v>129.27000000000001</v>
      </c>
      <c r="AV161" s="5">
        <v>0</v>
      </c>
      <c r="AX161" s="2">
        <v>201304</v>
      </c>
      <c r="AY161" s="2">
        <v>40007</v>
      </c>
      <c r="AZ161" s="2">
        <v>3594.71</v>
      </c>
      <c r="BA161" s="2">
        <v>714.41</v>
      </c>
      <c r="BB161" s="5">
        <v>2154.56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7239.32</v>
      </c>
      <c r="BI161" s="12">
        <v>6463.68</v>
      </c>
      <c r="BJ161" s="2">
        <v>129.27000000000001</v>
      </c>
      <c r="BK161" s="5">
        <v>0</v>
      </c>
      <c r="BL161" s="1" t="s">
        <v>90</v>
      </c>
    </row>
    <row r="162" spans="1:64" x14ac:dyDescent="0.3">
      <c r="A162" t="s">
        <v>594</v>
      </c>
      <c r="B162" s="1" t="s">
        <v>594</v>
      </c>
      <c r="C162" s="9" t="s">
        <v>595</v>
      </c>
      <c r="D162" s="1" t="s">
        <v>42</v>
      </c>
      <c r="E162" s="1" t="s">
        <v>88</v>
      </c>
      <c r="F162" s="10" t="s">
        <v>472</v>
      </c>
      <c r="G162" s="1">
        <v>3.5000000000000003E-2</v>
      </c>
      <c r="H162" s="1">
        <v>0.02</v>
      </c>
      <c r="I162" s="8">
        <v>44693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477876.16000000003</v>
      </c>
      <c r="AJ162" s="2">
        <v>122285.26000000001</v>
      </c>
      <c r="AK162" s="2">
        <v>8533.5</v>
      </c>
      <c r="AL162" s="2">
        <v>2183.67</v>
      </c>
      <c r="AM162" s="5">
        <v>5358.58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18004.84</v>
      </c>
      <c r="AT162" s="12">
        <v>16075.75</v>
      </c>
      <c r="AU162" s="2">
        <v>321.52</v>
      </c>
      <c r="AV162" s="5">
        <v>0</v>
      </c>
      <c r="AX162" s="2">
        <v>477876.16000000003</v>
      </c>
      <c r="AY162" s="2">
        <v>122285.26000000001</v>
      </c>
      <c r="AZ162" s="2">
        <v>8533.5</v>
      </c>
      <c r="BA162" s="2">
        <v>2183.67</v>
      </c>
      <c r="BB162" s="5">
        <v>5358.58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18004.84</v>
      </c>
      <c r="BI162" s="12">
        <v>16075.75</v>
      </c>
      <c r="BJ162" s="2">
        <v>321.52</v>
      </c>
      <c r="BK162" s="5">
        <v>0</v>
      </c>
      <c r="BL162" s="1" t="s">
        <v>90</v>
      </c>
    </row>
    <row r="163" spans="1:64" x14ac:dyDescent="0.3">
      <c r="A163" t="s">
        <v>594</v>
      </c>
      <c r="B163" s="1" t="s">
        <v>596</v>
      </c>
      <c r="C163" s="9" t="s">
        <v>597</v>
      </c>
      <c r="D163" s="1" t="s">
        <v>42</v>
      </c>
      <c r="E163" s="1" t="s">
        <v>88</v>
      </c>
      <c r="F163" s="10" t="s">
        <v>472</v>
      </c>
      <c r="G163" s="1">
        <v>0</v>
      </c>
      <c r="H163" s="1">
        <v>0.02</v>
      </c>
      <c r="I163" s="8">
        <v>44693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47126</v>
      </c>
      <c r="AJ163" s="2">
        <v>37257</v>
      </c>
      <c r="AK163" s="2">
        <v>841.54</v>
      </c>
      <c r="AL163" s="2">
        <v>665.3</v>
      </c>
      <c r="AM163" s="5">
        <v>753.42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2531.4899999999998</v>
      </c>
      <c r="AT163" s="12">
        <v>2260.2599999999998</v>
      </c>
      <c r="AU163" s="2">
        <v>45.21</v>
      </c>
      <c r="AV163" s="5">
        <v>0</v>
      </c>
      <c r="AX163" s="2">
        <v>47126</v>
      </c>
      <c r="AY163" s="2">
        <v>37257</v>
      </c>
      <c r="AZ163" s="2">
        <v>841.54</v>
      </c>
      <c r="BA163" s="2">
        <v>665.3</v>
      </c>
      <c r="BB163" s="5">
        <v>753.42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2531.4899999999998</v>
      </c>
      <c r="BI163" s="12">
        <v>2260.2599999999998</v>
      </c>
      <c r="BJ163" s="2">
        <v>45.21</v>
      </c>
      <c r="BK163" s="5">
        <v>0</v>
      </c>
      <c r="BL163" s="1" t="s">
        <v>90</v>
      </c>
    </row>
    <row r="164" spans="1:64" x14ac:dyDescent="0.3">
      <c r="A164" t="s">
        <v>598</v>
      </c>
      <c r="B164" s="1" t="s">
        <v>598</v>
      </c>
      <c r="C164" s="9" t="s">
        <v>599</v>
      </c>
      <c r="D164" s="1" t="s">
        <v>42</v>
      </c>
      <c r="E164" s="1" t="s">
        <v>88</v>
      </c>
      <c r="F164" s="10" t="s">
        <v>267</v>
      </c>
      <c r="G164" s="1">
        <v>3.5000000000000003E-2</v>
      </c>
      <c r="H164" s="1">
        <v>0.02</v>
      </c>
      <c r="I164" s="8">
        <v>44774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899920.73</v>
      </c>
      <c r="AJ164" s="2">
        <v>305308.46999999997</v>
      </c>
      <c r="AK164" s="2">
        <v>16070.01</v>
      </c>
      <c r="AL164" s="2">
        <v>5451.94</v>
      </c>
      <c r="AM164" s="5">
        <v>10760.97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36156.870000000003</v>
      </c>
      <c r="AT164" s="12">
        <v>32282.92</v>
      </c>
      <c r="AU164" s="2">
        <v>645.66</v>
      </c>
      <c r="AV164" s="5">
        <v>0</v>
      </c>
      <c r="AX164" s="2">
        <v>899920.73</v>
      </c>
      <c r="AY164" s="2">
        <v>305308.46999999997</v>
      </c>
      <c r="AZ164" s="2">
        <v>16070.01</v>
      </c>
      <c r="BA164" s="2">
        <v>5451.94</v>
      </c>
      <c r="BB164" s="5">
        <v>10760.97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36156.870000000003</v>
      </c>
      <c r="BI164" s="12">
        <v>32282.92</v>
      </c>
      <c r="BJ164" s="2">
        <v>645.66</v>
      </c>
      <c r="BK164" s="5">
        <v>0</v>
      </c>
      <c r="BL164" s="1" t="s">
        <v>90</v>
      </c>
    </row>
    <row r="165" spans="1:64" x14ac:dyDescent="0.3">
      <c r="A165" t="s">
        <v>598</v>
      </c>
      <c r="B165" s="1" t="s">
        <v>600</v>
      </c>
      <c r="C165" s="9" t="s">
        <v>601</v>
      </c>
      <c r="D165" s="1" t="s">
        <v>42</v>
      </c>
      <c r="E165" s="1" t="s">
        <v>88</v>
      </c>
      <c r="F165" s="10" t="s">
        <v>267</v>
      </c>
      <c r="G165" s="1">
        <v>0</v>
      </c>
      <c r="H165" s="1">
        <v>0.02</v>
      </c>
      <c r="I165" s="8">
        <v>44774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124407</v>
      </c>
      <c r="AJ165" s="2">
        <v>64351</v>
      </c>
      <c r="AK165" s="2">
        <v>2221.5500000000002</v>
      </c>
      <c r="AL165" s="2">
        <v>1149.1199999999999</v>
      </c>
      <c r="AM165" s="5">
        <v>1685.34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5662.73</v>
      </c>
      <c r="AT165" s="12">
        <v>5056.01</v>
      </c>
      <c r="AU165" s="2">
        <v>101.12</v>
      </c>
      <c r="AV165" s="5">
        <v>0</v>
      </c>
      <c r="AX165" s="2">
        <v>124407</v>
      </c>
      <c r="AY165" s="2">
        <v>64351</v>
      </c>
      <c r="AZ165" s="2">
        <v>2221.5500000000002</v>
      </c>
      <c r="BA165" s="2">
        <v>1149.1199999999999</v>
      </c>
      <c r="BB165" s="5">
        <v>1685.34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5662.73</v>
      </c>
      <c r="BI165" s="12">
        <v>5056.01</v>
      </c>
      <c r="BJ165" s="2">
        <v>101.12</v>
      </c>
      <c r="BK165" s="5">
        <v>0</v>
      </c>
      <c r="BL165" s="1" t="s">
        <v>90</v>
      </c>
    </row>
    <row r="166" spans="1:64" x14ac:dyDescent="0.3">
      <c r="A166" t="s">
        <v>622</v>
      </c>
      <c r="B166" s="1" t="s">
        <v>622</v>
      </c>
      <c r="C166" s="9" t="s">
        <v>623</v>
      </c>
      <c r="D166" s="1" t="s">
        <v>42</v>
      </c>
      <c r="E166" s="1" t="s">
        <v>88</v>
      </c>
      <c r="F166" s="10" t="s">
        <v>472</v>
      </c>
      <c r="G166" s="1">
        <v>2.5000000000000001E-2</v>
      </c>
      <c r="H166" s="1">
        <v>0.02</v>
      </c>
      <c r="I166" s="8">
        <v>44415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1096089.31</v>
      </c>
      <c r="AJ166" s="2">
        <v>152914.49</v>
      </c>
      <c r="AK166" s="2">
        <v>19573.03</v>
      </c>
      <c r="AL166" s="2">
        <v>2730.62</v>
      </c>
      <c r="AM166" s="5">
        <v>11151.82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37470.129999999997</v>
      </c>
      <c r="AT166" s="12">
        <v>33455.47</v>
      </c>
      <c r="AU166" s="2">
        <v>669.11</v>
      </c>
      <c r="AV166" s="5">
        <v>0</v>
      </c>
      <c r="AX166" s="2">
        <v>1096089.31</v>
      </c>
      <c r="AY166" s="2">
        <v>152914.49</v>
      </c>
      <c r="AZ166" s="2">
        <v>19573.03</v>
      </c>
      <c r="BA166" s="2">
        <v>2730.62</v>
      </c>
      <c r="BB166" s="5">
        <v>11151.82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37470.129999999997</v>
      </c>
      <c r="BI166" s="12">
        <v>33455.47</v>
      </c>
      <c r="BJ166" s="2">
        <v>669.11</v>
      </c>
      <c r="BK166" s="5">
        <v>0</v>
      </c>
      <c r="BL166" s="1" t="s">
        <v>90</v>
      </c>
    </row>
    <row r="167" spans="1:64" x14ac:dyDescent="0.3">
      <c r="A167" t="s">
        <v>658</v>
      </c>
      <c r="B167" s="1" t="s">
        <v>658</v>
      </c>
      <c r="C167" s="9" t="s">
        <v>659</v>
      </c>
      <c r="D167" s="1" t="s">
        <v>42</v>
      </c>
      <c r="E167" s="1" t="s">
        <v>88</v>
      </c>
      <c r="F167" s="10" t="s">
        <v>267</v>
      </c>
      <c r="G167" s="1">
        <v>0</v>
      </c>
      <c r="H167" s="1">
        <v>0.02</v>
      </c>
      <c r="I167" s="8">
        <v>45171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365222</v>
      </c>
      <c r="AJ167" s="2">
        <v>76407</v>
      </c>
      <c r="AK167" s="2">
        <v>6521.82</v>
      </c>
      <c r="AL167" s="2">
        <v>1364.41</v>
      </c>
      <c r="AM167" s="5">
        <v>3943.12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13248.87</v>
      </c>
      <c r="AT167" s="12">
        <v>11829.349999999999</v>
      </c>
      <c r="AU167" s="2">
        <v>236.59</v>
      </c>
      <c r="AV167" s="5">
        <v>0</v>
      </c>
      <c r="AX167" s="2">
        <v>365222</v>
      </c>
      <c r="AY167" s="2">
        <v>76407</v>
      </c>
      <c r="AZ167" s="2">
        <v>6521.82</v>
      </c>
      <c r="BA167" s="2">
        <v>1364.41</v>
      </c>
      <c r="BB167" s="5">
        <v>3943.12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13248.87</v>
      </c>
      <c r="BI167" s="12">
        <v>11829.349999999999</v>
      </c>
      <c r="BJ167" s="2">
        <v>236.59</v>
      </c>
      <c r="BK167" s="5">
        <v>0</v>
      </c>
      <c r="BL167" s="1" t="s">
        <v>90</v>
      </c>
    </row>
    <row r="168" spans="1:64" x14ac:dyDescent="0.3">
      <c r="A168" t="s">
        <v>658</v>
      </c>
      <c r="B168" s="1" t="s">
        <v>660</v>
      </c>
      <c r="C168" s="9" t="s">
        <v>661</v>
      </c>
      <c r="D168" s="1" t="s">
        <v>42</v>
      </c>
      <c r="E168" s="1" t="s">
        <v>88</v>
      </c>
      <c r="F168" s="10" t="s">
        <v>267</v>
      </c>
      <c r="G168" s="1">
        <v>0</v>
      </c>
      <c r="H168" s="1">
        <v>0.02</v>
      </c>
      <c r="I168" s="8">
        <v>45171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-26935</v>
      </c>
      <c r="AJ168" s="2">
        <v>13741</v>
      </c>
      <c r="AK168" s="2">
        <v>-480.98</v>
      </c>
      <c r="AL168" s="2">
        <v>245.37</v>
      </c>
      <c r="AM168" s="5">
        <v>-117.8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-395.82</v>
      </c>
      <c r="AT168" s="12">
        <v>-353.41</v>
      </c>
      <c r="AU168" s="2">
        <v>-7.07</v>
      </c>
      <c r="AV168" s="5">
        <v>0</v>
      </c>
      <c r="AX168" s="2">
        <v>-26935</v>
      </c>
      <c r="AY168" s="2">
        <v>13741</v>
      </c>
      <c r="AZ168" s="2">
        <v>-480.98</v>
      </c>
      <c r="BA168" s="2">
        <v>245.37</v>
      </c>
      <c r="BB168" s="5">
        <v>-117.8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-395.82</v>
      </c>
      <c r="BI168" s="12">
        <v>-353.41</v>
      </c>
      <c r="BJ168" s="2">
        <v>-7.07</v>
      </c>
      <c r="BK168" s="5">
        <v>0</v>
      </c>
      <c r="BL168" s="1" t="s">
        <v>90</v>
      </c>
    </row>
    <row r="169" spans="1:64" x14ac:dyDescent="0.3">
      <c r="A169" t="s">
        <v>667</v>
      </c>
      <c r="B169" s="1" t="s">
        <v>667</v>
      </c>
      <c r="C169" s="9" t="s">
        <v>668</v>
      </c>
      <c r="D169" s="1" t="s">
        <v>42</v>
      </c>
      <c r="E169" s="1" t="s">
        <v>88</v>
      </c>
      <c r="F169" s="10" t="s">
        <v>472</v>
      </c>
      <c r="G169" s="1">
        <v>0</v>
      </c>
      <c r="H169" s="1">
        <v>0.02</v>
      </c>
      <c r="I169" s="8">
        <v>45501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827989.96</v>
      </c>
      <c r="AJ169" s="2">
        <v>195805</v>
      </c>
      <c r="AK169" s="2">
        <v>14785.54</v>
      </c>
      <c r="AL169" s="2">
        <v>3496.52</v>
      </c>
      <c r="AM169" s="5">
        <v>9141.0300000000007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30713.86</v>
      </c>
      <c r="AT169" s="12">
        <v>27423.090000000004</v>
      </c>
      <c r="AU169" s="2">
        <v>548.46</v>
      </c>
      <c r="AV169" s="5">
        <v>0</v>
      </c>
      <c r="AX169" s="2">
        <v>827989.96</v>
      </c>
      <c r="AY169" s="2">
        <v>195805</v>
      </c>
      <c r="AZ169" s="2">
        <v>14785.54</v>
      </c>
      <c r="BA169" s="2">
        <v>3496.52</v>
      </c>
      <c r="BB169" s="5">
        <v>9141.0300000000007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30713.86</v>
      </c>
      <c r="BI169" s="12">
        <v>27423.090000000004</v>
      </c>
      <c r="BJ169" s="2">
        <v>548.46</v>
      </c>
      <c r="BK169" s="5">
        <v>0</v>
      </c>
      <c r="BL169" s="1" t="s">
        <v>90</v>
      </c>
    </row>
    <row r="170" spans="1:64" x14ac:dyDescent="0.3">
      <c r="A170" t="s">
        <v>763</v>
      </c>
      <c r="B170" s="1" t="s">
        <v>763</v>
      </c>
      <c r="C170" s="9" t="s">
        <v>764</v>
      </c>
      <c r="D170" s="1" t="s">
        <v>42</v>
      </c>
      <c r="E170" s="1" t="s">
        <v>88</v>
      </c>
      <c r="F170" s="10" t="s">
        <v>472</v>
      </c>
      <c r="G170" s="1">
        <v>0</v>
      </c>
      <c r="H170" s="1">
        <v>0.02</v>
      </c>
      <c r="I170" s="8">
        <v>44612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766496.94</v>
      </c>
      <c r="AJ170" s="2">
        <v>165975.53</v>
      </c>
      <c r="AK170" s="2">
        <v>13687.45</v>
      </c>
      <c r="AL170" s="2">
        <v>2963.85</v>
      </c>
      <c r="AM170" s="5">
        <v>8325.64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27974.17</v>
      </c>
      <c r="AT170" s="12">
        <v>24976.94</v>
      </c>
      <c r="AU170" s="2">
        <v>499.54</v>
      </c>
      <c r="AV170" s="5">
        <v>0</v>
      </c>
      <c r="AX170" s="2">
        <v>766496.94</v>
      </c>
      <c r="AY170" s="2">
        <v>165975.53</v>
      </c>
      <c r="AZ170" s="2">
        <v>13687.45</v>
      </c>
      <c r="BA170" s="2">
        <v>2963.85</v>
      </c>
      <c r="BB170" s="5">
        <v>8325.64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27974.17</v>
      </c>
      <c r="BI170" s="12">
        <v>24976.94</v>
      </c>
      <c r="BJ170" s="2">
        <v>499.54</v>
      </c>
      <c r="BK170" s="5">
        <v>0</v>
      </c>
      <c r="BL170" s="1" t="s">
        <v>90</v>
      </c>
    </row>
    <row r="171" spans="1:64" x14ac:dyDescent="0.3">
      <c r="A171" t="s">
        <v>773</v>
      </c>
      <c r="B171" s="1" t="s">
        <v>773</v>
      </c>
      <c r="C171" s="9" t="s">
        <v>774</v>
      </c>
      <c r="D171" s="1" t="s">
        <v>42</v>
      </c>
      <c r="E171" s="1" t="s">
        <v>88</v>
      </c>
      <c r="F171" s="10" t="s">
        <v>267</v>
      </c>
      <c r="G171" s="1">
        <v>0</v>
      </c>
      <c r="H171" s="1">
        <v>0.02</v>
      </c>
      <c r="I171" s="8">
        <v>44768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768892.05</v>
      </c>
      <c r="AJ171" s="2">
        <v>143527</v>
      </c>
      <c r="AK171" s="2">
        <v>13730.21</v>
      </c>
      <c r="AL171" s="2">
        <v>2562.98</v>
      </c>
      <c r="AM171" s="5">
        <v>8146.6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27372.560000000001</v>
      </c>
      <c r="AT171" s="12">
        <v>24439.79</v>
      </c>
      <c r="AU171" s="2">
        <v>488.8</v>
      </c>
      <c r="AV171" s="5">
        <v>0</v>
      </c>
      <c r="AX171" s="2">
        <v>768892.05</v>
      </c>
      <c r="AY171" s="2">
        <v>143527</v>
      </c>
      <c r="AZ171" s="2">
        <v>13730.21</v>
      </c>
      <c r="BA171" s="2">
        <v>2562.98</v>
      </c>
      <c r="BB171" s="5">
        <v>8146.6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27372.560000000001</v>
      </c>
      <c r="BI171" s="12">
        <v>24439.79</v>
      </c>
      <c r="BJ171" s="2">
        <v>488.8</v>
      </c>
      <c r="BK171" s="5">
        <v>0</v>
      </c>
      <c r="BL171" s="1" t="s">
        <v>90</v>
      </c>
    </row>
    <row r="172" spans="1:64" x14ac:dyDescent="0.3">
      <c r="A172" t="s">
        <v>773</v>
      </c>
      <c r="B172" s="1" t="s">
        <v>775</v>
      </c>
      <c r="C172" s="9" t="s">
        <v>776</v>
      </c>
      <c r="D172" s="1" t="s">
        <v>42</v>
      </c>
      <c r="E172" s="1" t="s">
        <v>88</v>
      </c>
      <c r="F172" s="10" t="s">
        <v>267</v>
      </c>
      <c r="G172" s="1">
        <v>0</v>
      </c>
      <c r="H172" s="1">
        <v>0.02</v>
      </c>
      <c r="I172" s="8">
        <v>45377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417973</v>
      </c>
      <c r="AJ172" s="2">
        <v>53576</v>
      </c>
      <c r="AK172" s="2">
        <v>7463.8</v>
      </c>
      <c r="AL172" s="2">
        <v>956.71</v>
      </c>
      <c r="AM172" s="5">
        <v>4210.26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14146.46</v>
      </c>
      <c r="AT172" s="12">
        <v>12630.77</v>
      </c>
      <c r="AU172" s="2">
        <v>252.62</v>
      </c>
      <c r="AV172" s="5">
        <v>0</v>
      </c>
      <c r="AX172" s="2">
        <v>417973</v>
      </c>
      <c r="AY172" s="2">
        <v>53576</v>
      </c>
      <c r="AZ172" s="2">
        <v>7463.8</v>
      </c>
      <c r="BA172" s="2">
        <v>956.71</v>
      </c>
      <c r="BB172" s="5">
        <v>4210.26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14146.46</v>
      </c>
      <c r="BI172" s="12">
        <v>12630.77</v>
      </c>
      <c r="BJ172" s="2">
        <v>252.62</v>
      </c>
      <c r="BK172" s="5">
        <v>0</v>
      </c>
      <c r="BL172" s="1" t="s">
        <v>90</v>
      </c>
    </row>
    <row r="173" spans="1:64" x14ac:dyDescent="0.3">
      <c r="A173" t="s">
        <v>787</v>
      </c>
      <c r="B173" s="1" t="s">
        <v>787</v>
      </c>
      <c r="C173" s="9" t="s">
        <v>788</v>
      </c>
      <c r="D173" s="1" t="s">
        <v>42</v>
      </c>
      <c r="E173" s="1" t="s">
        <v>88</v>
      </c>
      <c r="F173" s="10" t="s">
        <v>267</v>
      </c>
      <c r="G173" s="1">
        <v>3.5000000000000003E-2</v>
      </c>
      <c r="H173" s="1">
        <v>0.02</v>
      </c>
      <c r="I173" s="8">
        <v>45003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372286.16000000003</v>
      </c>
      <c r="AJ173" s="2">
        <v>94997</v>
      </c>
      <c r="AK173" s="2">
        <v>6647.96</v>
      </c>
      <c r="AL173" s="2">
        <v>1696.38</v>
      </c>
      <c r="AM173" s="5">
        <v>4172.17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14018.49</v>
      </c>
      <c r="AT173" s="12">
        <v>12516.51</v>
      </c>
      <c r="AU173" s="2">
        <v>250.33</v>
      </c>
      <c r="AV173" s="5">
        <v>0</v>
      </c>
      <c r="AX173" s="2">
        <v>372286.16000000003</v>
      </c>
      <c r="AY173" s="2">
        <v>94997</v>
      </c>
      <c r="AZ173" s="2">
        <v>6647.96</v>
      </c>
      <c r="BA173" s="2">
        <v>1696.38</v>
      </c>
      <c r="BB173" s="5">
        <v>4172.17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14018.49</v>
      </c>
      <c r="BI173" s="12">
        <v>12516.51</v>
      </c>
      <c r="BJ173" s="2">
        <v>250.33</v>
      </c>
      <c r="BK173" s="5">
        <v>0</v>
      </c>
      <c r="BL173" s="1" t="s">
        <v>90</v>
      </c>
    </row>
    <row r="174" spans="1:64" x14ac:dyDescent="0.3">
      <c r="A174" t="s">
        <v>787</v>
      </c>
      <c r="B174" s="1" t="s">
        <v>789</v>
      </c>
      <c r="C174" s="9" t="s">
        <v>790</v>
      </c>
      <c r="D174" s="1" t="s">
        <v>42</v>
      </c>
      <c r="E174" s="1" t="s">
        <v>88</v>
      </c>
      <c r="F174" s="10" t="s">
        <v>267</v>
      </c>
      <c r="G174" s="1">
        <v>0</v>
      </c>
      <c r="H174" s="1">
        <v>0.02</v>
      </c>
      <c r="I174" s="8">
        <v>45003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41657</v>
      </c>
      <c r="AJ174" s="2">
        <v>50625</v>
      </c>
      <c r="AK174" s="2">
        <v>743.87</v>
      </c>
      <c r="AL174" s="2">
        <v>904.02</v>
      </c>
      <c r="AM174" s="5">
        <v>823.95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2768.46</v>
      </c>
      <c r="AT174" s="12">
        <v>2471.84</v>
      </c>
      <c r="AU174" s="2">
        <v>49.44</v>
      </c>
      <c r="AV174" s="5">
        <v>0</v>
      </c>
      <c r="AX174" s="2">
        <v>41657</v>
      </c>
      <c r="AY174" s="2">
        <v>50625</v>
      </c>
      <c r="AZ174" s="2">
        <v>743.87</v>
      </c>
      <c r="BA174" s="2">
        <v>904.02</v>
      </c>
      <c r="BB174" s="5">
        <v>823.95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2768.46</v>
      </c>
      <c r="BI174" s="12">
        <v>2471.84</v>
      </c>
      <c r="BJ174" s="2">
        <v>49.44</v>
      </c>
      <c r="BK174" s="5">
        <v>0</v>
      </c>
      <c r="BL174" s="1" t="s">
        <v>90</v>
      </c>
    </row>
    <row r="175" spans="1:64" x14ac:dyDescent="0.3">
      <c r="A175" t="s">
        <v>827</v>
      </c>
      <c r="B175" s="1" t="s">
        <v>827</v>
      </c>
      <c r="C175" s="9" t="s">
        <v>828</v>
      </c>
      <c r="D175" s="1" t="s">
        <v>42</v>
      </c>
      <c r="E175" s="1" t="s">
        <v>88</v>
      </c>
      <c r="F175" s="10" t="s">
        <v>472</v>
      </c>
      <c r="G175" s="1">
        <v>0</v>
      </c>
      <c r="H175" s="1">
        <v>0.02</v>
      </c>
      <c r="I175" s="8">
        <v>45051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427755.10000000003</v>
      </c>
      <c r="AJ175" s="2">
        <v>155892.25</v>
      </c>
      <c r="AK175" s="2">
        <v>7638.48</v>
      </c>
      <c r="AL175" s="2">
        <v>2783.79</v>
      </c>
      <c r="AM175" s="5">
        <v>5211.13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17509.41</v>
      </c>
      <c r="AT175" s="12">
        <v>15633.400000000001</v>
      </c>
      <c r="AU175" s="2">
        <v>312.67</v>
      </c>
      <c r="AV175" s="5">
        <v>0</v>
      </c>
      <c r="AX175" s="2">
        <v>427755.10000000003</v>
      </c>
      <c r="AY175" s="2">
        <v>155892.25</v>
      </c>
      <c r="AZ175" s="2">
        <v>7638.48</v>
      </c>
      <c r="BA175" s="2">
        <v>2783.79</v>
      </c>
      <c r="BB175" s="5">
        <v>5211.13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17509.41</v>
      </c>
      <c r="BI175" s="12">
        <v>15633.400000000001</v>
      </c>
      <c r="BJ175" s="2">
        <v>312.67</v>
      </c>
      <c r="BK175" s="5">
        <v>0</v>
      </c>
      <c r="BL175" s="1" t="s">
        <v>90</v>
      </c>
    </row>
    <row r="176" spans="1:64" x14ac:dyDescent="0.3">
      <c r="A176" t="s">
        <v>827</v>
      </c>
      <c r="B176" s="1" t="s">
        <v>829</v>
      </c>
      <c r="C176" s="9" t="s">
        <v>830</v>
      </c>
      <c r="D176" s="1" t="s">
        <v>42</v>
      </c>
      <c r="E176" s="1" t="s">
        <v>88</v>
      </c>
      <c r="F176" s="10" t="s">
        <v>472</v>
      </c>
      <c r="G176" s="1">
        <v>0</v>
      </c>
      <c r="H176" s="1">
        <v>0.02</v>
      </c>
      <c r="I176" s="8">
        <v>45051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252818</v>
      </c>
      <c r="AJ176" s="2">
        <v>121621</v>
      </c>
      <c r="AK176" s="2">
        <v>4514.6099999999997</v>
      </c>
      <c r="AL176" s="2">
        <v>2171.8000000000002</v>
      </c>
      <c r="AM176" s="5">
        <v>3343.21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11233.17</v>
      </c>
      <c r="AT176" s="12">
        <v>10029.619999999999</v>
      </c>
      <c r="AU176" s="2">
        <v>200.59</v>
      </c>
      <c r="AV176" s="5">
        <v>0</v>
      </c>
      <c r="AX176" s="2">
        <v>252818</v>
      </c>
      <c r="AY176" s="2">
        <v>121621</v>
      </c>
      <c r="AZ176" s="2">
        <v>4514.6099999999997</v>
      </c>
      <c r="BA176" s="2">
        <v>2171.8000000000002</v>
      </c>
      <c r="BB176" s="5">
        <v>3343.21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11233.17</v>
      </c>
      <c r="BI176" s="12">
        <v>10029.619999999999</v>
      </c>
      <c r="BJ176" s="2">
        <v>200.59</v>
      </c>
      <c r="BK176" s="5">
        <v>0</v>
      </c>
      <c r="BL176" s="1" t="s">
        <v>90</v>
      </c>
    </row>
    <row r="177" spans="1:64" x14ac:dyDescent="0.3">
      <c r="A177" t="s">
        <v>1009</v>
      </c>
      <c r="B177" s="1" t="s">
        <v>1010</v>
      </c>
      <c r="C177" s="9" t="s">
        <v>1011</v>
      </c>
      <c r="D177" s="1" t="s">
        <v>42</v>
      </c>
      <c r="E177" s="1" t="s">
        <v>88</v>
      </c>
      <c r="F177" s="10" t="s">
        <v>267</v>
      </c>
      <c r="G177" s="1">
        <v>0</v>
      </c>
      <c r="H177" s="1">
        <v>0.02</v>
      </c>
      <c r="I177" s="8">
        <v>44454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49081</v>
      </c>
      <c r="AJ177" s="2">
        <v>62456</v>
      </c>
      <c r="AK177" s="2">
        <v>876.45</v>
      </c>
      <c r="AL177" s="2">
        <v>1115.29</v>
      </c>
      <c r="AM177" s="5">
        <v>995.87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3346.12</v>
      </c>
      <c r="AT177" s="12">
        <v>2987.61</v>
      </c>
      <c r="AU177" s="2">
        <v>59.75</v>
      </c>
      <c r="AV177" s="5">
        <v>0</v>
      </c>
      <c r="AX177" s="2">
        <v>49081</v>
      </c>
      <c r="AY177" s="2">
        <v>62456</v>
      </c>
      <c r="AZ177" s="2">
        <v>876.45</v>
      </c>
      <c r="BA177" s="2">
        <v>1115.29</v>
      </c>
      <c r="BB177" s="5">
        <v>995.87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3346.12</v>
      </c>
      <c r="BI177" s="12">
        <v>2987.61</v>
      </c>
      <c r="BJ177" s="2">
        <v>59.75</v>
      </c>
      <c r="BK177" s="5">
        <v>0</v>
      </c>
      <c r="BL177" s="1" t="s">
        <v>90</v>
      </c>
    </row>
    <row r="178" spans="1:64" x14ac:dyDescent="0.3">
      <c r="A178" t="s">
        <v>1009</v>
      </c>
      <c r="B178" s="1" t="s">
        <v>1009</v>
      </c>
      <c r="C178" s="9" t="s">
        <v>1012</v>
      </c>
      <c r="D178" s="1" t="s">
        <v>42</v>
      </c>
      <c r="E178" s="1" t="s">
        <v>88</v>
      </c>
      <c r="F178" s="10" t="s">
        <v>267</v>
      </c>
      <c r="G178" s="1">
        <v>0</v>
      </c>
      <c r="H178" s="1">
        <v>0.02</v>
      </c>
      <c r="I178" s="8">
        <v>44454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334842.05</v>
      </c>
      <c r="AJ178" s="2">
        <v>100288</v>
      </c>
      <c r="AK178" s="2">
        <v>5979.32</v>
      </c>
      <c r="AL178" s="2">
        <v>1790.86</v>
      </c>
      <c r="AM178" s="5">
        <v>3885.09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13053.9</v>
      </c>
      <c r="AT178" s="12">
        <v>11655.27</v>
      </c>
      <c r="AU178" s="2">
        <v>233.11</v>
      </c>
      <c r="AV178" s="5">
        <v>0</v>
      </c>
      <c r="AX178" s="2">
        <v>334842.05</v>
      </c>
      <c r="AY178" s="2">
        <v>100288</v>
      </c>
      <c r="AZ178" s="2">
        <v>5979.32</v>
      </c>
      <c r="BA178" s="2">
        <v>1790.86</v>
      </c>
      <c r="BB178" s="5">
        <v>3885.09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13053.9</v>
      </c>
      <c r="BI178" s="12">
        <v>11655.27</v>
      </c>
      <c r="BJ178" s="2">
        <v>233.11</v>
      </c>
      <c r="BK178" s="5">
        <v>0</v>
      </c>
      <c r="BL178" s="1" t="s">
        <v>90</v>
      </c>
    </row>
    <row r="179" spans="1:64" x14ac:dyDescent="0.3">
      <c r="A179" t="s">
        <v>1009</v>
      </c>
      <c r="B179" s="1" t="s">
        <v>1013</v>
      </c>
      <c r="C179" s="9" t="s">
        <v>1014</v>
      </c>
      <c r="D179" s="1" t="s">
        <v>42</v>
      </c>
      <c r="E179" s="1" t="s">
        <v>88</v>
      </c>
      <c r="F179" s="10" t="s">
        <v>267</v>
      </c>
      <c r="G179" s="1">
        <v>0</v>
      </c>
      <c r="H179" s="1">
        <v>0.02</v>
      </c>
      <c r="I179" s="8">
        <v>44714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26661</v>
      </c>
      <c r="AJ179" s="2">
        <v>35173</v>
      </c>
      <c r="AK179" s="2">
        <v>476.09</v>
      </c>
      <c r="AL179" s="2">
        <v>628.09</v>
      </c>
      <c r="AM179" s="5">
        <v>552.09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1855.02</v>
      </c>
      <c r="AT179" s="12">
        <v>1656.27</v>
      </c>
      <c r="AU179" s="2">
        <v>33.130000000000003</v>
      </c>
      <c r="AV179" s="5">
        <v>0</v>
      </c>
      <c r="AX179" s="2">
        <v>26661</v>
      </c>
      <c r="AY179" s="2">
        <v>35173</v>
      </c>
      <c r="AZ179" s="2">
        <v>476.09</v>
      </c>
      <c r="BA179" s="2">
        <v>628.09</v>
      </c>
      <c r="BB179" s="5">
        <v>552.09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1855.02</v>
      </c>
      <c r="BI179" s="12">
        <v>1656.27</v>
      </c>
      <c r="BJ179" s="2">
        <v>33.130000000000003</v>
      </c>
      <c r="BK179" s="5">
        <v>0</v>
      </c>
      <c r="BL179" s="1" t="s">
        <v>90</v>
      </c>
    </row>
    <row r="180" spans="1:64" x14ac:dyDescent="0.3">
      <c r="A180" t="s">
        <v>1272</v>
      </c>
      <c r="B180" s="1" t="s">
        <v>1272</v>
      </c>
      <c r="C180" s="9" t="s">
        <v>1273</v>
      </c>
      <c r="D180" s="1" t="s">
        <v>42</v>
      </c>
      <c r="E180" s="1" t="s">
        <v>88</v>
      </c>
      <c r="F180" s="10" t="s">
        <v>472</v>
      </c>
      <c r="G180" s="1">
        <v>0</v>
      </c>
      <c r="H180" s="1">
        <v>0.02</v>
      </c>
      <c r="I180" s="8">
        <v>45143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595472.9</v>
      </c>
      <c r="AJ180" s="2">
        <v>129789</v>
      </c>
      <c r="AK180" s="2">
        <v>10633.45</v>
      </c>
      <c r="AL180" s="2">
        <v>2317.66</v>
      </c>
      <c r="AM180" s="5">
        <v>6475.55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21757.86</v>
      </c>
      <c r="AT180" s="12">
        <v>19426.66</v>
      </c>
      <c r="AU180" s="2">
        <v>388.53</v>
      </c>
      <c r="AV180" s="5">
        <v>0</v>
      </c>
      <c r="AX180" s="2">
        <v>595472.9</v>
      </c>
      <c r="AY180" s="2">
        <v>129789</v>
      </c>
      <c r="AZ180" s="2">
        <v>10633.45</v>
      </c>
      <c r="BA180" s="2">
        <v>2317.66</v>
      </c>
      <c r="BB180" s="5">
        <v>6475.55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21757.86</v>
      </c>
      <c r="BI180" s="12">
        <v>19426.66</v>
      </c>
      <c r="BJ180" s="2">
        <v>388.53</v>
      </c>
      <c r="BK180" s="5">
        <v>0</v>
      </c>
      <c r="BL180" s="1" t="s">
        <v>90</v>
      </c>
    </row>
    <row r="181" spans="1:64" x14ac:dyDescent="0.3">
      <c r="A181" t="s">
        <v>142</v>
      </c>
      <c r="B181" s="1" t="s">
        <v>142</v>
      </c>
      <c r="C181" s="9" t="s">
        <v>143</v>
      </c>
      <c r="D181" s="1" t="s">
        <v>43</v>
      </c>
      <c r="E181" s="1" t="s">
        <v>135</v>
      </c>
      <c r="F181" s="10" t="s">
        <v>144</v>
      </c>
      <c r="G181" s="1">
        <v>2.5000000000000001E-2</v>
      </c>
      <c r="H181" s="1">
        <v>0.02</v>
      </c>
      <c r="I181" s="8">
        <v>44009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845955.57000000007</v>
      </c>
      <c r="AJ181" s="2">
        <v>152438.56</v>
      </c>
      <c r="AK181" s="2">
        <v>15106.35</v>
      </c>
      <c r="AL181" s="2">
        <v>2722.12</v>
      </c>
      <c r="AM181" s="5">
        <v>8914.23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29951.82</v>
      </c>
      <c r="AT181" s="12">
        <v>26742.7</v>
      </c>
      <c r="AU181" s="2">
        <v>534.85</v>
      </c>
      <c r="AV181" s="5">
        <v>0</v>
      </c>
      <c r="AX181" s="2">
        <v>845955.57000000007</v>
      </c>
      <c r="AY181" s="2">
        <v>152438.56</v>
      </c>
      <c r="AZ181" s="2">
        <v>15106.35</v>
      </c>
      <c r="BA181" s="2">
        <v>2722.12</v>
      </c>
      <c r="BB181" s="5">
        <v>8914.23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29951.82</v>
      </c>
      <c r="BI181" s="12">
        <v>26742.7</v>
      </c>
      <c r="BJ181" s="2">
        <v>534.85</v>
      </c>
      <c r="BK181" s="5">
        <v>0</v>
      </c>
      <c r="BL181" s="1" t="s">
        <v>137</v>
      </c>
    </row>
    <row r="182" spans="1:64" x14ac:dyDescent="0.3">
      <c r="A182" t="s">
        <v>314</v>
      </c>
      <c r="B182" s="1" t="s">
        <v>314</v>
      </c>
      <c r="C182" s="9" t="s">
        <v>315</v>
      </c>
      <c r="D182" s="1" t="s">
        <v>43</v>
      </c>
      <c r="E182" s="1" t="s">
        <v>135</v>
      </c>
      <c r="F182" s="10" t="s">
        <v>316</v>
      </c>
      <c r="G182" s="1">
        <v>2.5000000000000001E-2</v>
      </c>
      <c r="H182" s="1">
        <v>0.02</v>
      </c>
      <c r="I182" s="8">
        <v>44183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323212</v>
      </c>
      <c r="AJ182" s="2">
        <v>43973</v>
      </c>
      <c r="AK182" s="2">
        <v>5771.64</v>
      </c>
      <c r="AL182" s="2">
        <v>785.23</v>
      </c>
      <c r="AM182" s="5">
        <v>3278.44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11015.55</v>
      </c>
      <c r="AT182" s="12">
        <v>9835.3100000000013</v>
      </c>
      <c r="AU182" s="2">
        <v>196.71</v>
      </c>
      <c r="AV182" s="5">
        <v>0</v>
      </c>
      <c r="AX182" s="2">
        <v>323212</v>
      </c>
      <c r="AY182" s="2">
        <v>43973</v>
      </c>
      <c r="AZ182" s="2">
        <v>5771.64</v>
      </c>
      <c r="BA182" s="2">
        <v>785.23</v>
      </c>
      <c r="BB182" s="5">
        <v>3278.44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11015.55</v>
      </c>
      <c r="BI182" s="12">
        <v>9835.3100000000013</v>
      </c>
      <c r="BJ182" s="2">
        <v>196.71</v>
      </c>
      <c r="BK182" s="5">
        <v>0</v>
      </c>
      <c r="BL182" s="1" t="s">
        <v>302</v>
      </c>
    </row>
    <row r="183" spans="1:64" x14ac:dyDescent="0.3">
      <c r="A183" t="s">
        <v>314</v>
      </c>
      <c r="B183" s="1" t="s">
        <v>317</v>
      </c>
      <c r="C183" s="9" t="s">
        <v>318</v>
      </c>
      <c r="D183" s="1" t="s">
        <v>43</v>
      </c>
      <c r="E183" s="1" t="s">
        <v>135</v>
      </c>
      <c r="F183" s="10" t="s">
        <v>316</v>
      </c>
      <c r="G183" s="1">
        <v>0</v>
      </c>
      <c r="H183" s="1">
        <v>0.02</v>
      </c>
      <c r="I183" s="8">
        <v>45260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171615</v>
      </c>
      <c r="AJ183" s="2">
        <v>2125</v>
      </c>
      <c r="AK183" s="2">
        <v>3064.55</v>
      </c>
      <c r="AL183" s="2">
        <v>37.950000000000003</v>
      </c>
      <c r="AM183" s="5">
        <v>1551.25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5212.2</v>
      </c>
      <c r="AT183" s="12">
        <v>4653.75</v>
      </c>
      <c r="AU183" s="2">
        <v>93.08</v>
      </c>
      <c r="AV183" s="5">
        <v>0</v>
      </c>
      <c r="AX183" s="2">
        <v>171615</v>
      </c>
      <c r="AY183" s="2">
        <v>2125</v>
      </c>
      <c r="AZ183" s="2">
        <v>3064.55</v>
      </c>
      <c r="BA183" s="2">
        <v>37.950000000000003</v>
      </c>
      <c r="BB183" s="5">
        <v>1551.25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5212.2</v>
      </c>
      <c r="BI183" s="12">
        <v>4653.75</v>
      </c>
      <c r="BJ183" s="2">
        <v>93.08</v>
      </c>
      <c r="BK183" s="5">
        <v>0</v>
      </c>
      <c r="BL183" s="1" t="s">
        <v>302</v>
      </c>
    </row>
    <row r="184" spans="1:64" x14ac:dyDescent="0.3">
      <c r="A184" t="s">
        <v>383</v>
      </c>
      <c r="B184" s="1" t="s">
        <v>383</v>
      </c>
      <c r="C184" s="9" t="s">
        <v>384</v>
      </c>
      <c r="D184" s="1" t="s">
        <v>43</v>
      </c>
      <c r="E184" s="1" t="s">
        <v>128</v>
      </c>
      <c r="F184" s="10" t="s">
        <v>385</v>
      </c>
      <c r="G184" s="1">
        <v>3.5000000000000003E-2</v>
      </c>
      <c r="H184" s="1">
        <v>0.02</v>
      </c>
      <c r="I184" s="8">
        <v>45242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0</v>
      </c>
      <c r="AJ184" s="2">
        <v>0</v>
      </c>
      <c r="AK184" s="2">
        <v>0</v>
      </c>
      <c r="AL184" s="2">
        <v>0</v>
      </c>
      <c r="AM184" s="5">
        <v>0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0</v>
      </c>
      <c r="AT184" s="12">
        <v>0</v>
      </c>
      <c r="AU184" s="2">
        <v>0</v>
      </c>
      <c r="AV184" s="5">
        <v>0</v>
      </c>
      <c r="AX184" s="2">
        <v>0</v>
      </c>
      <c r="AY184" s="2">
        <v>0</v>
      </c>
      <c r="AZ184" s="2">
        <v>0</v>
      </c>
      <c r="BA184" s="2">
        <v>0</v>
      </c>
      <c r="BB184" s="5">
        <v>0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0</v>
      </c>
      <c r="BI184" s="12">
        <v>0</v>
      </c>
      <c r="BJ184" s="2">
        <v>0</v>
      </c>
      <c r="BK184" s="5">
        <v>0</v>
      </c>
      <c r="BL184" s="1" t="s">
        <v>326</v>
      </c>
    </row>
    <row r="185" spans="1:64" x14ac:dyDescent="0.3">
      <c r="A185" t="s">
        <v>500</v>
      </c>
      <c r="B185" s="1" t="s">
        <v>500</v>
      </c>
      <c r="C185" s="9" t="s">
        <v>501</v>
      </c>
      <c r="D185" s="1" t="s">
        <v>43</v>
      </c>
      <c r="E185" s="1" t="s">
        <v>135</v>
      </c>
      <c r="F185" s="10" t="s">
        <v>316</v>
      </c>
      <c r="G185" s="1">
        <v>0</v>
      </c>
      <c r="H185" s="1">
        <v>0.02</v>
      </c>
      <c r="I185" s="8">
        <v>45091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331630.59999999998</v>
      </c>
      <c r="AJ185" s="2">
        <v>71758</v>
      </c>
      <c r="AK185" s="2">
        <v>5921.97</v>
      </c>
      <c r="AL185" s="2">
        <v>1281.3900000000001</v>
      </c>
      <c r="AM185" s="5">
        <v>3601.69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12101.66</v>
      </c>
      <c r="AT185" s="12">
        <v>10805.050000000001</v>
      </c>
      <c r="AU185" s="2">
        <v>216.1</v>
      </c>
      <c r="AV185" s="5">
        <v>0</v>
      </c>
      <c r="AX185" s="2">
        <v>331630.59999999998</v>
      </c>
      <c r="AY185" s="2">
        <v>71758</v>
      </c>
      <c r="AZ185" s="2">
        <v>5921.97</v>
      </c>
      <c r="BA185" s="2">
        <v>1281.3900000000001</v>
      </c>
      <c r="BB185" s="5">
        <v>3601.69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12101.66</v>
      </c>
      <c r="BI185" s="12">
        <v>10805.050000000001</v>
      </c>
      <c r="BJ185" s="2">
        <v>216.1</v>
      </c>
      <c r="BK185" s="5">
        <v>0</v>
      </c>
      <c r="BL185" s="1" t="s">
        <v>302</v>
      </c>
    </row>
    <row r="186" spans="1:64" x14ac:dyDescent="0.3">
      <c r="A186" t="s">
        <v>567</v>
      </c>
      <c r="B186" s="1" t="s">
        <v>567</v>
      </c>
      <c r="C186" s="9" t="s">
        <v>568</v>
      </c>
      <c r="D186" s="1" t="s">
        <v>43</v>
      </c>
      <c r="E186" s="1" t="s">
        <v>135</v>
      </c>
      <c r="F186" s="10" t="s">
        <v>144</v>
      </c>
      <c r="G186" s="1">
        <v>2.5000000000000001E-2</v>
      </c>
      <c r="H186" s="1">
        <v>0.02</v>
      </c>
      <c r="I186" s="8">
        <v>44183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441727.00000000006</v>
      </c>
      <c r="AJ186" s="2">
        <v>112626</v>
      </c>
      <c r="AK186" s="2">
        <v>7887.98</v>
      </c>
      <c r="AL186" s="2">
        <v>2011.18</v>
      </c>
      <c r="AM186" s="5">
        <v>4949.58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16630.59</v>
      </c>
      <c r="AT186" s="12">
        <v>14848.74</v>
      </c>
      <c r="AU186" s="2">
        <v>296.97000000000003</v>
      </c>
      <c r="AV186" s="5">
        <v>0</v>
      </c>
      <c r="AX186" s="2">
        <v>441727.00000000006</v>
      </c>
      <c r="AY186" s="2">
        <v>112626</v>
      </c>
      <c r="AZ186" s="2">
        <v>7887.98</v>
      </c>
      <c r="BA186" s="2">
        <v>2011.18</v>
      </c>
      <c r="BB186" s="5">
        <v>4949.58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16630.59</v>
      </c>
      <c r="BI186" s="12">
        <v>14848.74</v>
      </c>
      <c r="BJ186" s="2">
        <v>296.97000000000003</v>
      </c>
      <c r="BK186" s="5">
        <v>0</v>
      </c>
      <c r="BL186" s="1" t="s">
        <v>137</v>
      </c>
    </row>
    <row r="187" spans="1:64" x14ac:dyDescent="0.3">
      <c r="A187" t="s">
        <v>581</v>
      </c>
      <c r="B187" s="1" t="s">
        <v>581</v>
      </c>
      <c r="C187" s="9" t="s">
        <v>582</v>
      </c>
      <c r="D187" s="1" t="s">
        <v>43</v>
      </c>
      <c r="E187" s="1" t="s">
        <v>135</v>
      </c>
      <c r="F187" s="10" t="s">
        <v>583</v>
      </c>
      <c r="G187" s="1">
        <v>2.5000000000000001E-2</v>
      </c>
      <c r="H187" s="1">
        <v>0.02</v>
      </c>
      <c r="I187" s="8">
        <v>44385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693957.8</v>
      </c>
      <c r="AJ187" s="2">
        <v>104153.01000000001</v>
      </c>
      <c r="AK187" s="2">
        <v>12392.11</v>
      </c>
      <c r="AL187" s="2">
        <v>1859.87</v>
      </c>
      <c r="AM187" s="5">
        <v>7125.99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23943.33</v>
      </c>
      <c r="AT187" s="12">
        <v>21377.97</v>
      </c>
      <c r="AU187" s="2">
        <v>427.56</v>
      </c>
      <c r="AV187" s="5">
        <v>0</v>
      </c>
      <c r="AX187" s="2">
        <v>693957.8</v>
      </c>
      <c r="AY187" s="2">
        <v>104153.01000000001</v>
      </c>
      <c r="AZ187" s="2">
        <v>12392.11</v>
      </c>
      <c r="BA187" s="2">
        <v>1859.87</v>
      </c>
      <c r="BB187" s="5">
        <v>7125.99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23943.33</v>
      </c>
      <c r="BI187" s="12">
        <v>21377.97</v>
      </c>
      <c r="BJ187" s="2">
        <v>427.56</v>
      </c>
      <c r="BK187" s="5">
        <v>0</v>
      </c>
      <c r="BL187" s="1" t="s">
        <v>137</v>
      </c>
    </row>
    <row r="188" spans="1:64" x14ac:dyDescent="0.3">
      <c r="A188" t="s">
        <v>637</v>
      </c>
      <c r="B188" s="1" t="s">
        <v>637</v>
      </c>
      <c r="C188" s="9" t="s">
        <v>638</v>
      </c>
      <c r="D188" s="1" t="s">
        <v>43</v>
      </c>
      <c r="E188" s="1" t="s">
        <v>88</v>
      </c>
      <c r="F188" s="10" t="s">
        <v>639</v>
      </c>
      <c r="G188" s="1">
        <v>3.5000000000000003E-2</v>
      </c>
      <c r="H188" s="1">
        <v>0.02</v>
      </c>
      <c r="I188" s="8">
        <v>45131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340986.6</v>
      </c>
      <c r="AJ188" s="2">
        <v>101735</v>
      </c>
      <c r="AK188" s="2">
        <v>6089.04</v>
      </c>
      <c r="AL188" s="2">
        <v>1816.7</v>
      </c>
      <c r="AM188" s="5">
        <v>3952.88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13281.65</v>
      </c>
      <c r="AT188" s="12">
        <v>11858.619999999999</v>
      </c>
      <c r="AU188" s="2">
        <v>237.17</v>
      </c>
      <c r="AV188" s="5">
        <v>0</v>
      </c>
      <c r="AX188" s="2">
        <v>340986.6</v>
      </c>
      <c r="AY188" s="2">
        <v>101735</v>
      </c>
      <c r="AZ188" s="2">
        <v>6089.04</v>
      </c>
      <c r="BA188" s="2">
        <v>1816.7</v>
      </c>
      <c r="BB188" s="5">
        <v>3952.88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13281.65</v>
      </c>
      <c r="BI188" s="12">
        <v>11858.619999999999</v>
      </c>
      <c r="BJ188" s="2">
        <v>237.17</v>
      </c>
      <c r="BK188" s="5">
        <v>0</v>
      </c>
      <c r="BL188" s="1" t="s">
        <v>90</v>
      </c>
    </row>
    <row r="189" spans="1:64" x14ac:dyDescent="0.3">
      <c r="A189" t="s">
        <v>640</v>
      </c>
      <c r="B189" s="1" t="s">
        <v>640</v>
      </c>
      <c r="C189" s="9" t="s">
        <v>641</v>
      </c>
      <c r="D189" s="1" t="s">
        <v>43</v>
      </c>
      <c r="E189" s="1" t="s">
        <v>88</v>
      </c>
      <c r="F189" s="10" t="s">
        <v>639</v>
      </c>
      <c r="G189" s="1">
        <v>3.5000000000000003E-2</v>
      </c>
      <c r="H189" s="1">
        <v>0.02</v>
      </c>
      <c r="I189" s="8">
        <v>45143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463197</v>
      </c>
      <c r="AJ189" s="2">
        <v>74768</v>
      </c>
      <c r="AK189" s="2">
        <v>8271.3799999999992</v>
      </c>
      <c r="AL189" s="2">
        <v>1335.14</v>
      </c>
      <c r="AM189" s="5">
        <v>4803.26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16138.95</v>
      </c>
      <c r="AT189" s="12">
        <v>14409.779999999999</v>
      </c>
      <c r="AU189" s="2">
        <v>288.2</v>
      </c>
      <c r="AV189" s="5">
        <v>0</v>
      </c>
      <c r="AX189" s="2">
        <v>463197</v>
      </c>
      <c r="AY189" s="2">
        <v>74768</v>
      </c>
      <c r="AZ189" s="2">
        <v>8271.3799999999992</v>
      </c>
      <c r="BA189" s="2">
        <v>1335.14</v>
      </c>
      <c r="BB189" s="5">
        <v>4803.26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16138.95</v>
      </c>
      <c r="BI189" s="12">
        <v>14409.779999999999</v>
      </c>
      <c r="BJ189" s="2">
        <v>288.2</v>
      </c>
      <c r="BK189" s="5">
        <v>0</v>
      </c>
      <c r="BL189" s="1" t="s">
        <v>90</v>
      </c>
    </row>
    <row r="190" spans="1:64" x14ac:dyDescent="0.3">
      <c r="A190" t="s">
        <v>665</v>
      </c>
      <c r="B190" s="1" t="s">
        <v>665</v>
      </c>
      <c r="C190" s="9" t="s">
        <v>666</v>
      </c>
      <c r="D190" s="1" t="s">
        <v>43</v>
      </c>
      <c r="E190" s="1" t="s">
        <v>88</v>
      </c>
      <c r="F190" s="10" t="s">
        <v>639</v>
      </c>
      <c r="G190" s="1">
        <v>0</v>
      </c>
      <c r="H190" s="1">
        <v>0.02</v>
      </c>
      <c r="I190" s="8">
        <v>45434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257098</v>
      </c>
      <c r="AJ190" s="2">
        <v>83163.100000000006</v>
      </c>
      <c r="AK190" s="2">
        <v>4591.04</v>
      </c>
      <c r="AL190" s="2">
        <v>1485.05</v>
      </c>
      <c r="AM190" s="5">
        <v>3038.04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10207.83</v>
      </c>
      <c r="AT190" s="12">
        <v>9114.130000000001</v>
      </c>
      <c r="AU190" s="2">
        <v>182.28</v>
      </c>
      <c r="AV190" s="5">
        <v>0</v>
      </c>
      <c r="AX190" s="2">
        <v>257098</v>
      </c>
      <c r="AY190" s="2">
        <v>83163.100000000006</v>
      </c>
      <c r="AZ190" s="2">
        <v>4591.04</v>
      </c>
      <c r="BA190" s="2">
        <v>1485.05</v>
      </c>
      <c r="BB190" s="5">
        <v>3038.04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10207.83</v>
      </c>
      <c r="BI190" s="12">
        <v>9114.130000000001</v>
      </c>
      <c r="BJ190" s="2">
        <v>182.28</v>
      </c>
      <c r="BK190" s="5">
        <v>0</v>
      </c>
      <c r="BL190" s="1" t="s">
        <v>90</v>
      </c>
    </row>
    <row r="191" spans="1:64" x14ac:dyDescent="0.3">
      <c r="A191" t="s">
        <v>672</v>
      </c>
      <c r="B191" s="1" t="s">
        <v>672</v>
      </c>
      <c r="C191" s="9" t="s">
        <v>673</v>
      </c>
      <c r="D191" s="1" t="s">
        <v>43</v>
      </c>
      <c r="E191" s="1" t="s">
        <v>128</v>
      </c>
      <c r="F191" s="10" t="s">
        <v>385</v>
      </c>
      <c r="G191" s="1">
        <v>0</v>
      </c>
      <c r="H191" s="1">
        <v>0.02</v>
      </c>
      <c r="I191" s="8">
        <v>45607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336476</v>
      </c>
      <c r="AJ191" s="2">
        <v>47046</v>
      </c>
      <c r="AK191" s="2">
        <v>6008.5</v>
      </c>
      <c r="AL191" s="2">
        <v>840.11</v>
      </c>
      <c r="AM191" s="5">
        <v>3424.3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11505.66</v>
      </c>
      <c r="AT191" s="12">
        <v>10272.91</v>
      </c>
      <c r="AU191" s="2">
        <v>205.46</v>
      </c>
      <c r="AV191" s="5">
        <v>0</v>
      </c>
      <c r="AX191" s="2">
        <v>336476</v>
      </c>
      <c r="AY191" s="2">
        <v>47046</v>
      </c>
      <c r="AZ191" s="2">
        <v>6008.5</v>
      </c>
      <c r="BA191" s="2">
        <v>840.11</v>
      </c>
      <c r="BB191" s="5">
        <v>3424.3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11505.66</v>
      </c>
      <c r="BI191" s="12">
        <v>10272.91</v>
      </c>
      <c r="BJ191" s="2">
        <v>205.46</v>
      </c>
      <c r="BK191" s="5">
        <v>0</v>
      </c>
      <c r="BL191" s="1" t="s">
        <v>326</v>
      </c>
    </row>
    <row r="192" spans="1:64" x14ac:dyDescent="0.3">
      <c r="A192" t="s">
        <v>684</v>
      </c>
      <c r="B192" s="1" t="s">
        <v>684</v>
      </c>
      <c r="C192" s="9" t="s">
        <v>685</v>
      </c>
      <c r="D192" s="1" t="s">
        <v>43</v>
      </c>
      <c r="E192" s="1" t="s">
        <v>128</v>
      </c>
      <c r="F192" s="10" t="s">
        <v>385</v>
      </c>
      <c r="G192" s="1">
        <v>0</v>
      </c>
      <c r="H192" s="1">
        <v>0.02</v>
      </c>
      <c r="I192" s="8">
        <v>45575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271345.95</v>
      </c>
      <c r="AJ192" s="2">
        <v>26183.75</v>
      </c>
      <c r="AK192" s="2">
        <v>4845.46</v>
      </c>
      <c r="AL192" s="2">
        <v>467.56</v>
      </c>
      <c r="AM192" s="5">
        <v>2656.52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8925.8799999999992</v>
      </c>
      <c r="AT192" s="12">
        <v>7969.5400000000009</v>
      </c>
      <c r="AU192" s="2">
        <v>159.38999999999999</v>
      </c>
      <c r="AV192" s="5">
        <v>0</v>
      </c>
      <c r="AX192" s="2">
        <v>271345.95</v>
      </c>
      <c r="AY192" s="2">
        <v>26183.75</v>
      </c>
      <c r="AZ192" s="2">
        <v>4845.46</v>
      </c>
      <c r="BA192" s="2">
        <v>467.56</v>
      </c>
      <c r="BB192" s="5">
        <v>2656.52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8925.8799999999992</v>
      </c>
      <c r="BI192" s="12">
        <v>7969.5400000000009</v>
      </c>
      <c r="BJ192" s="2">
        <v>159.38999999999999</v>
      </c>
      <c r="BK192" s="5">
        <v>0</v>
      </c>
      <c r="BL192" s="1" t="s">
        <v>326</v>
      </c>
    </row>
    <row r="193" spans="1:64" x14ac:dyDescent="0.3">
      <c r="A193" t="s">
        <v>750</v>
      </c>
      <c r="B193" s="1" t="s">
        <v>750</v>
      </c>
      <c r="C193" s="9" t="s">
        <v>751</v>
      </c>
      <c r="D193" s="1" t="s">
        <v>43</v>
      </c>
      <c r="E193" s="1" t="s">
        <v>135</v>
      </c>
      <c r="F193" s="10" t="s">
        <v>752</v>
      </c>
      <c r="G193" s="1">
        <v>0</v>
      </c>
      <c r="H193" s="1">
        <v>0.02</v>
      </c>
      <c r="I193" s="8">
        <v>44511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327390.01</v>
      </c>
      <c r="AJ193" s="2">
        <v>47944.99</v>
      </c>
      <c r="AK193" s="2">
        <v>5846.25</v>
      </c>
      <c r="AL193" s="2">
        <v>856.16</v>
      </c>
      <c r="AM193" s="5">
        <v>3351.21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11260.05</v>
      </c>
      <c r="AT193" s="12">
        <v>10053.619999999999</v>
      </c>
      <c r="AU193" s="2">
        <v>201.07</v>
      </c>
      <c r="AV193" s="5">
        <v>0</v>
      </c>
      <c r="AX193" s="2">
        <v>327390.01</v>
      </c>
      <c r="AY193" s="2">
        <v>47944.99</v>
      </c>
      <c r="AZ193" s="2">
        <v>5846.25</v>
      </c>
      <c r="BA193" s="2">
        <v>856.16</v>
      </c>
      <c r="BB193" s="5">
        <v>3351.21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11260.05</v>
      </c>
      <c r="BI193" s="12">
        <v>10053.619999999999</v>
      </c>
      <c r="BJ193" s="2">
        <v>201.07</v>
      </c>
      <c r="BK193" s="5">
        <v>0</v>
      </c>
      <c r="BL193" s="1" t="s">
        <v>302</v>
      </c>
    </row>
    <row r="194" spans="1:64" x14ac:dyDescent="0.3">
      <c r="A194" t="s">
        <v>750</v>
      </c>
      <c r="B194" s="1" t="s">
        <v>753</v>
      </c>
      <c r="C194" s="9" t="s">
        <v>754</v>
      </c>
      <c r="D194" s="1" t="s">
        <v>43</v>
      </c>
      <c r="E194" s="1" t="s">
        <v>135</v>
      </c>
      <c r="F194" s="10" t="s">
        <v>752</v>
      </c>
      <c r="G194" s="1">
        <v>0</v>
      </c>
      <c r="H194" s="1">
        <v>0.02</v>
      </c>
      <c r="I194" s="8">
        <v>45268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349708.5</v>
      </c>
      <c r="AJ194" s="2">
        <v>9600</v>
      </c>
      <c r="AK194" s="2">
        <v>6244.79</v>
      </c>
      <c r="AL194" s="2">
        <v>171.43</v>
      </c>
      <c r="AM194" s="5">
        <v>3208.11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10779.25</v>
      </c>
      <c r="AT194" s="12">
        <v>9624.33</v>
      </c>
      <c r="AU194" s="2">
        <v>192.49</v>
      </c>
      <c r="AV194" s="5">
        <v>0</v>
      </c>
      <c r="AX194" s="2">
        <v>349708.5</v>
      </c>
      <c r="AY194" s="2">
        <v>9600</v>
      </c>
      <c r="AZ194" s="2">
        <v>6244.79</v>
      </c>
      <c r="BA194" s="2">
        <v>171.43</v>
      </c>
      <c r="BB194" s="5">
        <v>3208.11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10779.25</v>
      </c>
      <c r="BI194" s="12">
        <v>9624.33</v>
      </c>
      <c r="BJ194" s="2">
        <v>192.49</v>
      </c>
      <c r="BK194" s="5">
        <v>0</v>
      </c>
      <c r="BL194" s="1" t="s">
        <v>302</v>
      </c>
    </row>
    <row r="195" spans="1:64" x14ac:dyDescent="0.3">
      <c r="A195" t="s">
        <v>804</v>
      </c>
      <c r="B195" s="1" t="s">
        <v>804</v>
      </c>
      <c r="C195" s="9" t="s">
        <v>805</v>
      </c>
      <c r="D195" s="1" t="s">
        <v>43</v>
      </c>
      <c r="E195" s="1" t="s">
        <v>128</v>
      </c>
      <c r="F195" s="10" t="s">
        <v>385</v>
      </c>
      <c r="G195" s="1">
        <v>0</v>
      </c>
      <c r="H195" s="1">
        <v>0.02</v>
      </c>
      <c r="I195" s="8">
        <v>44831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466490</v>
      </c>
      <c r="AJ195" s="2">
        <v>63881</v>
      </c>
      <c r="AK195" s="2">
        <v>8330.18</v>
      </c>
      <c r="AL195" s="2">
        <v>1140.73</v>
      </c>
      <c r="AM195" s="5">
        <v>4735.46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15911.13</v>
      </c>
      <c r="AT195" s="12">
        <v>14206.369999999999</v>
      </c>
      <c r="AU195" s="2">
        <v>284.13</v>
      </c>
      <c r="AV195" s="5">
        <v>0</v>
      </c>
      <c r="AX195" s="2">
        <v>466490</v>
      </c>
      <c r="AY195" s="2">
        <v>63881</v>
      </c>
      <c r="AZ195" s="2">
        <v>8330.18</v>
      </c>
      <c r="BA195" s="2">
        <v>1140.73</v>
      </c>
      <c r="BB195" s="5">
        <v>4735.46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15911.13</v>
      </c>
      <c r="BI195" s="12">
        <v>14206.369999999999</v>
      </c>
      <c r="BJ195" s="2">
        <v>284.13</v>
      </c>
      <c r="BK195" s="5">
        <v>0</v>
      </c>
      <c r="BL195" s="1" t="s">
        <v>326</v>
      </c>
    </row>
    <row r="196" spans="1:64" x14ac:dyDescent="0.3">
      <c r="A196" t="s">
        <v>814</v>
      </c>
      <c r="B196" s="1" t="s">
        <v>814</v>
      </c>
      <c r="C196" s="9" t="s">
        <v>815</v>
      </c>
      <c r="D196" s="1" t="s">
        <v>43</v>
      </c>
      <c r="E196" s="1" t="s">
        <v>88</v>
      </c>
      <c r="F196" s="10" t="s">
        <v>639</v>
      </c>
      <c r="G196" s="1">
        <v>0</v>
      </c>
      <c r="H196" s="1">
        <v>0.02</v>
      </c>
      <c r="I196" s="8">
        <v>44985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347442.05</v>
      </c>
      <c r="AJ196" s="2">
        <v>71663</v>
      </c>
      <c r="AK196" s="2">
        <v>6204.32</v>
      </c>
      <c r="AL196" s="2">
        <v>1279.7</v>
      </c>
      <c r="AM196" s="5">
        <v>3742.01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12573.15</v>
      </c>
      <c r="AT196" s="12">
        <v>11226.029999999999</v>
      </c>
      <c r="AU196" s="2">
        <v>224.52</v>
      </c>
      <c r="AV196" s="5">
        <v>0</v>
      </c>
      <c r="AX196" s="2">
        <v>347442.05</v>
      </c>
      <c r="AY196" s="2">
        <v>71663</v>
      </c>
      <c r="AZ196" s="2">
        <v>6204.32</v>
      </c>
      <c r="BA196" s="2">
        <v>1279.7</v>
      </c>
      <c r="BB196" s="5">
        <v>3742.01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12573.15</v>
      </c>
      <c r="BI196" s="12">
        <v>11226.029999999999</v>
      </c>
      <c r="BJ196" s="2">
        <v>224.52</v>
      </c>
      <c r="BK196" s="5">
        <v>0</v>
      </c>
      <c r="BL196" s="1" t="s">
        <v>90</v>
      </c>
    </row>
    <row r="197" spans="1:64" x14ac:dyDescent="0.3">
      <c r="A197" t="s">
        <v>820</v>
      </c>
      <c r="B197" s="1" t="s">
        <v>820</v>
      </c>
      <c r="C197" s="9" t="s">
        <v>821</v>
      </c>
      <c r="D197" s="1" t="s">
        <v>43</v>
      </c>
      <c r="E197" s="1" t="s">
        <v>88</v>
      </c>
      <c r="F197" s="10" t="s">
        <v>639</v>
      </c>
      <c r="G197" s="1">
        <v>0</v>
      </c>
      <c r="H197" s="1">
        <v>0.02</v>
      </c>
      <c r="I197" s="8">
        <v>45209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155408</v>
      </c>
      <c r="AJ197" s="2">
        <v>30539</v>
      </c>
      <c r="AK197" s="2">
        <v>2775.14</v>
      </c>
      <c r="AL197" s="2">
        <v>545.34</v>
      </c>
      <c r="AM197" s="5">
        <v>1660.24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5578.41</v>
      </c>
      <c r="AT197" s="12">
        <v>4980.72</v>
      </c>
      <c r="AU197" s="2">
        <v>99.61</v>
      </c>
      <c r="AV197" s="5">
        <v>0</v>
      </c>
      <c r="AX197" s="2">
        <v>155408</v>
      </c>
      <c r="AY197" s="2">
        <v>30539</v>
      </c>
      <c r="AZ197" s="2">
        <v>2775.14</v>
      </c>
      <c r="BA197" s="2">
        <v>545.34</v>
      </c>
      <c r="BB197" s="5">
        <v>1660.24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5578.41</v>
      </c>
      <c r="BI197" s="12">
        <v>4980.72</v>
      </c>
      <c r="BJ197" s="2">
        <v>99.61</v>
      </c>
      <c r="BK197" s="5">
        <v>0</v>
      </c>
      <c r="BL197" s="1" t="s">
        <v>90</v>
      </c>
    </row>
    <row r="198" spans="1:64" x14ac:dyDescent="0.3">
      <c r="A198" t="s">
        <v>822</v>
      </c>
      <c r="B198" s="1" t="s">
        <v>822</v>
      </c>
      <c r="C198" s="9" t="s">
        <v>823</v>
      </c>
      <c r="D198" s="1" t="s">
        <v>43</v>
      </c>
      <c r="E198" s="1" t="s">
        <v>88</v>
      </c>
      <c r="F198" s="10" t="s">
        <v>639</v>
      </c>
      <c r="G198" s="1">
        <v>0</v>
      </c>
      <c r="H198" s="1">
        <v>0.02</v>
      </c>
      <c r="I198" s="8">
        <v>45198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123877.4</v>
      </c>
      <c r="AJ198" s="2">
        <v>65432</v>
      </c>
      <c r="AK198" s="2">
        <v>2212.1</v>
      </c>
      <c r="AL198" s="2">
        <v>1168.43</v>
      </c>
      <c r="AM198" s="5">
        <v>1690.26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5679.28</v>
      </c>
      <c r="AT198" s="12">
        <v>5070.79</v>
      </c>
      <c r="AU198" s="2">
        <v>101.42</v>
      </c>
      <c r="AV198" s="5">
        <v>0</v>
      </c>
      <c r="AX198" s="2">
        <v>123877.4</v>
      </c>
      <c r="AY198" s="2">
        <v>65432</v>
      </c>
      <c r="AZ198" s="2">
        <v>2212.1</v>
      </c>
      <c r="BA198" s="2">
        <v>1168.43</v>
      </c>
      <c r="BB198" s="5">
        <v>1690.26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5679.28</v>
      </c>
      <c r="BI198" s="12">
        <v>5070.79</v>
      </c>
      <c r="BJ198" s="2">
        <v>101.42</v>
      </c>
      <c r="BK198" s="5">
        <v>0</v>
      </c>
      <c r="BL198" s="1" t="s">
        <v>90</v>
      </c>
    </row>
    <row r="199" spans="1:64" x14ac:dyDescent="0.3">
      <c r="A199" t="s">
        <v>831</v>
      </c>
      <c r="B199" s="1" t="s">
        <v>831</v>
      </c>
      <c r="C199" s="9" t="s">
        <v>832</v>
      </c>
      <c r="D199" s="1" t="s">
        <v>43</v>
      </c>
      <c r="E199" s="1" t="s">
        <v>135</v>
      </c>
      <c r="F199" s="10" t="s">
        <v>752</v>
      </c>
      <c r="G199" s="1">
        <v>0</v>
      </c>
      <c r="H199" s="1">
        <v>0.02</v>
      </c>
      <c r="I199" s="8">
        <v>45429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421356.48000000004</v>
      </c>
      <c r="AJ199" s="2">
        <v>42123.42</v>
      </c>
      <c r="AK199" s="2">
        <v>7524.22</v>
      </c>
      <c r="AL199" s="2">
        <v>752.21</v>
      </c>
      <c r="AM199" s="5">
        <v>4138.21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13904.4</v>
      </c>
      <c r="AT199" s="12">
        <v>12414.64</v>
      </c>
      <c r="AU199" s="2">
        <v>248.29</v>
      </c>
      <c r="AV199" s="5">
        <v>0</v>
      </c>
      <c r="AX199" s="2">
        <v>421356.48000000004</v>
      </c>
      <c r="AY199" s="2">
        <v>42123.42</v>
      </c>
      <c r="AZ199" s="2">
        <v>7524.22</v>
      </c>
      <c r="BA199" s="2">
        <v>752.21</v>
      </c>
      <c r="BB199" s="5">
        <v>4138.21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13904.4</v>
      </c>
      <c r="BI199" s="12">
        <v>12414.64</v>
      </c>
      <c r="BJ199" s="2">
        <v>248.29</v>
      </c>
      <c r="BK199" s="5">
        <v>0</v>
      </c>
      <c r="BL199" s="1" t="s">
        <v>302</v>
      </c>
    </row>
    <row r="200" spans="1:64" x14ac:dyDescent="0.3">
      <c r="A200" t="s">
        <v>958</v>
      </c>
      <c r="B200" s="1" t="s">
        <v>958</v>
      </c>
      <c r="C200" s="9" t="s">
        <v>959</v>
      </c>
      <c r="D200" s="1" t="s">
        <v>43</v>
      </c>
      <c r="E200" s="1" t="s">
        <v>135</v>
      </c>
      <c r="F200" s="10" t="s">
        <v>583</v>
      </c>
      <c r="G200" s="1">
        <v>0</v>
      </c>
      <c r="H200" s="1">
        <v>0.02</v>
      </c>
      <c r="I200" s="8">
        <v>45706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254365</v>
      </c>
      <c r="AJ200" s="2">
        <v>58352</v>
      </c>
      <c r="AK200" s="2">
        <v>4542.2299999999996</v>
      </c>
      <c r="AL200" s="2">
        <v>1042</v>
      </c>
      <c r="AM200" s="5">
        <v>2792.12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9381.51</v>
      </c>
      <c r="AT200" s="12">
        <v>8376.3499999999985</v>
      </c>
      <c r="AU200" s="2">
        <v>167.53</v>
      </c>
      <c r="AV200" s="5">
        <v>0</v>
      </c>
      <c r="AX200" s="2">
        <v>254365</v>
      </c>
      <c r="AY200" s="2">
        <v>58352</v>
      </c>
      <c r="AZ200" s="2">
        <v>4542.2299999999996</v>
      </c>
      <c r="BA200" s="2">
        <v>1042</v>
      </c>
      <c r="BB200" s="5">
        <v>2792.12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9381.51</v>
      </c>
      <c r="BI200" s="12">
        <v>8376.3499999999985</v>
      </c>
      <c r="BJ200" s="2">
        <v>167.53</v>
      </c>
      <c r="BK200" s="5">
        <v>0</v>
      </c>
      <c r="BL200" s="1" t="s">
        <v>137</v>
      </c>
    </row>
    <row r="201" spans="1:64" x14ac:dyDescent="0.3">
      <c r="A201" t="s">
        <v>1019</v>
      </c>
      <c r="B201" s="1" t="s">
        <v>1019</v>
      </c>
      <c r="C201" s="9" t="s">
        <v>1020</v>
      </c>
      <c r="D201" s="1" t="s">
        <v>43</v>
      </c>
      <c r="E201" s="1" t="s">
        <v>135</v>
      </c>
      <c r="F201" s="10" t="s">
        <v>316</v>
      </c>
      <c r="G201" s="1">
        <v>0</v>
      </c>
      <c r="H201" s="1">
        <v>0.02</v>
      </c>
      <c r="I201" s="8">
        <v>44500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404811</v>
      </c>
      <c r="AJ201" s="2">
        <v>47047</v>
      </c>
      <c r="AK201" s="2">
        <v>7228.77</v>
      </c>
      <c r="AL201" s="2">
        <v>840.12</v>
      </c>
      <c r="AM201" s="5">
        <v>4034.45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13555.74</v>
      </c>
      <c r="AT201" s="12">
        <v>12103.34</v>
      </c>
      <c r="AU201" s="2">
        <v>242.07</v>
      </c>
      <c r="AV201" s="5">
        <v>0</v>
      </c>
      <c r="AX201" s="2">
        <v>404811</v>
      </c>
      <c r="AY201" s="2">
        <v>47047</v>
      </c>
      <c r="AZ201" s="2">
        <v>7228.77</v>
      </c>
      <c r="BA201" s="2">
        <v>840.12</v>
      </c>
      <c r="BB201" s="5">
        <v>4034.45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13555.74</v>
      </c>
      <c r="BI201" s="12">
        <v>12103.34</v>
      </c>
      <c r="BJ201" s="2">
        <v>242.07</v>
      </c>
      <c r="BK201" s="5">
        <v>0</v>
      </c>
      <c r="BL201" s="1" t="s">
        <v>302</v>
      </c>
    </row>
    <row r="202" spans="1:64" x14ac:dyDescent="0.3">
      <c r="A202" t="s">
        <v>1049</v>
      </c>
      <c r="B202" s="1" t="s">
        <v>1049</v>
      </c>
      <c r="C202" s="9" t="s">
        <v>1050</v>
      </c>
      <c r="D202" s="1" t="s">
        <v>43</v>
      </c>
      <c r="E202" s="1" t="s">
        <v>128</v>
      </c>
      <c r="F202" s="10" t="s">
        <v>385</v>
      </c>
      <c r="G202" s="1">
        <v>0</v>
      </c>
      <c r="H202" s="1">
        <v>0.02</v>
      </c>
      <c r="I202" s="8">
        <v>44548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276483</v>
      </c>
      <c r="AJ202" s="2">
        <v>28071</v>
      </c>
      <c r="AK202" s="2">
        <v>4937.2</v>
      </c>
      <c r="AL202" s="2">
        <v>501.27</v>
      </c>
      <c r="AM202" s="5">
        <v>2719.23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9136.6200000000008</v>
      </c>
      <c r="AT202" s="12">
        <v>8157.6999999999989</v>
      </c>
      <c r="AU202" s="2">
        <v>163.15</v>
      </c>
      <c r="AV202" s="5">
        <v>0</v>
      </c>
      <c r="AX202" s="2">
        <v>276483</v>
      </c>
      <c r="AY202" s="2">
        <v>28071</v>
      </c>
      <c r="AZ202" s="2">
        <v>4937.2</v>
      </c>
      <c r="BA202" s="2">
        <v>501.27</v>
      </c>
      <c r="BB202" s="5">
        <v>2719.23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9136.6200000000008</v>
      </c>
      <c r="BI202" s="12">
        <v>8157.6999999999989</v>
      </c>
      <c r="BJ202" s="2">
        <v>163.15</v>
      </c>
      <c r="BK202" s="5">
        <v>0</v>
      </c>
      <c r="BL202" s="1" t="s">
        <v>326</v>
      </c>
    </row>
    <row r="203" spans="1:64" x14ac:dyDescent="0.3">
      <c r="A203" t="s">
        <v>1053</v>
      </c>
      <c r="B203" s="1" t="s">
        <v>1053</v>
      </c>
      <c r="C203" s="9" t="s">
        <v>1054</v>
      </c>
      <c r="D203" s="1" t="s">
        <v>43</v>
      </c>
      <c r="E203" s="1" t="s">
        <v>128</v>
      </c>
      <c r="F203" s="10" t="s">
        <v>385</v>
      </c>
      <c r="G203" s="1">
        <v>0</v>
      </c>
      <c r="H203" s="1">
        <v>0.02</v>
      </c>
      <c r="I203" s="8">
        <v>44576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289543</v>
      </c>
      <c r="AJ203" s="2">
        <v>65857</v>
      </c>
      <c r="AK203" s="2">
        <v>5170.41</v>
      </c>
      <c r="AL203" s="2">
        <v>1176.02</v>
      </c>
      <c r="AM203" s="5">
        <v>3173.21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10662</v>
      </c>
      <c r="AT203" s="12">
        <v>9519.64</v>
      </c>
      <c r="AU203" s="2">
        <v>190.39</v>
      </c>
      <c r="AV203" s="5">
        <v>0</v>
      </c>
      <c r="AX203" s="2">
        <v>289543</v>
      </c>
      <c r="AY203" s="2">
        <v>65857</v>
      </c>
      <c r="AZ203" s="2">
        <v>5170.41</v>
      </c>
      <c r="BA203" s="2">
        <v>1176.02</v>
      </c>
      <c r="BB203" s="5">
        <v>3173.21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10662</v>
      </c>
      <c r="BI203" s="12">
        <v>9519.64</v>
      </c>
      <c r="BJ203" s="2">
        <v>190.39</v>
      </c>
      <c r="BK203" s="5">
        <v>0</v>
      </c>
      <c r="BL203" s="1" t="s">
        <v>326</v>
      </c>
    </row>
    <row r="204" spans="1:64" x14ac:dyDescent="0.3">
      <c r="A204" t="s">
        <v>1154</v>
      </c>
      <c r="B204" s="1" t="s">
        <v>1154</v>
      </c>
      <c r="C204" s="9" t="s">
        <v>1155</v>
      </c>
      <c r="D204" s="1" t="s">
        <v>43</v>
      </c>
      <c r="E204" s="1" t="s">
        <v>128</v>
      </c>
      <c r="F204" s="10" t="s">
        <v>385</v>
      </c>
      <c r="G204" s="1">
        <v>0</v>
      </c>
      <c r="H204" s="1">
        <v>0.02</v>
      </c>
      <c r="I204" s="8">
        <v>44897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619576.19999999995</v>
      </c>
      <c r="AJ204" s="2">
        <v>35852</v>
      </c>
      <c r="AK204" s="2">
        <v>11063.86</v>
      </c>
      <c r="AL204" s="2">
        <v>640.21</v>
      </c>
      <c r="AM204" s="5">
        <v>5852.04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19662.84</v>
      </c>
      <c r="AT204" s="12">
        <v>17556.11</v>
      </c>
      <c r="AU204" s="2">
        <v>351.12</v>
      </c>
      <c r="AV204" s="5">
        <v>0</v>
      </c>
      <c r="AX204" s="2">
        <v>619576.19999999995</v>
      </c>
      <c r="AY204" s="2">
        <v>35852</v>
      </c>
      <c r="AZ204" s="2">
        <v>11063.86</v>
      </c>
      <c r="BA204" s="2">
        <v>640.21</v>
      </c>
      <c r="BB204" s="5">
        <v>5852.04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19662.84</v>
      </c>
      <c r="BI204" s="12">
        <v>17556.11</v>
      </c>
      <c r="BJ204" s="2">
        <v>351.12</v>
      </c>
      <c r="BK204" s="5">
        <v>0</v>
      </c>
      <c r="BL204" s="1" t="s">
        <v>326</v>
      </c>
    </row>
    <row r="205" spans="1:64" x14ac:dyDescent="0.3">
      <c r="A205" t="s">
        <v>1233</v>
      </c>
      <c r="B205" s="1" t="s">
        <v>1234</v>
      </c>
      <c r="C205" s="9" t="s">
        <v>1235</v>
      </c>
      <c r="D205" s="1" t="s">
        <v>43</v>
      </c>
      <c r="E205" s="1" t="s">
        <v>128</v>
      </c>
      <c r="F205" s="10" t="s">
        <v>385</v>
      </c>
      <c r="G205" s="1">
        <v>0</v>
      </c>
      <c r="H205" s="1">
        <v>0.02</v>
      </c>
      <c r="I205" s="8">
        <v>45036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150594</v>
      </c>
      <c r="AJ205" s="2">
        <v>900</v>
      </c>
      <c r="AK205" s="2">
        <v>2689.18</v>
      </c>
      <c r="AL205" s="2">
        <v>16.07</v>
      </c>
      <c r="AM205" s="5">
        <v>1352.62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4544.8100000000004</v>
      </c>
      <c r="AT205" s="12">
        <v>4057.87</v>
      </c>
      <c r="AU205" s="2">
        <v>81.16</v>
      </c>
      <c r="AV205" s="5">
        <v>0</v>
      </c>
      <c r="AX205" s="2">
        <v>150594</v>
      </c>
      <c r="AY205" s="2">
        <v>900</v>
      </c>
      <c r="AZ205" s="2">
        <v>2689.18</v>
      </c>
      <c r="BA205" s="2">
        <v>16.07</v>
      </c>
      <c r="BB205" s="5">
        <v>1352.62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4544.8100000000004</v>
      </c>
      <c r="BI205" s="12">
        <v>4057.87</v>
      </c>
      <c r="BJ205" s="2">
        <v>81.16</v>
      </c>
      <c r="BK205" s="5">
        <v>0</v>
      </c>
      <c r="BL205" s="1" t="s">
        <v>326</v>
      </c>
    </row>
    <row r="206" spans="1:64" x14ac:dyDescent="0.3">
      <c r="A206" t="s">
        <v>1233</v>
      </c>
      <c r="B206" s="1" t="s">
        <v>1233</v>
      </c>
      <c r="C206" s="9" t="s">
        <v>1236</v>
      </c>
      <c r="D206" s="1" t="s">
        <v>43</v>
      </c>
      <c r="E206" s="1" t="s">
        <v>128</v>
      </c>
      <c r="F206" s="10" t="s">
        <v>385</v>
      </c>
      <c r="G206" s="1">
        <v>0</v>
      </c>
      <c r="H206" s="1">
        <v>0.02</v>
      </c>
      <c r="I206" s="8">
        <v>45031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196644.80000000002</v>
      </c>
      <c r="AJ206" s="2">
        <v>7904</v>
      </c>
      <c r="AK206" s="2">
        <v>3511.52</v>
      </c>
      <c r="AL206" s="2">
        <v>141.13999999999999</v>
      </c>
      <c r="AM206" s="5">
        <v>1826.33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6136.47</v>
      </c>
      <c r="AT206" s="12">
        <v>5478.99</v>
      </c>
      <c r="AU206" s="2">
        <v>109.58</v>
      </c>
      <c r="AV206" s="5">
        <v>0</v>
      </c>
      <c r="AX206" s="2">
        <v>196644.80000000002</v>
      </c>
      <c r="AY206" s="2">
        <v>7904</v>
      </c>
      <c r="AZ206" s="2">
        <v>3511.52</v>
      </c>
      <c r="BA206" s="2">
        <v>141.13999999999999</v>
      </c>
      <c r="BB206" s="5">
        <v>1826.33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6136.47</v>
      </c>
      <c r="BI206" s="12">
        <v>5478.99</v>
      </c>
      <c r="BJ206" s="2">
        <v>109.58</v>
      </c>
      <c r="BK206" s="5">
        <v>0</v>
      </c>
      <c r="BL206" s="1" t="s">
        <v>326</v>
      </c>
    </row>
    <row r="207" spans="1:64" x14ac:dyDescent="0.3">
      <c r="A207" t="s">
        <v>1233</v>
      </c>
      <c r="B207" s="1" t="s">
        <v>1237</v>
      </c>
      <c r="C207" s="9" t="s">
        <v>1238</v>
      </c>
      <c r="D207" s="1" t="s">
        <v>43</v>
      </c>
      <c r="E207" s="1" t="s">
        <v>128</v>
      </c>
      <c r="F207" s="10" t="s">
        <v>385</v>
      </c>
      <c r="G207" s="1">
        <v>0</v>
      </c>
      <c r="H207" s="1">
        <v>0.02</v>
      </c>
      <c r="I207" s="8">
        <v>45034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95032</v>
      </c>
      <c r="AJ207" s="2">
        <v>150</v>
      </c>
      <c r="AK207" s="2">
        <v>1697</v>
      </c>
      <c r="AL207" s="2">
        <v>2.68</v>
      </c>
      <c r="AM207" s="5">
        <v>849.84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2855.46</v>
      </c>
      <c r="AT207" s="12">
        <v>2549.52</v>
      </c>
      <c r="AU207" s="2">
        <v>50.99</v>
      </c>
      <c r="AV207" s="5">
        <v>0</v>
      </c>
      <c r="AX207" s="2">
        <v>95032</v>
      </c>
      <c r="AY207" s="2">
        <v>150</v>
      </c>
      <c r="AZ207" s="2">
        <v>1697</v>
      </c>
      <c r="BA207" s="2">
        <v>2.68</v>
      </c>
      <c r="BB207" s="5">
        <v>849.84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2855.46</v>
      </c>
      <c r="BI207" s="12">
        <v>2549.52</v>
      </c>
      <c r="BJ207" s="2">
        <v>50.99</v>
      </c>
      <c r="BK207" s="5">
        <v>0</v>
      </c>
      <c r="BL207" s="1" t="s">
        <v>1239</v>
      </c>
    </row>
    <row r="208" spans="1:64" x14ac:dyDescent="0.3">
      <c r="A208" t="s">
        <v>1233</v>
      </c>
      <c r="B208" s="1" t="s">
        <v>1240</v>
      </c>
      <c r="C208" s="9" t="s">
        <v>1241</v>
      </c>
      <c r="D208" s="1" t="s">
        <v>43</v>
      </c>
      <c r="E208" s="1" t="s">
        <v>128</v>
      </c>
      <c r="F208" s="10" t="s">
        <v>385</v>
      </c>
      <c r="G208" s="1">
        <v>0</v>
      </c>
      <c r="H208" s="1">
        <v>0.02</v>
      </c>
      <c r="I208" s="8">
        <v>45035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201230</v>
      </c>
      <c r="AJ208" s="2">
        <v>80</v>
      </c>
      <c r="AK208" s="2">
        <v>3593.39</v>
      </c>
      <c r="AL208" s="2">
        <v>1.43</v>
      </c>
      <c r="AM208" s="5">
        <v>1797.41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6039.3</v>
      </c>
      <c r="AT208" s="12">
        <v>5392.23</v>
      </c>
      <c r="AU208" s="2">
        <v>107.84</v>
      </c>
      <c r="AV208" s="5">
        <v>0</v>
      </c>
      <c r="AX208" s="2">
        <v>201230</v>
      </c>
      <c r="AY208" s="2">
        <v>80</v>
      </c>
      <c r="AZ208" s="2">
        <v>3593.39</v>
      </c>
      <c r="BA208" s="2">
        <v>1.43</v>
      </c>
      <c r="BB208" s="5">
        <v>1797.41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6039.3</v>
      </c>
      <c r="BI208" s="12">
        <v>5392.23</v>
      </c>
      <c r="BJ208" s="2">
        <v>107.84</v>
      </c>
      <c r="BK208" s="5">
        <v>0</v>
      </c>
      <c r="BL208" s="1" t="s">
        <v>326</v>
      </c>
    </row>
    <row r="209" spans="1:64" x14ac:dyDescent="0.3">
      <c r="A209" t="s">
        <v>1233</v>
      </c>
      <c r="B209" s="1" t="s">
        <v>1242</v>
      </c>
      <c r="C209" s="9" t="s">
        <v>1243</v>
      </c>
      <c r="D209" s="1" t="s">
        <v>43</v>
      </c>
      <c r="E209" s="1" t="s">
        <v>128</v>
      </c>
      <c r="F209" s="10" t="s">
        <v>385</v>
      </c>
      <c r="G209" s="1">
        <v>0</v>
      </c>
      <c r="H209" s="1">
        <v>0.02</v>
      </c>
      <c r="I209" s="8">
        <v>45112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98639.5</v>
      </c>
      <c r="AJ209" s="2">
        <v>0</v>
      </c>
      <c r="AK209" s="2">
        <v>1761.42</v>
      </c>
      <c r="AL209" s="2">
        <v>0</v>
      </c>
      <c r="AM209" s="5">
        <v>880.71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2959.19</v>
      </c>
      <c r="AT209" s="12">
        <v>2642.13</v>
      </c>
      <c r="AU209" s="2">
        <v>52.84</v>
      </c>
      <c r="AV209" s="5">
        <v>0</v>
      </c>
      <c r="AX209" s="2">
        <v>98639.5</v>
      </c>
      <c r="AY209" s="2">
        <v>0</v>
      </c>
      <c r="AZ209" s="2">
        <v>1761.42</v>
      </c>
      <c r="BA209" s="2">
        <v>0</v>
      </c>
      <c r="BB209" s="5">
        <v>880.71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2959.19</v>
      </c>
      <c r="BI209" s="12">
        <v>2642.13</v>
      </c>
      <c r="BJ209" s="2">
        <v>52.84</v>
      </c>
      <c r="BK209" s="5">
        <v>0</v>
      </c>
      <c r="BL209" s="1" t="s">
        <v>326</v>
      </c>
    </row>
    <row r="210" spans="1:64" x14ac:dyDescent="0.3">
      <c r="A210" t="s">
        <v>1246</v>
      </c>
      <c r="B210" s="1" t="s">
        <v>1246</v>
      </c>
      <c r="C210" s="9" t="s">
        <v>1247</v>
      </c>
      <c r="D210" s="1" t="s">
        <v>43</v>
      </c>
      <c r="E210" s="1" t="s">
        <v>128</v>
      </c>
      <c r="F210" s="10" t="s">
        <v>385</v>
      </c>
      <c r="G210" s="1">
        <v>0</v>
      </c>
      <c r="H210" s="1">
        <v>0.02</v>
      </c>
      <c r="I210" s="8">
        <v>45152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592565.75</v>
      </c>
      <c r="AJ210" s="2">
        <v>18701</v>
      </c>
      <c r="AK210" s="2">
        <v>10581.54</v>
      </c>
      <c r="AL210" s="2">
        <v>333.95</v>
      </c>
      <c r="AM210" s="5">
        <v>5457.74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18338.02</v>
      </c>
      <c r="AT210" s="12">
        <v>16373.230000000001</v>
      </c>
      <c r="AU210" s="2">
        <v>327.45999999999998</v>
      </c>
      <c r="AV210" s="5">
        <v>0</v>
      </c>
      <c r="AX210" s="2">
        <v>592565.75</v>
      </c>
      <c r="AY210" s="2">
        <v>18701</v>
      </c>
      <c r="AZ210" s="2">
        <v>10581.54</v>
      </c>
      <c r="BA210" s="2">
        <v>333.95</v>
      </c>
      <c r="BB210" s="5">
        <v>5457.74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18338.02</v>
      </c>
      <c r="BI210" s="12">
        <v>16373.230000000001</v>
      </c>
      <c r="BJ210" s="2">
        <v>327.45999999999998</v>
      </c>
      <c r="BK210" s="5">
        <v>0</v>
      </c>
      <c r="BL210" s="1" t="s">
        <v>326</v>
      </c>
    </row>
    <row r="211" spans="1:64" x14ac:dyDescent="0.3">
      <c r="A211" t="s">
        <v>1246</v>
      </c>
      <c r="B211" s="1" t="s">
        <v>1248</v>
      </c>
      <c r="C211" s="9" t="s">
        <v>1249</v>
      </c>
      <c r="D211" s="1" t="s">
        <v>43</v>
      </c>
      <c r="E211" s="1" t="s">
        <v>128</v>
      </c>
      <c r="F211" s="10" t="s">
        <v>385</v>
      </c>
      <c r="G211" s="1">
        <v>0</v>
      </c>
      <c r="H211" s="1">
        <v>0.02</v>
      </c>
      <c r="I211" s="8">
        <v>45173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128500</v>
      </c>
      <c r="AJ211" s="2">
        <v>12470</v>
      </c>
      <c r="AK211" s="2">
        <v>2294.64</v>
      </c>
      <c r="AL211" s="2">
        <v>222.68</v>
      </c>
      <c r="AM211" s="5">
        <v>1258.6600000000001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4229.1000000000004</v>
      </c>
      <c r="AT211" s="12">
        <v>3775.9799999999996</v>
      </c>
      <c r="AU211" s="2">
        <v>75.52</v>
      </c>
      <c r="AV211" s="5">
        <v>0</v>
      </c>
      <c r="AX211" s="2">
        <v>128500</v>
      </c>
      <c r="AY211" s="2">
        <v>12470</v>
      </c>
      <c r="AZ211" s="2">
        <v>2294.64</v>
      </c>
      <c r="BA211" s="2">
        <v>222.68</v>
      </c>
      <c r="BB211" s="5">
        <v>1258.6600000000001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4229.1000000000004</v>
      </c>
      <c r="BI211" s="12">
        <v>3775.9799999999996</v>
      </c>
      <c r="BJ211" s="2">
        <v>75.52</v>
      </c>
      <c r="BK211" s="5">
        <v>0</v>
      </c>
      <c r="BL211" s="1" t="s">
        <v>1239</v>
      </c>
    </row>
    <row r="212" spans="1:64" x14ac:dyDescent="0.3">
      <c r="A212" t="s">
        <v>1246</v>
      </c>
      <c r="B212" s="1" t="s">
        <v>1250</v>
      </c>
      <c r="C212" s="9" t="s">
        <v>1251</v>
      </c>
      <c r="D212" s="1" t="s">
        <v>43</v>
      </c>
      <c r="E212" s="1" t="s">
        <v>128</v>
      </c>
      <c r="F212" s="10" t="s">
        <v>385</v>
      </c>
      <c r="G212" s="1">
        <v>0</v>
      </c>
      <c r="H212" s="1">
        <v>0.02</v>
      </c>
      <c r="I212" s="8">
        <v>45250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131949.9</v>
      </c>
      <c r="AJ212" s="2">
        <v>14065</v>
      </c>
      <c r="AK212" s="2">
        <v>2356.25</v>
      </c>
      <c r="AL212" s="2">
        <v>251.16</v>
      </c>
      <c r="AM212" s="5">
        <v>1303.71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4380.45</v>
      </c>
      <c r="AT212" s="12">
        <v>3911.12</v>
      </c>
      <c r="AU212" s="2">
        <v>78.22</v>
      </c>
      <c r="AV212" s="5">
        <v>0</v>
      </c>
      <c r="AX212" s="2">
        <v>131949.9</v>
      </c>
      <c r="AY212" s="2">
        <v>14065</v>
      </c>
      <c r="AZ212" s="2">
        <v>2356.25</v>
      </c>
      <c r="BA212" s="2">
        <v>251.16</v>
      </c>
      <c r="BB212" s="5">
        <v>1303.71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4380.45</v>
      </c>
      <c r="BI212" s="12">
        <v>3911.12</v>
      </c>
      <c r="BJ212" s="2">
        <v>78.22</v>
      </c>
      <c r="BK212" s="5">
        <v>0</v>
      </c>
      <c r="BL212" s="1" t="s">
        <v>1239</v>
      </c>
    </row>
    <row r="213" spans="1:64" x14ac:dyDescent="0.3">
      <c r="A213" t="s">
        <v>1252</v>
      </c>
      <c r="B213" s="1" t="s">
        <v>1252</v>
      </c>
      <c r="C213" s="9" t="s">
        <v>1253</v>
      </c>
      <c r="D213" s="1" t="s">
        <v>43</v>
      </c>
      <c r="E213" s="1" t="s">
        <v>128</v>
      </c>
      <c r="F213" s="10" t="s">
        <v>385</v>
      </c>
      <c r="G213" s="1">
        <v>0</v>
      </c>
      <c r="H213" s="1">
        <v>0.02</v>
      </c>
      <c r="I213" s="8">
        <v>45131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144426</v>
      </c>
      <c r="AJ213" s="2">
        <v>15686</v>
      </c>
      <c r="AK213" s="2">
        <v>2579.04</v>
      </c>
      <c r="AL213" s="2">
        <v>280.11</v>
      </c>
      <c r="AM213" s="5">
        <v>1429.57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4803.37</v>
      </c>
      <c r="AT213" s="12">
        <v>4288.72</v>
      </c>
      <c r="AU213" s="2">
        <v>85.77</v>
      </c>
      <c r="AV213" s="5">
        <v>0</v>
      </c>
      <c r="AX213" s="2">
        <v>144426</v>
      </c>
      <c r="AY213" s="2">
        <v>15686</v>
      </c>
      <c r="AZ213" s="2">
        <v>2579.04</v>
      </c>
      <c r="BA213" s="2">
        <v>280.11</v>
      </c>
      <c r="BB213" s="5">
        <v>1429.57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4803.37</v>
      </c>
      <c r="BI213" s="12">
        <v>4288.72</v>
      </c>
      <c r="BJ213" s="2">
        <v>85.77</v>
      </c>
      <c r="BK213" s="5">
        <v>0</v>
      </c>
      <c r="BL213" s="1" t="s">
        <v>326</v>
      </c>
    </row>
    <row r="214" spans="1:64" x14ac:dyDescent="0.3">
      <c r="A214" t="s">
        <v>1274</v>
      </c>
      <c r="B214" s="1" t="s">
        <v>1274</v>
      </c>
      <c r="C214" s="9" t="s">
        <v>1275</v>
      </c>
      <c r="D214" s="1" t="s">
        <v>43</v>
      </c>
      <c r="E214" s="1" t="s">
        <v>128</v>
      </c>
      <c r="F214" s="10" t="s">
        <v>385</v>
      </c>
      <c r="G214" s="1">
        <v>0</v>
      </c>
      <c r="H214" s="1">
        <v>0.02</v>
      </c>
      <c r="I214" s="8">
        <v>45283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89352</v>
      </c>
      <c r="AJ214" s="2">
        <v>3199</v>
      </c>
      <c r="AK214" s="2">
        <v>1595.57</v>
      </c>
      <c r="AL214" s="2">
        <v>57.12</v>
      </c>
      <c r="AM214" s="5">
        <v>826.35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2776.52</v>
      </c>
      <c r="AT214" s="12">
        <v>2479.04</v>
      </c>
      <c r="AU214" s="2">
        <v>49.58</v>
      </c>
      <c r="AV214" s="5">
        <v>0</v>
      </c>
      <c r="AX214" s="2">
        <v>89352</v>
      </c>
      <c r="AY214" s="2">
        <v>3199</v>
      </c>
      <c r="AZ214" s="2">
        <v>1595.57</v>
      </c>
      <c r="BA214" s="2">
        <v>57.12</v>
      </c>
      <c r="BB214" s="5">
        <v>826.35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2776.52</v>
      </c>
      <c r="BI214" s="12">
        <v>2479.04</v>
      </c>
      <c r="BJ214" s="2">
        <v>49.58</v>
      </c>
      <c r="BK214" s="5">
        <v>0</v>
      </c>
      <c r="BL214" s="1" t="s">
        <v>326</v>
      </c>
    </row>
    <row r="215" spans="1:64" x14ac:dyDescent="0.3">
      <c r="A215" t="s">
        <v>1274</v>
      </c>
      <c r="B215" s="1" t="s">
        <v>1276</v>
      </c>
      <c r="C215" s="9" t="s">
        <v>1277</v>
      </c>
      <c r="D215" s="1" t="s">
        <v>43</v>
      </c>
      <c r="E215" s="1" t="s">
        <v>128</v>
      </c>
      <c r="F215" s="10" t="s">
        <v>385</v>
      </c>
      <c r="G215" s="1">
        <v>0</v>
      </c>
      <c r="H215" s="1">
        <v>0.02</v>
      </c>
      <c r="I215" s="8">
        <v>45296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308520</v>
      </c>
      <c r="AJ215" s="2">
        <v>10030</v>
      </c>
      <c r="AK215" s="2">
        <v>5509.29</v>
      </c>
      <c r="AL215" s="2">
        <v>179.11</v>
      </c>
      <c r="AM215" s="5">
        <v>2844.2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9556.51</v>
      </c>
      <c r="AT215" s="12">
        <v>8532.5999999999985</v>
      </c>
      <c r="AU215" s="2">
        <v>170.65</v>
      </c>
      <c r="AV215" s="5">
        <v>0</v>
      </c>
      <c r="AX215" s="2">
        <v>308520</v>
      </c>
      <c r="AY215" s="2">
        <v>10030</v>
      </c>
      <c r="AZ215" s="2">
        <v>5509.29</v>
      </c>
      <c r="BA215" s="2">
        <v>179.11</v>
      </c>
      <c r="BB215" s="5">
        <v>2844.2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9556.51</v>
      </c>
      <c r="BI215" s="12">
        <v>8532.5999999999985</v>
      </c>
      <c r="BJ215" s="2">
        <v>170.65</v>
      </c>
      <c r="BK215" s="5">
        <v>0</v>
      </c>
      <c r="BL215" s="1" t="s">
        <v>326</v>
      </c>
    </row>
    <row r="216" spans="1:64" x14ac:dyDescent="0.3">
      <c r="A216" t="s">
        <v>1300</v>
      </c>
      <c r="B216" s="1" t="s">
        <v>1300</v>
      </c>
      <c r="C216" s="9" t="s">
        <v>1301</v>
      </c>
      <c r="D216" s="1" t="s">
        <v>43</v>
      </c>
      <c r="E216" s="1" t="s">
        <v>88</v>
      </c>
      <c r="F216" s="10" t="s">
        <v>639</v>
      </c>
      <c r="G216" s="1">
        <v>0</v>
      </c>
      <c r="H216" s="1">
        <v>0.02</v>
      </c>
      <c r="I216" s="8">
        <v>45350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344384.45</v>
      </c>
      <c r="AJ216" s="2">
        <v>36596</v>
      </c>
      <c r="AK216" s="2">
        <v>6149.72</v>
      </c>
      <c r="AL216" s="2">
        <v>653.5</v>
      </c>
      <c r="AM216" s="5">
        <v>3401.61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11429.41</v>
      </c>
      <c r="AT216" s="12">
        <v>10204.83</v>
      </c>
      <c r="AU216" s="2">
        <v>204.1</v>
      </c>
      <c r="AV216" s="5">
        <v>0</v>
      </c>
      <c r="AX216" s="2">
        <v>344384.45</v>
      </c>
      <c r="AY216" s="2">
        <v>36596</v>
      </c>
      <c r="AZ216" s="2">
        <v>6149.72</v>
      </c>
      <c r="BA216" s="2">
        <v>653.5</v>
      </c>
      <c r="BB216" s="5">
        <v>3401.61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11429.41</v>
      </c>
      <c r="BI216" s="12">
        <v>10204.83</v>
      </c>
      <c r="BJ216" s="2">
        <v>204.1</v>
      </c>
      <c r="BK216" s="5">
        <v>0</v>
      </c>
      <c r="BL216" s="1" t="s">
        <v>90</v>
      </c>
    </row>
    <row r="217" spans="1:64" x14ac:dyDescent="0.3">
      <c r="A217" t="s">
        <v>1300</v>
      </c>
      <c r="B217" s="1" t="s">
        <v>1302</v>
      </c>
      <c r="C217" s="9" t="s">
        <v>1303</v>
      </c>
      <c r="D217" s="1" t="s">
        <v>43</v>
      </c>
      <c r="E217" s="1" t="s">
        <v>88</v>
      </c>
      <c r="F217" s="10" t="s">
        <v>639</v>
      </c>
      <c r="G217" s="1">
        <v>0</v>
      </c>
      <c r="H217" s="1">
        <v>0.02</v>
      </c>
      <c r="I217" s="8">
        <v>45389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145947.76</v>
      </c>
      <c r="AJ217" s="2">
        <v>0</v>
      </c>
      <c r="AK217" s="2">
        <v>2606.21</v>
      </c>
      <c r="AL217" s="2">
        <v>0</v>
      </c>
      <c r="AM217" s="5">
        <v>1303.1099999999999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4378.4399999999996</v>
      </c>
      <c r="AT217" s="12">
        <v>3909.3199999999997</v>
      </c>
      <c r="AU217" s="2">
        <v>78.19</v>
      </c>
      <c r="AV217" s="5">
        <v>0</v>
      </c>
      <c r="AX217" s="2">
        <v>145947.76</v>
      </c>
      <c r="AY217" s="2">
        <v>0</v>
      </c>
      <c r="AZ217" s="2">
        <v>2606.21</v>
      </c>
      <c r="BA217" s="2">
        <v>0</v>
      </c>
      <c r="BB217" s="5">
        <v>1303.1099999999999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4378.4399999999996</v>
      </c>
      <c r="BI217" s="12">
        <v>3909.3199999999997</v>
      </c>
      <c r="BJ217" s="2">
        <v>78.19</v>
      </c>
      <c r="BK217" s="5">
        <v>0</v>
      </c>
      <c r="BL217" s="1" t="s">
        <v>90</v>
      </c>
    </row>
    <row r="218" spans="1:64" x14ac:dyDescent="0.3">
      <c r="A218" t="s">
        <v>1334</v>
      </c>
      <c r="B218" s="1" t="s">
        <v>1334</v>
      </c>
      <c r="C218" s="9" t="s">
        <v>1335</v>
      </c>
      <c r="D218" s="1" t="s">
        <v>43</v>
      </c>
      <c r="E218" s="1" t="s">
        <v>135</v>
      </c>
      <c r="F218" s="10" t="s">
        <v>144</v>
      </c>
      <c r="G218" s="1">
        <v>0</v>
      </c>
      <c r="H218" s="1">
        <v>0.02</v>
      </c>
      <c r="I218" s="8">
        <v>45252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306851</v>
      </c>
      <c r="AJ218" s="2">
        <v>54782</v>
      </c>
      <c r="AK218" s="2">
        <v>5479.48</v>
      </c>
      <c r="AL218" s="2">
        <v>978.25</v>
      </c>
      <c r="AM218" s="5">
        <v>3228.87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10848.99</v>
      </c>
      <c r="AT218" s="12">
        <v>9686.5999999999985</v>
      </c>
      <c r="AU218" s="2">
        <v>193.73</v>
      </c>
      <c r="AV218" s="5">
        <v>0</v>
      </c>
      <c r="AX218" s="2">
        <v>306851</v>
      </c>
      <c r="AY218" s="2">
        <v>54782</v>
      </c>
      <c r="AZ218" s="2">
        <v>5479.48</v>
      </c>
      <c r="BA218" s="2">
        <v>978.25</v>
      </c>
      <c r="BB218" s="5">
        <v>3228.87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10848.99</v>
      </c>
      <c r="BI218" s="12">
        <v>9686.5999999999985</v>
      </c>
      <c r="BJ218" s="2">
        <v>193.73</v>
      </c>
      <c r="BK218" s="5">
        <v>0</v>
      </c>
      <c r="BL218" s="1" t="s">
        <v>436</v>
      </c>
    </row>
    <row r="219" spans="1:64" x14ac:dyDescent="0.3">
      <c r="A219" t="s">
        <v>1336</v>
      </c>
      <c r="B219" s="1" t="s">
        <v>1336</v>
      </c>
      <c r="C219" s="9" t="s">
        <v>1337</v>
      </c>
      <c r="D219" s="1" t="s">
        <v>43</v>
      </c>
      <c r="E219" s="1" t="s">
        <v>135</v>
      </c>
      <c r="F219" s="10" t="s">
        <v>316</v>
      </c>
      <c r="G219" s="1">
        <v>0</v>
      </c>
      <c r="H219" s="1">
        <v>0.02</v>
      </c>
      <c r="I219" s="8">
        <v>45296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324816.23</v>
      </c>
      <c r="AJ219" s="2">
        <v>58650</v>
      </c>
      <c r="AK219" s="2">
        <v>5800.29</v>
      </c>
      <c r="AL219" s="2">
        <v>1047.32</v>
      </c>
      <c r="AM219" s="5">
        <v>3423.8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11503.98</v>
      </c>
      <c r="AT219" s="12">
        <v>10271.41</v>
      </c>
      <c r="AU219" s="2">
        <v>205.43</v>
      </c>
      <c r="AV219" s="5">
        <v>0</v>
      </c>
      <c r="AX219" s="2">
        <v>324816.23</v>
      </c>
      <c r="AY219" s="2">
        <v>58650</v>
      </c>
      <c r="AZ219" s="2">
        <v>5800.29</v>
      </c>
      <c r="BA219" s="2">
        <v>1047.32</v>
      </c>
      <c r="BB219" s="5">
        <v>3423.8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11503.98</v>
      </c>
      <c r="BI219" s="12">
        <v>10271.41</v>
      </c>
      <c r="BJ219" s="2">
        <v>205.43</v>
      </c>
      <c r="BK219" s="5">
        <v>0</v>
      </c>
      <c r="BL219" s="1" t="s">
        <v>302</v>
      </c>
    </row>
    <row r="220" spans="1:64" x14ac:dyDescent="0.3">
      <c r="A220" t="s">
        <v>1351</v>
      </c>
      <c r="B220" s="1" t="s">
        <v>1351</v>
      </c>
      <c r="C220" s="9" t="s">
        <v>1352</v>
      </c>
      <c r="D220" s="1" t="s">
        <v>43</v>
      </c>
      <c r="E220" s="1" t="s">
        <v>135</v>
      </c>
      <c r="F220" s="10" t="s">
        <v>144</v>
      </c>
      <c r="G220" s="1">
        <v>0</v>
      </c>
      <c r="H220" s="1">
        <v>0.02</v>
      </c>
      <c r="I220" s="8">
        <v>45311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572074</v>
      </c>
      <c r="AJ220" s="2">
        <v>82506</v>
      </c>
      <c r="AK220" s="2">
        <v>10215.61</v>
      </c>
      <c r="AL220" s="2">
        <v>1473.32</v>
      </c>
      <c r="AM220" s="5">
        <v>5844.46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19637.400000000001</v>
      </c>
      <c r="AT220" s="12">
        <v>17533.39</v>
      </c>
      <c r="AU220" s="2">
        <v>350.67</v>
      </c>
      <c r="AV220" s="5">
        <v>0</v>
      </c>
      <c r="AX220" s="2">
        <v>572074</v>
      </c>
      <c r="AY220" s="2">
        <v>82506</v>
      </c>
      <c r="AZ220" s="2">
        <v>10215.61</v>
      </c>
      <c r="BA220" s="2">
        <v>1473.32</v>
      </c>
      <c r="BB220" s="5">
        <v>5844.46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19637.400000000001</v>
      </c>
      <c r="BI220" s="12">
        <v>17533.39</v>
      </c>
      <c r="BJ220" s="2">
        <v>350.67</v>
      </c>
      <c r="BK220" s="5">
        <v>0</v>
      </c>
      <c r="BL220" s="1" t="s">
        <v>137</v>
      </c>
    </row>
    <row r="221" spans="1:64" x14ac:dyDescent="0.3">
      <c r="A221" t="s">
        <v>1353</v>
      </c>
      <c r="B221" s="1" t="s">
        <v>1353</v>
      </c>
      <c r="C221" s="9" t="s">
        <v>1354</v>
      </c>
      <c r="D221" s="1" t="s">
        <v>43</v>
      </c>
      <c r="E221" s="1" t="s">
        <v>135</v>
      </c>
      <c r="F221" s="10" t="s">
        <v>583</v>
      </c>
      <c r="G221" s="1">
        <v>0</v>
      </c>
      <c r="H221" s="1">
        <v>0.02</v>
      </c>
      <c r="I221" s="8">
        <v>45297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315610</v>
      </c>
      <c r="AJ221" s="2">
        <v>29305</v>
      </c>
      <c r="AK221" s="2">
        <v>5635.89</v>
      </c>
      <c r="AL221" s="2">
        <v>523.29999999999995</v>
      </c>
      <c r="AM221" s="5">
        <v>3079.6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10347.44</v>
      </c>
      <c r="AT221" s="12">
        <v>9238.7900000000009</v>
      </c>
      <c r="AU221" s="2">
        <v>184.78</v>
      </c>
      <c r="AV221" s="5">
        <v>0</v>
      </c>
      <c r="AX221" s="2">
        <v>315610</v>
      </c>
      <c r="AY221" s="2">
        <v>29305</v>
      </c>
      <c r="AZ221" s="2">
        <v>5635.89</v>
      </c>
      <c r="BA221" s="2">
        <v>523.29999999999995</v>
      </c>
      <c r="BB221" s="5">
        <v>3079.6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10347.44</v>
      </c>
      <c r="BI221" s="12">
        <v>9238.7900000000009</v>
      </c>
      <c r="BJ221" s="2">
        <v>184.78</v>
      </c>
      <c r="BK221" s="5">
        <v>0</v>
      </c>
      <c r="BL221" s="1" t="s">
        <v>137</v>
      </c>
    </row>
    <row r="222" spans="1:64" x14ac:dyDescent="0.3">
      <c r="A222" t="s">
        <v>1379</v>
      </c>
      <c r="B222" s="1" t="s">
        <v>1380</v>
      </c>
      <c r="C222" s="9" t="s">
        <v>1381</v>
      </c>
      <c r="D222" s="1" t="s">
        <v>43</v>
      </c>
      <c r="E222" s="1" t="s">
        <v>135</v>
      </c>
      <c r="F222" s="10" t="s">
        <v>144</v>
      </c>
      <c r="G222" s="1">
        <v>0</v>
      </c>
      <c r="H222" s="1">
        <v>0.02</v>
      </c>
      <c r="I222" s="8">
        <v>45198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573602.85</v>
      </c>
      <c r="AJ222" s="2">
        <v>13425</v>
      </c>
      <c r="AK222" s="2">
        <v>10242.91</v>
      </c>
      <c r="AL222" s="2">
        <v>239.73</v>
      </c>
      <c r="AM222" s="5">
        <v>5241.32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17610.84</v>
      </c>
      <c r="AT222" s="12">
        <v>15723.96</v>
      </c>
      <c r="AU222" s="2">
        <v>314.48</v>
      </c>
      <c r="AV222" s="5">
        <v>0</v>
      </c>
      <c r="AX222" s="2">
        <v>573602.85</v>
      </c>
      <c r="AY222" s="2">
        <v>13425</v>
      </c>
      <c r="AZ222" s="2">
        <v>10242.91</v>
      </c>
      <c r="BA222" s="2">
        <v>239.73</v>
      </c>
      <c r="BB222" s="5">
        <v>5241.32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17610.84</v>
      </c>
      <c r="BI222" s="12">
        <v>15723.96</v>
      </c>
      <c r="BJ222" s="2">
        <v>314.48</v>
      </c>
      <c r="BK222" s="5">
        <v>0</v>
      </c>
      <c r="BL222" s="1" t="s">
        <v>137</v>
      </c>
    </row>
    <row r="223" spans="1:64" x14ac:dyDescent="0.3">
      <c r="A223" t="s">
        <v>1379</v>
      </c>
      <c r="B223" s="1" t="s">
        <v>1382</v>
      </c>
      <c r="C223" s="9" t="s">
        <v>1383</v>
      </c>
      <c r="D223" s="1" t="s">
        <v>43</v>
      </c>
      <c r="E223" s="1" t="s">
        <v>135</v>
      </c>
      <c r="F223" s="10" t="s">
        <v>144</v>
      </c>
      <c r="G223" s="1">
        <v>0</v>
      </c>
      <c r="H223" s="1">
        <v>0.02</v>
      </c>
      <c r="I223" s="8">
        <v>45204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200583.85</v>
      </c>
      <c r="AJ223" s="2">
        <v>20555</v>
      </c>
      <c r="AK223" s="2">
        <v>3581.86</v>
      </c>
      <c r="AL223" s="2">
        <v>367.05</v>
      </c>
      <c r="AM223" s="5">
        <v>1974.46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6634.17</v>
      </c>
      <c r="AT223" s="12">
        <v>5923.3700000000008</v>
      </c>
      <c r="AU223" s="2">
        <v>118.47</v>
      </c>
      <c r="AV223" s="5">
        <v>0</v>
      </c>
      <c r="AX223" s="2">
        <v>200583.85</v>
      </c>
      <c r="AY223" s="2">
        <v>20555</v>
      </c>
      <c r="AZ223" s="2">
        <v>3581.86</v>
      </c>
      <c r="BA223" s="2">
        <v>367.05</v>
      </c>
      <c r="BB223" s="5">
        <v>1974.46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6634.17</v>
      </c>
      <c r="BI223" s="12">
        <v>5923.3700000000008</v>
      </c>
      <c r="BJ223" s="2">
        <v>118.47</v>
      </c>
      <c r="BK223" s="5">
        <v>0</v>
      </c>
      <c r="BL223" s="1" t="s">
        <v>137</v>
      </c>
    </row>
    <row r="224" spans="1:64" x14ac:dyDescent="0.3">
      <c r="A224" t="s">
        <v>1379</v>
      </c>
      <c r="B224" s="1" t="s">
        <v>1379</v>
      </c>
      <c r="C224" s="9" t="s">
        <v>1384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45373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247281.2</v>
      </c>
      <c r="AJ224" s="2">
        <v>56050</v>
      </c>
      <c r="AK224" s="2">
        <v>4415.7299999999996</v>
      </c>
      <c r="AL224" s="2">
        <v>1000.89</v>
      </c>
      <c r="AM224" s="5">
        <v>2708.31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9099.92</v>
      </c>
      <c r="AT224" s="12">
        <v>8124.93</v>
      </c>
      <c r="AU224" s="2">
        <v>162.5</v>
      </c>
      <c r="AV224" s="5">
        <v>0</v>
      </c>
      <c r="AX224" s="2">
        <v>247281.2</v>
      </c>
      <c r="AY224" s="2">
        <v>56050</v>
      </c>
      <c r="AZ224" s="2">
        <v>4415.7299999999996</v>
      </c>
      <c r="BA224" s="2">
        <v>1000.89</v>
      </c>
      <c r="BB224" s="5">
        <v>2708.31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9099.92</v>
      </c>
      <c r="BI224" s="12">
        <v>8124.93</v>
      </c>
      <c r="BJ224" s="2">
        <v>162.5</v>
      </c>
      <c r="BK224" s="5">
        <v>0</v>
      </c>
      <c r="BL224" s="1" t="s">
        <v>137</v>
      </c>
    </row>
    <row r="225" spans="1:64" x14ac:dyDescent="0.3">
      <c r="A225" t="s">
        <v>86</v>
      </c>
      <c r="B225" s="1" t="s">
        <v>86</v>
      </c>
      <c r="C225" s="9" t="s">
        <v>87</v>
      </c>
      <c r="D225" s="1" t="s">
        <v>44</v>
      </c>
      <c r="E225" s="1" t="s">
        <v>88</v>
      </c>
      <c r="F225" s="10" t="s">
        <v>89</v>
      </c>
      <c r="G225" s="1">
        <v>0</v>
      </c>
      <c r="H225" s="1">
        <v>0.02</v>
      </c>
      <c r="I225" s="8">
        <v>44328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379032.95999999996</v>
      </c>
      <c r="AJ225" s="2">
        <v>95706</v>
      </c>
      <c r="AK225" s="2">
        <v>6768.45</v>
      </c>
      <c r="AL225" s="2">
        <v>1709.04</v>
      </c>
      <c r="AM225" s="5">
        <v>4238.74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14242.18</v>
      </c>
      <c r="AT225" s="12">
        <v>12716.23</v>
      </c>
      <c r="AU225" s="2">
        <v>254.32</v>
      </c>
      <c r="AV225" s="5">
        <v>0</v>
      </c>
      <c r="AX225" s="2">
        <v>379032.95999999996</v>
      </c>
      <c r="AY225" s="2">
        <v>95706</v>
      </c>
      <c r="AZ225" s="2">
        <v>6768.45</v>
      </c>
      <c r="BA225" s="2">
        <v>1709.04</v>
      </c>
      <c r="BB225" s="5">
        <v>4238.74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14242.18</v>
      </c>
      <c r="BI225" s="12">
        <v>12716.23</v>
      </c>
      <c r="BJ225" s="2">
        <v>254.32</v>
      </c>
      <c r="BK225" s="5">
        <v>0</v>
      </c>
      <c r="BL225" s="1" t="s">
        <v>90</v>
      </c>
    </row>
    <row r="226" spans="1:64" x14ac:dyDescent="0.3">
      <c r="A226" t="s">
        <v>86</v>
      </c>
      <c r="B226" s="1" t="s">
        <v>91</v>
      </c>
      <c r="C226" s="9" t="s">
        <v>92</v>
      </c>
      <c r="D226" s="1" t="s">
        <v>44</v>
      </c>
      <c r="E226" s="1" t="s">
        <v>88</v>
      </c>
      <c r="F226" s="10" t="s">
        <v>89</v>
      </c>
      <c r="G226" s="1">
        <v>0</v>
      </c>
      <c r="H226" s="1">
        <v>0.02</v>
      </c>
      <c r="I226" s="8">
        <v>44365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306968</v>
      </c>
      <c r="AJ226" s="2">
        <v>41837</v>
      </c>
      <c r="AK226" s="2">
        <v>5481.57</v>
      </c>
      <c r="AL226" s="2">
        <v>747.09</v>
      </c>
      <c r="AM226" s="5">
        <v>3114.33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10464.15</v>
      </c>
      <c r="AT226" s="12">
        <v>9342.99</v>
      </c>
      <c r="AU226" s="2">
        <v>186.86</v>
      </c>
      <c r="AV226" s="5">
        <v>0</v>
      </c>
      <c r="AX226" s="2">
        <v>306968</v>
      </c>
      <c r="AY226" s="2">
        <v>41837</v>
      </c>
      <c r="AZ226" s="2">
        <v>5481.57</v>
      </c>
      <c r="BA226" s="2">
        <v>747.09</v>
      </c>
      <c r="BB226" s="5">
        <v>3114.33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10464.15</v>
      </c>
      <c r="BI226" s="12">
        <v>9342.99</v>
      </c>
      <c r="BJ226" s="2">
        <v>186.86</v>
      </c>
      <c r="BK226" s="5">
        <v>0</v>
      </c>
      <c r="BL226" s="1" t="s">
        <v>90</v>
      </c>
    </row>
    <row r="227" spans="1:64" x14ac:dyDescent="0.3">
      <c r="A227" t="s">
        <v>99</v>
      </c>
      <c r="B227" s="1" t="s">
        <v>99</v>
      </c>
      <c r="C227" s="9" t="s">
        <v>100</v>
      </c>
      <c r="D227" s="1" t="s">
        <v>44</v>
      </c>
      <c r="E227" s="1" t="s">
        <v>88</v>
      </c>
      <c r="F227" s="10" t="s">
        <v>101</v>
      </c>
      <c r="G227" s="1">
        <v>2.5000000000000001E-2</v>
      </c>
      <c r="H227" s="1">
        <v>0.02</v>
      </c>
      <c r="I227" s="8">
        <v>45725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0</v>
      </c>
      <c r="AJ227" s="2">
        <v>0</v>
      </c>
      <c r="AK227" s="2">
        <v>0</v>
      </c>
      <c r="AL227" s="2">
        <v>0</v>
      </c>
      <c r="AM227" s="5">
        <v>0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0</v>
      </c>
      <c r="AT227" s="12">
        <v>0</v>
      </c>
      <c r="AU227" s="2">
        <v>0</v>
      </c>
      <c r="AV227" s="5">
        <v>0</v>
      </c>
      <c r="AX227" s="2">
        <v>0</v>
      </c>
      <c r="AY227" s="2">
        <v>0</v>
      </c>
      <c r="AZ227" s="2">
        <v>0</v>
      </c>
      <c r="BA227" s="2">
        <v>0</v>
      </c>
      <c r="BB227" s="5">
        <v>0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0</v>
      </c>
      <c r="BI227" s="12">
        <v>0</v>
      </c>
      <c r="BJ227" s="2">
        <v>0</v>
      </c>
      <c r="BK227" s="5">
        <v>0</v>
      </c>
      <c r="BL227" s="1" t="s">
        <v>90</v>
      </c>
    </row>
    <row r="228" spans="1:64" x14ac:dyDescent="0.3">
      <c r="A228" t="s">
        <v>102</v>
      </c>
      <c r="B228" s="1" t="s">
        <v>102</v>
      </c>
      <c r="C228" s="9" t="s">
        <v>103</v>
      </c>
      <c r="D228" s="1" t="s">
        <v>44</v>
      </c>
      <c r="E228" s="1" t="s">
        <v>88</v>
      </c>
      <c r="F228" s="10" t="s">
        <v>104</v>
      </c>
      <c r="G228" s="1">
        <v>2.5000000000000001E-2</v>
      </c>
      <c r="H228" s="1">
        <v>0.02</v>
      </c>
      <c r="I228" s="8">
        <v>44009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501089</v>
      </c>
      <c r="AJ228" s="2">
        <v>147476</v>
      </c>
      <c r="AK228" s="2">
        <v>8948.02</v>
      </c>
      <c r="AL228" s="2">
        <v>2633.5</v>
      </c>
      <c r="AM228" s="5">
        <v>5790.76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19456.95</v>
      </c>
      <c r="AT228" s="12">
        <v>17372.28</v>
      </c>
      <c r="AU228" s="2">
        <v>347.45</v>
      </c>
      <c r="AV228" s="5">
        <v>0</v>
      </c>
      <c r="AX228" s="2">
        <v>501089</v>
      </c>
      <c r="AY228" s="2">
        <v>147476</v>
      </c>
      <c r="AZ228" s="2">
        <v>8948.02</v>
      </c>
      <c r="BA228" s="2">
        <v>2633.5</v>
      </c>
      <c r="BB228" s="5">
        <v>5790.76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19456.95</v>
      </c>
      <c r="BI228" s="12">
        <v>17372.28</v>
      </c>
      <c r="BJ228" s="2">
        <v>347.45</v>
      </c>
      <c r="BK228" s="5">
        <v>0</v>
      </c>
      <c r="BL228" s="1" t="s">
        <v>90</v>
      </c>
    </row>
    <row r="229" spans="1:64" x14ac:dyDescent="0.3">
      <c r="A229" t="s">
        <v>112</v>
      </c>
      <c r="B229" s="1" t="s">
        <v>112</v>
      </c>
      <c r="C229" s="9" t="s">
        <v>113</v>
      </c>
      <c r="D229" s="1" t="s">
        <v>44</v>
      </c>
      <c r="E229" s="1" t="s">
        <v>88</v>
      </c>
      <c r="F229" s="10" t="s">
        <v>114</v>
      </c>
      <c r="G229" s="1">
        <v>2.5000000000000001E-2</v>
      </c>
      <c r="H229" s="1">
        <v>0.02</v>
      </c>
      <c r="I229" s="8">
        <v>45657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492066.38</v>
      </c>
      <c r="AJ229" s="2">
        <v>122615.23</v>
      </c>
      <c r="AK229" s="2">
        <v>8786.9</v>
      </c>
      <c r="AL229" s="2">
        <v>2189.5500000000002</v>
      </c>
      <c r="AM229" s="5">
        <v>5488.23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18440.439999999999</v>
      </c>
      <c r="AT229" s="12">
        <v>16464.68</v>
      </c>
      <c r="AU229" s="2">
        <v>329.29</v>
      </c>
      <c r="AV229" s="5">
        <v>0</v>
      </c>
      <c r="AX229" s="2">
        <v>492066.38</v>
      </c>
      <c r="AY229" s="2">
        <v>122615.23</v>
      </c>
      <c r="AZ229" s="2">
        <v>8786.9</v>
      </c>
      <c r="BA229" s="2">
        <v>2189.5500000000002</v>
      </c>
      <c r="BB229" s="5">
        <v>5488.23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18440.439999999999</v>
      </c>
      <c r="BI229" s="12">
        <v>16464.68</v>
      </c>
      <c r="BJ229" s="2">
        <v>329.29</v>
      </c>
      <c r="BK229" s="5">
        <v>0</v>
      </c>
      <c r="BL229" s="1" t="s">
        <v>90</v>
      </c>
    </row>
    <row r="230" spans="1:64" x14ac:dyDescent="0.3">
      <c r="A230" t="s">
        <v>118</v>
      </c>
      <c r="B230" s="1" t="s">
        <v>118</v>
      </c>
      <c r="C230" s="9" t="s">
        <v>119</v>
      </c>
      <c r="D230" s="1" t="s">
        <v>44</v>
      </c>
      <c r="E230" s="1" t="s">
        <v>88</v>
      </c>
      <c r="F230" s="10" t="s">
        <v>114</v>
      </c>
      <c r="G230" s="1">
        <v>2.5000000000000001E-2</v>
      </c>
      <c r="H230" s="1">
        <v>0.02</v>
      </c>
      <c r="I230" s="8">
        <v>44009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738405.79</v>
      </c>
      <c r="AJ230" s="2">
        <v>151545</v>
      </c>
      <c r="AK230" s="2">
        <v>13185.82</v>
      </c>
      <c r="AL230" s="2">
        <v>2706.16</v>
      </c>
      <c r="AM230" s="5">
        <v>7945.99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26698.53</v>
      </c>
      <c r="AT230" s="12">
        <v>23837.97</v>
      </c>
      <c r="AU230" s="2">
        <v>476.76</v>
      </c>
      <c r="AV230" s="5">
        <v>0</v>
      </c>
      <c r="AX230" s="2">
        <v>738405.79</v>
      </c>
      <c r="AY230" s="2">
        <v>151545</v>
      </c>
      <c r="AZ230" s="2">
        <v>13185.82</v>
      </c>
      <c r="BA230" s="2">
        <v>2706.16</v>
      </c>
      <c r="BB230" s="5">
        <v>7945.99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26698.53</v>
      </c>
      <c r="BI230" s="12">
        <v>23837.97</v>
      </c>
      <c r="BJ230" s="2">
        <v>476.76</v>
      </c>
      <c r="BK230" s="5">
        <v>0</v>
      </c>
      <c r="BL230" s="1" t="s">
        <v>90</v>
      </c>
    </row>
    <row r="231" spans="1:64" x14ac:dyDescent="0.3">
      <c r="A231" t="s">
        <v>156</v>
      </c>
      <c r="B231" s="1" t="s">
        <v>156</v>
      </c>
      <c r="C231" s="9" t="s">
        <v>157</v>
      </c>
      <c r="D231" s="1" t="s">
        <v>44</v>
      </c>
      <c r="E231" s="1" t="s">
        <v>88</v>
      </c>
      <c r="F231" s="10" t="s">
        <v>101</v>
      </c>
      <c r="G231" s="1">
        <v>2.5000000000000001E-2</v>
      </c>
      <c r="H231" s="1">
        <v>0.02</v>
      </c>
      <c r="I231" s="8">
        <v>45716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257922.99000000002</v>
      </c>
      <c r="AJ231" s="2">
        <v>90327.91</v>
      </c>
      <c r="AK231" s="2">
        <v>4605.7700000000004</v>
      </c>
      <c r="AL231" s="2">
        <v>1613</v>
      </c>
      <c r="AM231" s="5">
        <v>3109.38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10447.530000000001</v>
      </c>
      <c r="AT231" s="12">
        <v>9328.1500000000015</v>
      </c>
      <c r="AU231" s="2">
        <v>186.56</v>
      </c>
      <c r="AV231" s="5">
        <v>0</v>
      </c>
      <c r="AX231" s="2">
        <v>257922.99000000002</v>
      </c>
      <c r="AY231" s="2">
        <v>90327.91</v>
      </c>
      <c r="AZ231" s="2">
        <v>4605.7700000000004</v>
      </c>
      <c r="BA231" s="2">
        <v>1613</v>
      </c>
      <c r="BB231" s="5">
        <v>3109.38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10447.530000000001</v>
      </c>
      <c r="BI231" s="12">
        <v>9328.1500000000015</v>
      </c>
      <c r="BJ231" s="2">
        <v>186.56</v>
      </c>
      <c r="BK231" s="5">
        <v>0</v>
      </c>
      <c r="BL231" s="1" t="s">
        <v>90</v>
      </c>
    </row>
    <row r="232" spans="1:64" x14ac:dyDescent="0.3">
      <c r="A232" t="s">
        <v>164</v>
      </c>
      <c r="B232" s="1" t="s">
        <v>164</v>
      </c>
      <c r="C232" s="9" t="s">
        <v>165</v>
      </c>
      <c r="D232" s="1" t="s">
        <v>44</v>
      </c>
      <c r="E232" s="1" t="s">
        <v>88</v>
      </c>
      <c r="F232" s="10" t="s">
        <v>89</v>
      </c>
      <c r="G232" s="1">
        <v>2.5000000000000001E-2</v>
      </c>
      <c r="H232" s="1">
        <v>0.02</v>
      </c>
      <c r="I232" s="8">
        <v>45657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588592</v>
      </c>
      <c r="AJ232" s="2">
        <v>143717</v>
      </c>
      <c r="AK232" s="2">
        <v>10510.57</v>
      </c>
      <c r="AL232" s="2">
        <v>2566.38</v>
      </c>
      <c r="AM232" s="5">
        <v>6538.47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21969.27</v>
      </c>
      <c r="AT232" s="12">
        <v>19615.420000000002</v>
      </c>
      <c r="AU232" s="2">
        <v>392.31</v>
      </c>
      <c r="AV232" s="5">
        <v>0</v>
      </c>
      <c r="AX232" s="2">
        <v>588592</v>
      </c>
      <c r="AY232" s="2">
        <v>143717</v>
      </c>
      <c r="AZ232" s="2">
        <v>10510.57</v>
      </c>
      <c r="BA232" s="2">
        <v>2566.38</v>
      </c>
      <c r="BB232" s="5">
        <v>6538.47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21969.27</v>
      </c>
      <c r="BI232" s="12">
        <v>19615.420000000002</v>
      </c>
      <c r="BJ232" s="2">
        <v>392.31</v>
      </c>
      <c r="BK232" s="5">
        <v>0</v>
      </c>
      <c r="BL232" s="1" t="s">
        <v>90</v>
      </c>
    </row>
    <row r="233" spans="1:64" x14ac:dyDescent="0.3">
      <c r="A233" t="s">
        <v>164</v>
      </c>
      <c r="B233" s="1" t="s">
        <v>166</v>
      </c>
      <c r="C233" s="9" t="s">
        <v>167</v>
      </c>
      <c r="D233" s="1" t="s">
        <v>44</v>
      </c>
      <c r="E233" s="1" t="s">
        <v>88</v>
      </c>
      <c r="F233" s="10" t="s">
        <v>89</v>
      </c>
      <c r="G233" s="1">
        <v>2.5000000000000001E-2</v>
      </c>
      <c r="H233" s="1">
        <v>0.02</v>
      </c>
      <c r="I233" s="8">
        <v>45657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314334</v>
      </c>
      <c r="AJ233" s="2">
        <v>60487</v>
      </c>
      <c r="AK233" s="2">
        <v>5613.11</v>
      </c>
      <c r="AL233" s="2">
        <v>1080.1199999999999</v>
      </c>
      <c r="AM233" s="5">
        <v>3346.62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11244.63</v>
      </c>
      <c r="AT233" s="12">
        <v>10039.849999999999</v>
      </c>
      <c r="AU233" s="2">
        <v>200.8</v>
      </c>
      <c r="AV233" s="5">
        <v>0</v>
      </c>
      <c r="AX233" s="2">
        <v>314334</v>
      </c>
      <c r="AY233" s="2">
        <v>60487</v>
      </c>
      <c r="AZ233" s="2">
        <v>5613.11</v>
      </c>
      <c r="BA233" s="2">
        <v>1080.1199999999999</v>
      </c>
      <c r="BB233" s="5">
        <v>3346.62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11244.63</v>
      </c>
      <c r="BI233" s="12">
        <v>10039.849999999999</v>
      </c>
      <c r="BJ233" s="2">
        <v>200.8</v>
      </c>
      <c r="BK233" s="5">
        <v>0</v>
      </c>
      <c r="BL233" s="1" t="s">
        <v>90</v>
      </c>
    </row>
    <row r="234" spans="1:64" x14ac:dyDescent="0.3">
      <c r="A234" t="s">
        <v>164</v>
      </c>
      <c r="B234" s="1" t="s">
        <v>168</v>
      </c>
      <c r="C234" s="9" t="s">
        <v>169</v>
      </c>
      <c r="D234" s="1" t="s">
        <v>44</v>
      </c>
      <c r="E234" s="1" t="s">
        <v>88</v>
      </c>
      <c r="F234" s="10" t="s">
        <v>89</v>
      </c>
      <c r="G234" s="1">
        <v>0</v>
      </c>
      <c r="H234" s="1">
        <v>0.02</v>
      </c>
      <c r="I234" s="8">
        <v>45657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244663</v>
      </c>
      <c r="AJ234" s="2">
        <v>88285</v>
      </c>
      <c r="AK234" s="2">
        <v>4368.9799999999996</v>
      </c>
      <c r="AL234" s="2">
        <v>1576.52</v>
      </c>
      <c r="AM234" s="5">
        <v>2972.75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9988.44</v>
      </c>
      <c r="AT234" s="12">
        <v>8918.25</v>
      </c>
      <c r="AU234" s="2">
        <v>178.36</v>
      </c>
      <c r="AV234" s="5">
        <v>0</v>
      </c>
      <c r="AX234" s="2">
        <v>244663</v>
      </c>
      <c r="AY234" s="2">
        <v>88285</v>
      </c>
      <c r="AZ234" s="2">
        <v>4368.9799999999996</v>
      </c>
      <c r="BA234" s="2">
        <v>1576.52</v>
      </c>
      <c r="BB234" s="5">
        <v>2972.75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9988.44</v>
      </c>
      <c r="BI234" s="12">
        <v>8918.25</v>
      </c>
      <c r="BJ234" s="2">
        <v>178.36</v>
      </c>
      <c r="BK234" s="5">
        <v>0</v>
      </c>
      <c r="BL234" s="1" t="s">
        <v>90</v>
      </c>
    </row>
    <row r="235" spans="1:64" x14ac:dyDescent="0.3">
      <c r="A235" t="s">
        <v>170</v>
      </c>
      <c r="B235" s="1" t="s">
        <v>170</v>
      </c>
      <c r="C235" s="9" t="s">
        <v>171</v>
      </c>
      <c r="D235" s="1" t="s">
        <v>44</v>
      </c>
      <c r="E235" s="1" t="s">
        <v>88</v>
      </c>
      <c r="F235" s="10" t="s">
        <v>89</v>
      </c>
      <c r="G235" s="1">
        <v>2.5000000000000001E-2</v>
      </c>
      <c r="H235" s="1">
        <v>0.02</v>
      </c>
      <c r="I235" s="8">
        <v>45657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397675.52999999997</v>
      </c>
      <c r="AJ235" s="2">
        <v>96991.169999999984</v>
      </c>
      <c r="AK235" s="2">
        <v>7101.35</v>
      </c>
      <c r="AL235" s="2">
        <v>1731.98</v>
      </c>
      <c r="AM235" s="5">
        <v>4416.67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14840</v>
      </c>
      <c r="AT235" s="12">
        <v>13250</v>
      </c>
      <c r="AU235" s="2">
        <v>265</v>
      </c>
      <c r="AV235" s="5">
        <v>0</v>
      </c>
      <c r="AX235" s="2">
        <v>397675.52999999997</v>
      </c>
      <c r="AY235" s="2">
        <v>96991.169999999984</v>
      </c>
      <c r="AZ235" s="2">
        <v>7101.35</v>
      </c>
      <c r="BA235" s="2">
        <v>1731.98</v>
      </c>
      <c r="BB235" s="5">
        <v>4416.67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14840</v>
      </c>
      <c r="BI235" s="12">
        <v>13250</v>
      </c>
      <c r="BJ235" s="2">
        <v>265</v>
      </c>
      <c r="BK235" s="5">
        <v>0</v>
      </c>
      <c r="BL235" s="1" t="s">
        <v>90</v>
      </c>
    </row>
    <row r="236" spans="1:64" x14ac:dyDescent="0.3">
      <c r="A236" t="s">
        <v>170</v>
      </c>
      <c r="B236" s="1" t="s">
        <v>172</v>
      </c>
      <c r="C236" s="9" t="s">
        <v>173</v>
      </c>
      <c r="D236" s="1" t="s">
        <v>44</v>
      </c>
      <c r="E236" s="1" t="s">
        <v>88</v>
      </c>
      <c r="F236" s="10" t="s">
        <v>89</v>
      </c>
      <c r="G236" s="1">
        <v>0</v>
      </c>
      <c r="H236" s="1">
        <v>0.02</v>
      </c>
      <c r="I236" s="8">
        <v>45657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66799</v>
      </c>
      <c r="AJ236" s="2">
        <v>45265</v>
      </c>
      <c r="AK236" s="2">
        <v>1192.8399999999999</v>
      </c>
      <c r="AL236" s="2">
        <v>808.3</v>
      </c>
      <c r="AM236" s="5">
        <v>1000.57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3361.92</v>
      </c>
      <c r="AT236" s="12">
        <v>3001.71</v>
      </c>
      <c r="AU236" s="2">
        <v>60.03</v>
      </c>
      <c r="AV236" s="5">
        <v>0</v>
      </c>
      <c r="AX236" s="2">
        <v>66799</v>
      </c>
      <c r="AY236" s="2">
        <v>45265</v>
      </c>
      <c r="AZ236" s="2">
        <v>1192.8399999999999</v>
      </c>
      <c r="BA236" s="2">
        <v>808.3</v>
      </c>
      <c r="BB236" s="5">
        <v>1000.57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3361.92</v>
      </c>
      <c r="BI236" s="12">
        <v>3001.71</v>
      </c>
      <c r="BJ236" s="2">
        <v>60.03</v>
      </c>
      <c r="BK236" s="5">
        <v>0</v>
      </c>
      <c r="BL236" s="1" t="s">
        <v>90</v>
      </c>
    </row>
    <row r="237" spans="1:64" x14ac:dyDescent="0.3">
      <c r="A237" t="s">
        <v>174</v>
      </c>
      <c r="B237" s="1" t="s">
        <v>174</v>
      </c>
      <c r="C237" s="9" t="s">
        <v>175</v>
      </c>
      <c r="D237" s="1" t="s">
        <v>44</v>
      </c>
      <c r="E237" s="1" t="s">
        <v>88</v>
      </c>
      <c r="F237" s="10" t="s">
        <v>104</v>
      </c>
      <c r="G237" s="1">
        <v>2.5000000000000001E-2</v>
      </c>
      <c r="H237" s="1">
        <v>0.02</v>
      </c>
      <c r="I237" s="8">
        <v>44051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584693</v>
      </c>
      <c r="AJ237" s="2">
        <v>153868.75</v>
      </c>
      <c r="AK237" s="2">
        <v>10440.950000000001</v>
      </c>
      <c r="AL237" s="2">
        <v>2747.66</v>
      </c>
      <c r="AM237" s="5">
        <v>6594.3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22156.86</v>
      </c>
      <c r="AT237" s="12">
        <v>19782.91</v>
      </c>
      <c r="AU237" s="2">
        <v>395.66</v>
      </c>
      <c r="AV237" s="5">
        <v>0</v>
      </c>
      <c r="AX237" s="2">
        <v>584693</v>
      </c>
      <c r="AY237" s="2">
        <v>153868.75</v>
      </c>
      <c r="AZ237" s="2">
        <v>10440.950000000001</v>
      </c>
      <c r="BA237" s="2">
        <v>2747.66</v>
      </c>
      <c r="BB237" s="5">
        <v>6594.3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22156.86</v>
      </c>
      <c r="BI237" s="12">
        <v>19782.91</v>
      </c>
      <c r="BJ237" s="2">
        <v>395.66</v>
      </c>
      <c r="BK237" s="5">
        <v>0</v>
      </c>
      <c r="BL237" s="1" t="s">
        <v>90</v>
      </c>
    </row>
    <row r="238" spans="1:64" x14ac:dyDescent="0.3">
      <c r="A238" t="s">
        <v>176</v>
      </c>
      <c r="B238" s="1" t="s">
        <v>176</v>
      </c>
      <c r="C238" s="9" t="s">
        <v>177</v>
      </c>
      <c r="D238" s="1" t="s">
        <v>44</v>
      </c>
      <c r="E238" s="1" t="s">
        <v>88</v>
      </c>
      <c r="F238" s="10" t="s">
        <v>178</v>
      </c>
      <c r="G238" s="1">
        <v>2.5000000000000001E-2</v>
      </c>
      <c r="H238" s="1">
        <v>0.02</v>
      </c>
      <c r="I238" s="8">
        <v>44358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506334.08</v>
      </c>
      <c r="AJ238" s="2">
        <v>98633.97</v>
      </c>
      <c r="AK238" s="2">
        <v>9041.68</v>
      </c>
      <c r="AL238" s="2">
        <v>1761.32</v>
      </c>
      <c r="AM238" s="5">
        <v>5401.5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18149.04</v>
      </c>
      <c r="AT238" s="12">
        <v>16204.5</v>
      </c>
      <c r="AU238" s="2">
        <v>324.08999999999997</v>
      </c>
      <c r="AV238" s="5">
        <v>0</v>
      </c>
      <c r="AX238" s="2">
        <v>506334.08</v>
      </c>
      <c r="AY238" s="2">
        <v>98633.97</v>
      </c>
      <c r="AZ238" s="2">
        <v>9041.68</v>
      </c>
      <c r="BA238" s="2">
        <v>1761.32</v>
      </c>
      <c r="BB238" s="5">
        <v>5401.5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18149.04</v>
      </c>
      <c r="BI238" s="12">
        <v>16204.5</v>
      </c>
      <c r="BJ238" s="2">
        <v>324.08999999999997</v>
      </c>
      <c r="BK238" s="5">
        <v>0</v>
      </c>
      <c r="BL238" s="1" t="s">
        <v>90</v>
      </c>
    </row>
    <row r="239" spans="1:64" x14ac:dyDescent="0.3">
      <c r="A239" t="s">
        <v>179</v>
      </c>
      <c r="B239" s="1" t="s">
        <v>179</v>
      </c>
      <c r="C239" s="9" t="s">
        <v>180</v>
      </c>
      <c r="D239" s="1" t="s">
        <v>44</v>
      </c>
      <c r="E239" s="1" t="s">
        <v>88</v>
      </c>
      <c r="F239" s="10" t="s">
        <v>181</v>
      </c>
      <c r="G239" s="1">
        <v>2.5000000000000001E-2</v>
      </c>
      <c r="H239" s="1">
        <v>0.02</v>
      </c>
      <c r="I239" s="8">
        <v>45657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368292.25</v>
      </c>
      <c r="AJ239" s="2">
        <v>89831</v>
      </c>
      <c r="AK239" s="2">
        <v>6576.64</v>
      </c>
      <c r="AL239" s="2">
        <v>1604.12</v>
      </c>
      <c r="AM239" s="5">
        <v>4090.38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13743.68</v>
      </c>
      <c r="AT239" s="12">
        <v>12271.14</v>
      </c>
      <c r="AU239" s="2">
        <v>245.42</v>
      </c>
      <c r="AV239" s="5">
        <v>0</v>
      </c>
      <c r="AX239" s="2">
        <v>368292.25</v>
      </c>
      <c r="AY239" s="2">
        <v>89831</v>
      </c>
      <c r="AZ239" s="2">
        <v>6576.64</v>
      </c>
      <c r="BA239" s="2">
        <v>1604.12</v>
      </c>
      <c r="BB239" s="5">
        <v>4090.38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13743.68</v>
      </c>
      <c r="BI239" s="12">
        <v>12271.14</v>
      </c>
      <c r="BJ239" s="2">
        <v>245.42</v>
      </c>
      <c r="BK239" s="5">
        <v>0</v>
      </c>
      <c r="BL239" s="1" t="s">
        <v>90</v>
      </c>
    </row>
    <row r="240" spans="1:64" x14ac:dyDescent="0.3">
      <c r="A240" t="s">
        <v>179</v>
      </c>
      <c r="B240" s="1" t="s">
        <v>182</v>
      </c>
      <c r="C240" s="9" t="s">
        <v>183</v>
      </c>
      <c r="D240" s="1" t="s">
        <v>44</v>
      </c>
      <c r="E240" s="1" t="s">
        <v>88</v>
      </c>
      <c r="F240" s="10" t="s">
        <v>181</v>
      </c>
      <c r="G240" s="1">
        <v>3.5000000000000003E-2</v>
      </c>
      <c r="H240" s="1">
        <v>0.02</v>
      </c>
      <c r="I240" s="8">
        <v>45657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86096</v>
      </c>
      <c r="AJ240" s="2">
        <v>69450</v>
      </c>
      <c r="AK240" s="2">
        <v>1537.43</v>
      </c>
      <c r="AL240" s="2">
        <v>1240.18</v>
      </c>
      <c r="AM240" s="5">
        <v>1388.8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4666.38</v>
      </c>
      <c r="AT240" s="12">
        <v>4166.41</v>
      </c>
      <c r="AU240" s="2">
        <v>83.33</v>
      </c>
      <c r="AV240" s="5">
        <v>0</v>
      </c>
      <c r="AX240" s="2">
        <v>86096</v>
      </c>
      <c r="AY240" s="2">
        <v>69450</v>
      </c>
      <c r="AZ240" s="2">
        <v>1537.43</v>
      </c>
      <c r="BA240" s="2">
        <v>1240.18</v>
      </c>
      <c r="BB240" s="5">
        <v>1388.8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4666.38</v>
      </c>
      <c r="BI240" s="12">
        <v>4166.41</v>
      </c>
      <c r="BJ240" s="2">
        <v>83.33</v>
      </c>
      <c r="BK240" s="5">
        <v>0</v>
      </c>
      <c r="BL240" s="1" t="s">
        <v>90</v>
      </c>
    </row>
    <row r="241" spans="1:64" x14ac:dyDescent="0.3">
      <c r="A241" t="s">
        <v>179</v>
      </c>
      <c r="B241" s="1" t="s">
        <v>184</v>
      </c>
      <c r="C241" s="9" t="s">
        <v>185</v>
      </c>
      <c r="D241" s="1" t="s">
        <v>44</v>
      </c>
      <c r="E241" s="1" t="s">
        <v>88</v>
      </c>
      <c r="F241" s="10" t="s">
        <v>181</v>
      </c>
      <c r="G241" s="1">
        <v>2.5000000000000001E-2</v>
      </c>
      <c r="H241" s="1">
        <v>0.02</v>
      </c>
      <c r="I241" s="8">
        <v>45657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107387</v>
      </c>
      <c r="AJ241" s="2">
        <v>52537</v>
      </c>
      <c r="AK241" s="2">
        <v>1917.62</v>
      </c>
      <c r="AL241" s="2">
        <v>938.16</v>
      </c>
      <c r="AM241" s="5">
        <v>1427.89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4797.71</v>
      </c>
      <c r="AT241" s="12">
        <v>4283.67</v>
      </c>
      <c r="AU241" s="2">
        <v>85.67</v>
      </c>
      <c r="AV241" s="5">
        <v>0</v>
      </c>
      <c r="AX241" s="2">
        <v>107387</v>
      </c>
      <c r="AY241" s="2">
        <v>52537</v>
      </c>
      <c r="AZ241" s="2">
        <v>1917.62</v>
      </c>
      <c r="BA241" s="2">
        <v>938.16</v>
      </c>
      <c r="BB241" s="5">
        <v>1427.89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4797.71</v>
      </c>
      <c r="BI241" s="12">
        <v>4283.67</v>
      </c>
      <c r="BJ241" s="2">
        <v>85.67</v>
      </c>
      <c r="BK241" s="5">
        <v>0</v>
      </c>
      <c r="BL241" s="1" t="s">
        <v>90</v>
      </c>
    </row>
    <row r="242" spans="1:64" x14ac:dyDescent="0.3">
      <c r="A242" t="s">
        <v>186</v>
      </c>
      <c r="B242" s="1" t="s">
        <v>186</v>
      </c>
      <c r="C242" s="9" t="s">
        <v>187</v>
      </c>
      <c r="D242" s="1" t="s">
        <v>44</v>
      </c>
      <c r="E242" s="1" t="s">
        <v>88</v>
      </c>
      <c r="F242" s="10" t="s">
        <v>188</v>
      </c>
      <c r="G242" s="1">
        <v>2.5000000000000001E-2</v>
      </c>
      <c r="H242" s="1">
        <v>0.02</v>
      </c>
      <c r="I242" s="8">
        <v>44396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436215.1</v>
      </c>
      <c r="AJ242" s="2">
        <v>82121.5</v>
      </c>
      <c r="AK242" s="2">
        <v>7789.55</v>
      </c>
      <c r="AL242" s="2">
        <v>1466.46</v>
      </c>
      <c r="AM242" s="5">
        <v>4628.01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15550.1</v>
      </c>
      <c r="AT242" s="12">
        <v>13884.02</v>
      </c>
      <c r="AU242" s="2">
        <v>277.68</v>
      </c>
      <c r="AV242" s="5">
        <v>0</v>
      </c>
      <c r="AX242" s="2">
        <v>436215.1</v>
      </c>
      <c r="AY242" s="2">
        <v>82121.5</v>
      </c>
      <c r="AZ242" s="2">
        <v>7789.55</v>
      </c>
      <c r="BA242" s="2">
        <v>1466.46</v>
      </c>
      <c r="BB242" s="5">
        <v>4628.01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15550.1</v>
      </c>
      <c r="BI242" s="12">
        <v>13884.02</v>
      </c>
      <c r="BJ242" s="2">
        <v>277.68</v>
      </c>
      <c r="BK242" s="5">
        <v>0</v>
      </c>
      <c r="BL242" s="1" t="s">
        <v>90</v>
      </c>
    </row>
    <row r="243" spans="1:64" x14ac:dyDescent="0.3">
      <c r="A243" t="s">
        <v>186</v>
      </c>
      <c r="B243" s="1" t="s">
        <v>189</v>
      </c>
      <c r="C243" s="9" t="s">
        <v>190</v>
      </c>
      <c r="D243" s="1" t="s">
        <v>44</v>
      </c>
      <c r="E243" s="1" t="s">
        <v>88</v>
      </c>
      <c r="F243" s="10" t="s">
        <v>188</v>
      </c>
      <c r="G243" s="1">
        <v>2.5000000000000001E-2</v>
      </c>
      <c r="H243" s="1">
        <v>0.02</v>
      </c>
      <c r="I243" s="8">
        <v>44396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253887.57</v>
      </c>
      <c r="AJ243" s="2">
        <v>65592</v>
      </c>
      <c r="AK243" s="2">
        <v>4533.71</v>
      </c>
      <c r="AL243" s="2">
        <v>1171.29</v>
      </c>
      <c r="AM243" s="5">
        <v>2852.5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9584.4</v>
      </c>
      <c r="AT243" s="12">
        <v>8557.5</v>
      </c>
      <c r="AU243" s="2">
        <v>171.15</v>
      </c>
      <c r="AV243" s="5">
        <v>0</v>
      </c>
      <c r="AX243" s="2">
        <v>253887.57</v>
      </c>
      <c r="AY243" s="2">
        <v>65592</v>
      </c>
      <c r="AZ243" s="2">
        <v>4533.71</v>
      </c>
      <c r="BA243" s="2">
        <v>1171.29</v>
      </c>
      <c r="BB243" s="5">
        <v>2852.5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9584.4</v>
      </c>
      <c r="BI243" s="12">
        <v>8557.5</v>
      </c>
      <c r="BJ243" s="2">
        <v>171.15</v>
      </c>
      <c r="BK243" s="5">
        <v>0</v>
      </c>
      <c r="BL243" s="1" t="s">
        <v>90</v>
      </c>
    </row>
    <row r="244" spans="1:64" x14ac:dyDescent="0.3">
      <c r="A244" t="s">
        <v>204</v>
      </c>
      <c r="B244" s="1" t="s">
        <v>204</v>
      </c>
      <c r="C244" s="9" t="s">
        <v>205</v>
      </c>
      <c r="D244" s="1" t="s">
        <v>44</v>
      </c>
      <c r="E244" s="1" t="s">
        <v>88</v>
      </c>
      <c r="F244" s="10" t="s">
        <v>181</v>
      </c>
      <c r="G244" s="1">
        <v>2.5000000000000001E-2</v>
      </c>
      <c r="H244" s="1">
        <v>0.02</v>
      </c>
      <c r="I244" s="8">
        <v>45657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507918.8</v>
      </c>
      <c r="AJ244" s="2">
        <v>121774</v>
      </c>
      <c r="AK244" s="2">
        <v>9069.98</v>
      </c>
      <c r="AL244" s="2">
        <v>2174.54</v>
      </c>
      <c r="AM244" s="5">
        <v>5622.26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18890.79</v>
      </c>
      <c r="AT244" s="12">
        <v>16866.78</v>
      </c>
      <c r="AU244" s="2">
        <v>337.34</v>
      </c>
      <c r="AV244" s="5">
        <v>0</v>
      </c>
      <c r="AX244" s="2">
        <v>507918.8</v>
      </c>
      <c r="AY244" s="2">
        <v>121774</v>
      </c>
      <c r="AZ244" s="2">
        <v>9069.98</v>
      </c>
      <c r="BA244" s="2">
        <v>2174.54</v>
      </c>
      <c r="BB244" s="5">
        <v>5622.26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18890.79</v>
      </c>
      <c r="BI244" s="12">
        <v>16866.78</v>
      </c>
      <c r="BJ244" s="2">
        <v>337.34</v>
      </c>
      <c r="BK244" s="5">
        <v>0</v>
      </c>
      <c r="BL244" s="1" t="s">
        <v>90</v>
      </c>
    </row>
    <row r="245" spans="1:64" x14ac:dyDescent="0.3">
      <c r="A245" t="s">
        <v>204</v>
      </c>
      <c r="B245" s="1" t="s">
        <v>206</v>
      </c>
      <c r="C245" s="9" t="s">
        <v>207</v>
      </c>
      <c r="D245" s="1" t="s">
        <v>44</v>
      </c>
      <c r="E245" s="1" t="s">
        <v>88</v>
      </c>
      <c r="F245" s="10" t="s">
        <v>181</v>
      </c>
      <c r="G245" s="1">
        <v>3.5000000000000003E-2</v>
      </c>
      <c r="H245" s="1">
        <v>0.02</v>
      </c>
      <c r="I245" s="8">
        <v>45657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182593</v>
      </c>
      <c r="AJ245" s="2">
        <v>62918</v>
      </c>
      <c r="AK245" s="2">
        <v>3260.59</v>
      </c>
      <c r="AL245" s="2">
        <v>1123.54</v>
      </c>
      <c r="AM245" s="5">
        <v>2192.06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7365.33</v>
      </c>
      <c r="AT245" s="12">
        <v>6576.1900000000005</v>
      </c>
      <c r="AU245" s="2">
        <v>131.52000000000001</v>
      </c>
      <c r="AV245" s="5">
        <v>0</v>
      </c>
      <c r="AX245" s="2">
        <v>182593</v>
      </c>
      <c r="AY245" s="2">
        <v>62918</v>
      </c>
      <c r="AZ245" s="2">
        <v>3260.59</v>
      </c>
      <c r="BA245" s="2">
        <v>1123.54</v>
      </c>
      <c r="BB245" s="5">
        <v>2192.06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7365.33</v>
      </c>
      <c r="BI245" s="12">
        <v>6576.1900000000005</v>
      </c>
      <c r="BJ245" s="2">
        <v>131.52000000000001</v>
      </c>
      <c r="BK245" s="5">
        <v>0</v>
      </c>
      <c r="BL245" s="1" t="s">
        <v>90</v>
      </c>
    </row>
    <row r="246" spans="1:64" x14ac:dyDescent="0.3">
      <c r="A246" t="s">
        <v>208</v>
      </c>
      <c r="B246" s="1" t="s">
        <v>208</v>
      </c>
      <c r="C246" s="9" t="s">
        <v>209</v>
      </c>
      <c r="D246" s="1" t="s">
        <v>44</v>
      </c>
      <c r="E246" s="1" t="s">
        <v>88</v>
      </c>
      <c r="F246" s="10" t="s">
        <v>181</v>
      </c>
      <c r="G246" s="1">
        <v>2.5000000000000001E-2</v>
      </c>
      <c r="H246" s="1">
        <v>0.02</v>
      </c>
      <c r="I246" s="8">
        <v>45752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384476.15</v>
      </c>
      <c r="AJ246" s="2">
        <v>76869</v>
      </c>
      <c r="AK246" s="2">
        <v>7094.5</v>
      </c>
      <c r="AL246" s="2">
        <v>1418.42</v>
      </c>
      <c r="AM246" s="5">
        <v>4119.1499999999996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14147.92</v>
      </c>
      <c r="AT246" s="12">
        <v>12632.07</v>
      </c>
      <c r="AU246" s="2">
        <v>252.64</v>
      </c>
      <c r="AV246" s="5">
        <v>0</v>
      </c>
      <c r="AX246" s="2">
        <v>384476.15</v>
      </c>
      <c r="AY246" s="2">
        <v>76869</v>
      </c>
      <c r="AZ246" s="2">
        <v>7094.5</v>
      </c>
      <c r="BA246" s="2">
        <v>1418.42</v>
      </c>
      <c r="BB246" s="5">
        <v>4119.1499999999996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14147.92</v>
      </c>
      <c r="BI246" s="12">
        <v>12632.07</v>
      </c>
      <c r="BJ246" s="2">
        <v>252.64</v>
      </c>
      <c r="BK246" s="5">
        <v>0</v>
      </c>
      <c r="BL246" s="1" t="s">
        <v>90</v>
      </c>
    </row>
    <row r="247" spans="1:64" x14ac:dyDescent="0.3">
      <c r="A247" t="s">
        <v>208</v>
      </c>
      <c r="B247" s="1" t="s">
        <v>210</v>
      </c>
      <c r="C247" s="9" t="s">
        <v>211</v>
      </c>
      <c r="D247" s="1" t="s">
        <v>44</v>
      </c>
      <c r="E247" s="1" t="s">
        <v>88</v>
      </c>
      <c r="F247" s="10" t="s">
        <v>181</v>
      </c>
      <c r="G247" s="1">
        <v>2.5000000000000001E-2</v>
      </c>
      <c r="H247" s="1">
        <v>0.02</v>
      </c>
      <c r="I247" s="8">
        <v>45752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85978</v>
      </c>
      <c r="AJ247" s="2">
        <v>43478</v>
      </c>
      <c r="AK247" s="2">
        <v>1586.5</v>
      </c>
      <c r="AL247" s="2">
        <v>802.28</v>
      </c>
      <c r="AM247" s="5">
        <v>1155.8599999999999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3970</v>
      </c>
      <c r="AT247" s="12">
        <v>3544.6399999999994</v>
      </c>
      <c r="AU247" s="2">
        <v>70.89</v>
      </c>
      <c r="AV247" s="5">
        <v>0</v>
      </c>
      <c r="AX247" s="2">
        <v>85978</v>
      </c>
      <c r="AY247" s="2">
        <v>43478</v>
      </c>
      <c r="AZ247" s="2">
        <v>1586.5</v>
      </c>
      <c r="BA247" s="2">
        <v>802.28</v>
      </c>
      <c r="BB247" s="5">
        <v>1155.8599999999999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3970</v>
      </c>
      <c r="BI247" s="12">
        <v>3544.6399999999994</v>
      </c>
      <c r="BJ247" s="2">
        <v>70.89</v>
      </c>
      <c r="BK247" s="5">
        <v>0</v>
      </c>
      <c r="BL247" s="1" t="s">
        <v>90</v>
      </c>
    </row>
    <row r="248" spans="1:64" x14ac:dyDescent="0.3">
      <c r="A248" t="s">
        <v>208</v>
      </c>
      <c r="B248" s="1" t="s">
        <v>212</v>
      </c>
      <c r="C248" s="9" t="s">
        <v>213</v>
      </c>
      <c r="D248" s="1" t="s">
        <v>44</v>
      </c>
      <c r="E248" s="1" t="s">
        <v>88</v>
      </c>
      <c r="F248" s="10" t="s">
        <v>181</v>
      </c>
      <c r="G248" s="1">
        <v>0</v>
      </c>
      <c r="H248" s="1">
        <v>0.02</v>
      </c>
      <c r="I248" s="8">
        <v>44710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91743</v>
      </c>
      <c r="AJ248" s="2">
        <v>34780</v>
      </c>
      <c r="AK248" s="2">
        <v>1638.27</v>
      </c>
      <c r="AL248" s="2">
        <v>621.07000000000005</v>
      </c>
      <c r="AM248" s="5">
        <v>1129.67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3795.69</v>
      </c>
      <c r="AT248" s="12">
        <v>3389.01</v>
      </c>
      <c r="AU248" s="2">
        <v>67.78</v>
      </c>
      <c r="AV248" s="5">
        <v>0</v>
      </c>
      <c r="AX248" s="2">
        <v>91743</v>
      </c>
      <c r="AY248" s="2">
        <v>34780</v>
      </c>
      <c r="AZ248" s="2">
        <v>1638.27</v>
      </c>
      <c r="BA248" s="2">
        <v>621.07000000000005</v>
      </c>
      <c r="BB248" s="5">
        <v>1129.67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3795.69</v>
      </c>
      <c r="BI248" s="12">
        <v>3389.01</v>
      </c>
      <c r="BJ248" s="2">
        <v>67.78</v>
      </c>
      <c r="BK248" s="5">
        <v>0</v>
      </c>
      <c r="BL248" s="1" t="s">
        <v>90</v>
      </c>
    </row>
    <row r="249" spans="1:64" x14ac:dyDescent="0.3">
      <c r="A249" t="s">
        <v>214</v>
      </c>
      <c r="B249" s="1" t="s">
        <v>214</v>
      </c>
      <c r="C249" s="9" t="s">
        <v>215</v>
      </c>
      <c r="D249" s="1" t="s">
        <v>44</v>
      </c>
      <c r="E249" s="1" t="s">
        <v>88</v>
      </c>
      <c r="F249" s="10" t="s">
        <v>104</v>
      </c>
      <c r="G249" s="1">
        <v>2.5000000000000001E-2</v>
      </c>
      <c r="H249" s="1">
        <v>0.02</v>
      </c>
      <c r="I249" s="8">
        <v>44009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590822</v>
      </c>
      <c r="AJ249" s="2">
        <v>165050</v>
      </c>
      <c r="AK249" s="2">
        <v>10550.39</v>
      </c>
      <c r="AL249" s="2">
        <v>2947.32</v>
      </c>
      <c r="AM249" s="5">
        <v>6748.86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22676.16</v>
      </c>
      <c r="AT249" s="12">
        <v>20246.57</v>
      </c>
      <c r="AU249" s="2">
        <v>404.93</v>
      </c>
      <c r="AV249" s="5">
        <v>0</v>
      </c>
      <c r="AX249" s="2">
        <v>590822</v>
      </c>
      <c r="AY249" s="2">
        <v>165050</v>
      </c>
      <c r="AZ249" s="2">
        <v>10550.39</v>
      </c>
      <c r="BA249" s="2">
        <v>2947.32</v>
      </c>
      <c r="BB249" s="5">
        <v>6748.86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22676.16</v>
      </c>
      <c r="BI249" s="12">
        <v>20246.57</v>
      </c>
      <c r="BJ249" s="2">
        <v>404.93</v>
      </c>
      <c r="BK249" s="5">
        <v>0</v>
      </c>
      <c r="BL249" s="1" t="s">
        <v>90</v>
      </c>
    </row>
    <row r="250" spans="1:64" x14ac:dyDescent="0.3">
      <c r="A250" t="s">
        <v>229</v>
      </c>
      <c r="B250" s="1" t="s">
        <v>229</v>
      </c>
      <c r="C250" s="9" t="s">
        <v>230</v>
      </c>
      <c r="D250" s="1" t="s">
        <v>44</v>
      </c>
      <c r="E250" s="1" t="s">
        <v>88</v>
      </c>
      <c r="F250" s="10" t="s">
        <v>104</v>
      </c>
      <c r="G250" s="1">
        <v>2.5000000000000001E-2</v>
      </c>
      <c r="H250" s="1">
        <v>0.02</v>
      </c>
      <c r="I250" s="8">
        <v>44009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688493.75000000012</v>
      </c>
      <c r="AJ250" s="2">
        <v>154765</v>
      </c>
      <c r="AK250" s="2">
        <v>12294.54</v>
      </c>
      <c r="AL250" s="2">
        <v>2763.66</v>
      </c>
      <c r="AM250" s="5">
        <v>7529.1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25297.78</v>
      </c>
      <c r="AT250" s="12">
        <v>22587.300000000003</v>
      </c>
      <c r="AU250" s="2">
        <v>451.75</v>
      </c>
      <c r="AV250" s="5">
        <v>0</v>
      </c>
      <c r="AX250" s="2">
        <v>688493.75000000012</v>
      </c>
      <c r="AY250" s="2">
        <v>154765</v>
      </c>
      <c r="AZ250" s="2">
        <v>12294.54</v>
      </c>
      <c r="BA250" s="2">
        <v>2763.66</v>
      </c>
      <c r="BB250" s="5">
        <v>7529.1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25297.78</v>
      </c>
      <c r="BI250" s="12">
        <v>22587.300000000003</v>
      </c>
      <c r="BJ250" s="2">
        <v>451.75</v>
      </c>
      <c r="BK250" s="5">
        <v>0</v>
      </c>
      <c r="BL250" s="1" t="s">
        <v>90</v>
      </c>
    </row>
    <row r="251" spans="1:64" x14ac:dyDescent="0.3">
      <c r="A251" t="s">
        <v>231</v>
      </c>
      <c r="B251" s="1" t="s">
        <v>231</v>
      </c>
      <c r="C251" s="9" t="s">
        <v>232</v>
      </c>
      <c r="D251" s="1" t="s">
        <v>44</v>
      </c>
      <c r="E251" s="1" t="s">
        <v>88</v>
      </c>
      <c r="F251" s="10" t="s">
        <v>188</v>
      </c>
      <c r="G251" s="1">
        <v>2.5000000000000001E-2</v>
      </c>
      <c r="H251" s="1">
        <v>0.02</v>
      </c>
      <c r="I251" s="8">
        <v>45657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707584.81</v>
      </c>
      <c r="AJ251" s="2">
        <v>222189.41000000003</v>
      </c>
      <c r="AK251" s="2">
        <v>12635.45</v>
      </c>
      <c r="AL251" s="2">
        <v>3967.67</v>
      </c>
      <c r="AM251" s="5">
        <v>8301.5499999999993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27893.23</v>
      </c>
      <c r="AT251" s="12">
        <v>24904.670000000002</v>
      </c>
      <c r="AU251" s="2">
        <v>498.09</v>
      </c>
      <c r="AV251" s="5">
        <v>0</v>
      </c>
      <c r="AX251" s="2">
        <v>707584.81</v>
      </c>
      <c r="AY251" s="2">
        <v>222189.41000000003</v>
      </c>
      <c r="AZ251" s="2">
        <v>12635.45</v>
      </c>
      <c r="BA251" s="2">
        <v>3967.67</v>
      </c>
      <c r="BB251" s="5">
        <v>8301.5499999999993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27893.23</v>
      </c>
      <c r="BI251" s="12">
        <v>24904.670000000002</v>
      </c>
      <c r="BJ251" s="2">
        <v>498.09</v>
      </c>
      <c r="BK251" s="5">
        <v>0</v>
      </c>
      <c r="BL251" s="1" t="s">
        <v>90</v>
      </c>
    </row>
    <row r="252" spans="1:64" x14ac:dyDescent="0.3">
      <c r="A252" t="s">
        <v>233</v>
      </c>
      <c r="B252" s="1" t="s">
        <v>233</v>
      </c>
      <c r="C252" s="9" t="s">
        <v>234</v>
      </c>
      <c r="D252" s="1" t="s">
        <v>44</v>
      </c>
      <c r="E252" s="1" t="s">
        <v>88</v>
      </c>
      <c r="F252" s="10" t="s">
        <v>101</v>
      </c>
      <c r="G252" s="1">
        <v>2.5000000000000001E-2</v>
      </c>
      <c r="H252" s="1">
        <v>0.02</v>
      </c>
      <c r="I252" s="8">
        <v>44204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418567</v>
      </c>
      <c r="AJ252" s="2">
        <v>66592</v>
      </c>
      <c r="AK252" s="2">
        <v>7474.41</v>
      </c>
      <c r="AL252" s="2">
        <v>1189.1400000000001</v>
      </c>
      <c r="AM252" s="5">
        <v>4331.78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14554.77</v>
      </c>
      <c r="AT252" s="12">
        <v>12995.329999999998</v>
      </c>
      <c r="AU252" s="2">
        <v>259.91000000000003</v>
      </c>
      <c r="AV252" s="5">
        <v>0</v>
      </c>
      <c r="AX252" s="2">
        <v>418567</v>
      </c>
      <c r="AY252" s="2">
        <v>66592</v>
      </c>
      <c r="AZ252" s="2">
        <v>7474.41</v>
      </c>
      <c r="BA252" s="2">
        <v>1189.1400000000001</v>
      </c>
      <c r="BB252" s="5">
        <v>4331.78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14554.77</v>
      </c>
      <c r="BI252" s="12">
        <v>12995.329999999998</v>
      </c>
      <c r="BJ252" s="2">
        <v>259.91000000000003</v>
      </c>
      <c r="BK252" s="5">
        <v>0</v>
      </c>
      <c r="BL252" s="1" t="s">
        <v>90</v>
      </c>
    </row>
    <row r="253" spans="1:64" x14ac:dyDescent="0.3">
      <c r="A253" t="s">
        <v>235</v>
      </c>
      <c r="B253" s="1" t="s">
        <v>235</v>
      </c>
      <c r="C253" s="9" t="s">
        <v>236</v>
      </c>
      <c r="D253" s="1" t="s">
        <v>44</v>
      </c>
      <c r="E253" s="1" t="s">
        <v>88</v>
      </c>
      <c r="F253" s="10" t="s">
        <v>101</v>
      </c>
      <c r="G253" s="1">
        <v>2.5000000000000001E-2</v>
      </c>
      <c r="H253" s="1">
        <v>0.02</v>
      </c>
      <c r="I253" s="8">
        <v>44009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239293.2</v>
      </c>
      <c r="AJ253" s="2">
        <v>173480</v>
      </c>
      <c r="AK253" s="2">
        <v>4273.09</v>
      </c>
      <c r="AL253" s="2">
        <v>3097.86</v>
      </c>
      <c r="AM253" s="5">
        <v>3685.47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12383.19</v>
      </c>
      <c r="AT253" s="12">
        <v>11056.42</v>
      </c>
      <c r="AU253" s="2">
        <v>221.13</v>
      </c>
      <c r="AV253" s="5">
        <v>0</v>
      </c>
      <c r="AX253" s="2">
        <v>239293.2</v>
      </c>
      <c r="AY253" s="2">
        <v>173480</v>
      </c>
      <c r="AZ253" s="2">
        <v>4273.09</v>
      </c>
      <c r="BA253" s="2">
        <v>3097.86</v>
      </c>
      <c r="BB253" s="5">
        <v>3685.47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12383.19</v>
      </c>
      <c r="BI253" s="12">
        <v>11056.42</v>
      </c>
      <c r="BJ253" s="2">
        <v>221.13</v>
      </c>
      <c r="BK253" s="5">
        <v>0</v>
      </c>
      <c r="BL253" s="1" t="s">
        <v>90</v>
      </c>
    </row>
    <row r="254" spans="1:64" x14ac:dyDescent="0.3">
      <c r="A254" t="s">
        <v>247</v>
      </c>
      <c r="B254" s="1" t="s">
        <v>247</v>
      </c>
      <c r="C254" s="9" t="s">
        <v>248</v>
      </c>
      <c r="D254" s="1" t="s">
        <v>44</v>
      </c>
      <c r="E254" s="1" t="s">
        <v>88</v>
      </c>
      <c r="F254" s="10" t="s">
        <v>114</v>
      </c>
      <c r="G254" s="1">
        <v>2.5000000000000001E-2</v>
      </c>
      <c r="H254" s="1">
        <v>0.02</v>
      </c>
      <c r="I254" s="8">
        <v>45657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600128.78</v>
      </c>
      <c r="AJ254" s="2">
        <v>141990.66</v>
      </c>
      <c r="AK254" s="2">
        <v>10716.59</v>
      </c>
      <c r="AL254" s="2">
        <v>2535.54</v>
      </c>
      <c r="AM254" s="5">
        <v>6626.06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22263.57</v>
      </c>
      <c r="AT254" s="12">
        <v>19878.190000000002</v>
      </c>
      <c r="AU254" s="2">
        <v>397.56</v>
      </c>
      <c r="AV254" s="5">
        <v>0</v>
      </c>
      <c r="AX254" s="2">
        <v>600128.78</v>
      </c>
      <c r="AY254" s="2">
        <v>141990.66</v>
      </c>
      <c r="AZ254" s="2">
        <v>10716.59</v>
      </c>
      <c r="BA254" s="2">
        <v>2535.54</v>
      </c>
      <c r="BB254" s="5">
        <v>6626.06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22263.57</v>
      </c>
      <c r="BI254" s="12">
        <v>19878.190000000002</v>
      </c>
      <c r="BJ254" s="2">
        <v>397.56</v>
      </c>
      <c r="BK254" s="5">
        <v>0</v>
      </c>
      <c r="BL254" s="1" t="s">
        <v>90</v>
      </c>
    </row>
    <row r="255" spans="1:64" x14ac:dyDescent="0.3">
      <c r="A255" t="s">
        <v>253</v>
      </c>
      <c r="B255" s="1" t="s">
        <v>253</v>
      </c>
      <c r="C255" s="9" t="s">
        <v>254</v>
      </c>
      <c r="D255" s="1" t="s">
        <v>44</v>
      </c>
      <c r="E255" s="1" t="s">
        <v>88</v>
      </c>
      <c r="F255" s="10" t="s">
        <v>114</v>
      </c>
      <c r="G255" s="1">
        <v>2.5000000000000001E-2</v>
      </c>
      <c r="H255" s="1">
        <v>0.02</v>
      </c>
      <c r="I255" s="8">
        <v>45657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534136</v>
      </c>
      <c r="AJ255" s="2">
        <v>98312</v>
      </c>
      <c r="AK255" s="2">
        <v>9538.14</v>
      </c>
      <c r="AL255" s="2">
        <v>1755.57</v>
      </c>
      <c r="AM255" s="5">
        <v>5646.86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18973.439999999999</v>
      </c>
      <c r="AT255" s="12">
        <v>16940.57</v>
      </c>
      <c r="AU255" s="2">
        <v>338.81</v>
      </c>
      <c r="AV255" s="5">
        <v>0</v>
      </c>
      <c r="AX255" s="2">
        <v>534136</v>
      </c>
      <c r="AY255" s="2">
        <v>98312</v>
      </c>
      <c r="AZ255" s="2">
        <v>9538.14</v>
      </c>
      <c r="BA255" s="2">
        <v>1755.57</v>
      </c>
      <c r="BB255" s="5">
        <v>5646.86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18973.439999999999</v>
      </c>
      <c r="BI255" s="12">
        <v>16940.57</v>
      </c>
      <c r="BJ255" s="2">
        <v>338.81</v>
      </c>
      <c r="BK255" s="5">
        <v>0</v>
      </c>
      <c r="BL255" s="1" t="s">
        <v>90</v>
      </c>
    </row>
    <row r="256" spans="1:64" x14ac:dyDescent="0.3">
      <c r="A256" t="s">
        <v>270</v>
      </c>
      <c r="B256" s="1" t="s">
        <v>270</v>
      </c>
      <c r="C256" s="9" t="s">
        <v>271</v>
      </c>
      <c r="D256" s="1" t="s">
        <v>44</v>
      </c>
      <c r="E256" s="1" t="s">
        <v>88</v>
      </c>
      <c r="F256" s="10" t="s">
        <v>104</v>
      </c>
      <c r="G256" s="1">
        <v>2.5000000000000001E-2</v>
      </c>
      <c r="H256" s="1">
        <v>0.02</v>
      </c>
      <c r="I256" s="8">
        <v>45585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421276</v>
      </c>
      <c r="AJ256" s="2">
        <v>136211</v>
      </c>
      <c r="AK256" s="2">
        <v>7522.79</v>
      </c>
      <c r="AL256" s="2">
        <v>2432.34</v>
      </c>
      <c r="AM256" s="5">
        <v>4977.5600000000004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16724.61</v>
      </c>
      <c r="AT256" s="12">
        <v>14932.690000000002</v>
      </c>
      <c r="AU256" s="2">
        <v>298.64999999999998</v>
      </c>
      <c r="AV256" s="5">
        <v>0</v>
      </c>
      <c r="AX256" s="2">
        <v>421276</v>
      </c>
      <c r="AY256" s="2">
        <v>136211</v>
      </c>
      <c r="AZ256" s="2">
        <v>7522.79</v>
      </c>
      <c r="BA256" s="2">
        <v>2432.34</v>
      </c>
      <c r="BB256" s="5">
        <v>4977.5600000000004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16724.61</v>
      </c>
      <c r="BI256" s="12">
        <v>14932.690000000002</v>
      </c>
      <c r="BJ256" s="2">
        <v>298.64999999999998</v>
      </c>
      <c r="BK256" s="5">
        <v>0</v>
      </c>
      <c r="BL256" s="1" t="s">
        <v>90</v>
      </c>
    </row>
    <row r="257" spans="1:64" x14ac:dyDescent="0.3">
      <c r="A257" t="s">
        <v>272</v>
      </c>
      <c r="B257" s="1" t="s">
        <v>272</v>
      </c>
      <c r="C257" s="9" t="s">
        <v>273</v>
      </c>
      <c r="D257" s="1" t="s">
        <v>44</v>
      </c>
      <c r="E257" s="1" t="s">
        <v>88</v>
      </c>
      <c r="F257" s="10" t="s">
        <v>101</v>
      </c>
      <c r="G257" s="1">
        <v>2.5000000000000001E-2</v>
      </c>
      <c r="H257" s="1">
        <v>0.02</v>
      </c>
      <c r="I257" s="8">
        <v>44416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325750.5</v>
      </c>
      <c r="AJ257" s="2">
        <v>99924.75</v>
      </c>
      <c r="AK257" s="2">
        <v>5816.97</v>
      </c>
      <c r="AL257" s="2">
        <v>1784.37</v>
      </c>
      <c r="AM257" s="5">
        <v>3800.67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12770.25</v>
      </c>
      <c r="AT257" s="12">
        <v>11402.01</v>
      </c>
      <c r="AU257" s="2">
        <v>228.04</v>
      </c>
      <c r="AV257" s="5">
        <v>0</v>
      </c>
      <c r="AX257" s="2">
        <v>325750.5</v>
      </c>
      <c r="AY257" s="2">
        <v>99924.75</v>
      </c>
      <c r="AZ257" s="2">
        <v>5816.97</v>
      </c>
      <c r="BA257" s="2">
        <v>1784.37</v>
      </c>
      <c r="BB257" s="5">
        <v>3800.67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12770.25</v>
      </c>
      <c r="BI257" s="12">
        <v>11402.01</v>
      </c>
      <c r="BJ257" s="2">
        <v>228.04</v>
      </c>
      <c r="BK257" s="5">
        <v>0</v>
      </c>
      <c r="BL257" s="1" t="s">
        <v>90</v>
      </c>
    </row>
    <row r="258" spans="1:64" x14ac:dyDescent="0.3">
      <c r="A258" t="s">
        <v>280</v>
      </c>
      <c r="B258" s="1" t="s">
        <v>280</v>
      </c>
      <c r="C258" s="9" t="s">
        <v>281</v>
      </c>
      <c r="D258" s="1" t="s">
        <v>44</v>
      </c>
      <c r="E258" s="1" t="s">
        <v>88</v>
      </c>
      <c r="F258" s="10" t="s">
        <v>188</v>
      </c>
      <c r="G258" s="1">
        <v>2.5000000000000001E-2</v>
      </c>
      <c r="H258" s="1">
        <v>0.02</v>
      </c>
      <c r="I258" s="8">
        <v>45657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776203.63</v>
      </c>
      <c r="AJ258" s="2">
        <v>177157.52000000002</v>
      </c>
      <c r="AK258" s="2">
        <v>13860.78</v>
      </c>
      <c r="AL258" s="2">
        <v>3163.53</v>
      </c>
      <c r="AM258" s="5">
        <v>8512.15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28600.84</v>
      </c>
      <c r="AT258" s="12">
        <v>25536.46</v>
      </c>
      <c r="AU258" s="2">
        <v>510.73</v>
      </c>
      <c r="AV258" s="5">
        <v>0</v>
      </c>
      <c r="AX258" s="2">
        <v>776203.63</v>
      </c>
      <c r="AY258" s="2">
        <v>177157.52000000002</v>
      </c>
      <c r="AZ258" s="2">
        <v>13860.78</v>
      </c>
      <c r="BA258" s="2">
        <v>3163.53</v>
      </c>
      <c r="BB258" s="5">
        <v>8512.15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28600.84</v>
      </c>
      <c r="BI258" s="12">
        <v>25536.46</v>
      </c>
      <c r="BJ258" s="2">
        <v>510.73</v>
      </c>
      <c r="BK258" s="5">
        <v>0</v>
      </c>
      <c r="BL258" s="1" t="s">
        <v>90</v>
      </c>
    </row>
    <row r="259" spans="1:64" x14ac:dyDescent="0.3">
      <c r="A259" t="s">
        <v>288</v>
      </c>
      <c r="B259" s="1" t="s">
        <v>288</v>
      </c>
      <c r="C259" s="9" t="s">
        <v>289</v>
      </c>
      <c r="D259" s="1" t="s">
        <v>44</v>
      </c>
      <c r="E259" s="1" t="s">
        <v>88</v>
      </c>
      <c r="F259" s="10" t="s">
        <v>114</v>
      </c>
      <c r="G259" s="1">
        <v>2.5000000000000001E-2</v>
      </c>
      <c r="H259" s="1">
        <v>0.02</v>
      </c>
      <c r="I259" s="8">
        <v>45657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382259</v>
      </c>
      <c r="AJ259" s="2">
        <v>53362</v>
      </c>
      <c r="AK259" s="2">
        <v>6826.05</v>
      </c>
      <c r="AL259" s="2">
        <v>952.89</v>
      </c>
      <c r="AM259" s="5">
        <v>3889.47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13068.62</v>
      </c>
      <c r="AT259" s="12">
        <v>11668.41</v>
      </c>
      <c r="AU259" s="2">
        <v>233.37</v>
      </c>
      <c r="AV259" s="5">
        <v>0</v>
      </c>
      <c r="AX259" s="2">
        <v>382259</v>
      </c>
      <c r="AY259" s="2">
        <v>53362</v>
      </c>
      <c r="AZ259" s="2">
        <v>6826.05</v>
      </c>
      <c r="BA259" s="2">
        <v>952.89</v>
      </c>
      <c r="BB259" s="5">
        <v>3889.47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13068.62</v>
      </c>
      <c r="BI259" s="12">
        <v>11668.41</v>
      </c>
      <c r="BJ259" s="2">
        <v>233.37</v>
      </c>
      <c r="BK259" s="5">
        <v>0</v>
      </c>
      <c r="BL259" s="1" t="s">
        <v>90</v>
      </c>
    </row>
    <row r="260" spans="1:64" x14ac:dyDescent="0.3">
      <c r="A260" t="s">
        <v>290</v>
      </c>
      <c r="B260" s="1" t="s">
        <v>290</v>
      </c>
      <c r="C260" s="9" t="s">
        <v>291</v>
      </c>
      <c r="D260" s="1" t="s">
        <v>44</v>
      </c>
      <c r="E260" s="1" t="s">
        <v>88</v>
      </c>
      <c r="F260" s="10" t="s">
        <v>114</v>
      </c>
      <c r="G260" s="1">
        <v>2.5000000000000001E-2</v>
      </c>
      <c r="H260" s="1">
        <v>0.02</v>
      </c>
      <c r="I260" s="8">
        <v>44487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391689.95</v>
      </c>
      <c r="AJ260" s="2">
        <v>90521</v>
      </c>
      <c r="AK260" s="2">
        <v>6994.46</v>
      </c>
      <c r="AL260" s="2">
        <v>1616.45</v>
      </c>
      <c r="AM260" s="5">
        <v>4305.46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14466.33</v>
      </c>
      <c r="AT260" s="12">
        <v>12916.369999999999</v>
      </c>
      <c r="AU260" s="2">
        <v>258.33</v>
      </c>
      <c r="AV260" s="5">
        <v>0</v>
      </c>
      <c r="AX260" s="2">
        <v>391689.95</v>
      </c>
      <c r="AY260" s="2">
        <v>90521</v>
      </c>
      <c r="AZ260" s="2">
        <v>6994.46</v>
      </c>
      <c r="BA260" s="2">
        <v>1616.45</v>
      </c>
      <c r="BB260" s="5">
        <v>4305.46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14466.33</v>
      </c>
      <c r="BI260" s="12">
        <v>12916.369999999999</v>
      </c>
      <c r="BJ260" s="2">
        <v>258.33</v>
      </c>
      <c r="BK260" s="5">
        <v>0</v>
      </c>
      <c r="BL260" s="1" t="s">
        <v>90</v>
      </c>
    </row>
    <row r="261" spans="1:64" x14ac:dyDescent="0.3">
      <c r="A261" t="s">
        <v>312</v>
      </c>
      <c r="B261" s="1" t="s">
        <v>312</v>
      </c>
      <c r="C261" s="9" t="s">
        <v>313</v>
      </c>
      <c r="D261" s="1" t="s">
        <v>44</v>
      </c>
      <c r="E261" s="1" t="s">
        <v>88</v>
      </c>
      <c r="F261" s="10" t="s">
        <v>178</v>
      </c>
      <c r="G261" s="1">
        <v>2.5000000000000001E-2</v>
      </c>
      <c r="H261" s="1">
        <v>0.02</v>
      </c>
      <c r="I261" s="8">
        <v>44068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247151</v>
      </c>
      <c r="AJ261" s="2">
        <v>65736</v>
      </c>
      <c r="AK261" s="2">
        <v>4413.41</v>
      </c>
      <c r="AL261" s="2">
        <v>1173.8599999999999</v>
      </c>
      <c r="AM261" s="5">
        <v>2793.63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9386.61</v>
      </c>
      <c r="AT261" s="12">
        <v>8380.9</v>
      </c>
      <c r="AU261" s="2">
        <v>167.62</v>
      </c>
      <c r="AV261" s="5">
        <v>0</v>
      </c>
      <c r="AX261" s="2">
        <v>247151</v>
      </c>
      <c r="AY261" s="2">
        <v>65736</v>
      </c>
      <c r="AZ261" s="2">
        <v>4413.41</v>
      </c>
      <c r="BA261" s="2">
        <v>1173.8599999999999</v>
      </c>
      <c r="BB261" s="5">
        <v>2793.63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9386.61</v>
      </c>
      <c r="BI261" s="12">
        <v>8380.9</v>
      </c>
      <c r="BJ261" s="2">
        <v>167.62</v>
      </c>
      <c r="BK261" s="5">
        <v>0</v>
      </c>
      <c r="BL261" s="1" t="s">
        <v>90</v>
      </c>
    </row>
    <row r="262" spans="1:64" x14ac:dyDescent="0.3">
      <c r="A262" t="s">
        <v>319</v>
      </c>
      <c r="B262" s="1" t="s">
        <v>319</v>
      </c>
      <c r="C262" s="9" t="s">
        <v>320</v>
      </c>
      <c r="D262" s="1" t="s">
        <v>44</v>
      </c>
      <c r="E262" s="1" t="s">
        <v>88</v>
      </c>
      <c r="F262" s="10" t="s">
        <v>188</v>
      </c>
      <c r="G262" s="1">
        <v>2.5000000000000001E-2</v>
      </c>
      <c r="H262" s="1">
        <v>0.02</v>
      </c>
      <c r="I262" s="8">
        <v>45657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822083.47000000009</v>
      </c>
      <c r="AJ262" s="2">
        <v>134558.29</v>
      </c>
      <c r="AK262" s="2">
        <v>14680.06</v>
      </c>
      <c r="AL262" s="2">
        <v>2402.83</v>
      </c>
      <c r="AM262" s="5">
        <v>8541.4500000000007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28699.26</v>
      </c>
      <c r="AT262" s="12">
        <v>25624.34</v>
      </c>
      <c r="AU262" s="2">
        <v>512.49</v>
      </c>
      <c r="AV262" s="5">
        <v>0</v>
      </c>
      <c r="AX262" s="2">
        <v>822083.47000000009</v>
      </c>
      <c r="AY262" s="2">
        <v>134558.29</v>
      </c>
      <c r="AZ262" s="2">
        <v>14680.06</v>
      </c>
      <c r="BA262" s="2">
        <v>2402.83</v>
      </c>
      <c r="BB262" s="5">
        <v>8541.4500000000007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28699.26</v>
      </c>
      <c r="BI262" s="12">
        <v>25624.34</v>
      </c>
      <c r="BJ262" s="2">
        <v>512.49</v>
      </c>
      <c r="BK262" s="5">
        <v>0</v>
      </c>
      <c r="BL262" s="1" t="s">
        <v>90</v>
      </c>
    </row>
    <row r="263" spans="1:64" x14ac:dyDescent="0.3">
      <c r="A263" t="s">
        <v>319</v>
      </c>
      <c r="B263" s="1" t="s">
        <v>321</v>
      </c>
      <c r="C263" s="9" t="s">
        <v>322</v>
      </c>
      <c r="D263" s="1" t="s">
        <v>44</v>
      </c>
      <c r="E263" s="1" t="s">
        <v>88</v>
      </c>
      <c r="F263" s="10" t="s">
        <v>188</v>
      </c>
      <c r="G263" s="1">
        <v>0</v>
      </c>
      <c r="H263" s="1">
        <v>0.02</v>
      </c>
      <c r="I263" s="8">
        <v>45657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184177</v>
      </c>
      <c r="AJ263" s="2">
        <v>56138</v>
      </c>
      <c r="AK263" s="2">
        <v>3288.87</v>
      </c>
      <c r="AL263" s="2">
        <v>1002.46</v>
      </c>
      <c r="AM263" s="5">
        <v>2145.67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7209.44</v>
      </c>
      <c r="AT263" s="12">
        <v>6437</v>
      </c>
      <c r="AU263" s="2">
        <v>128.74</v>
      </c>
      <c r="AV263" s="5">
        <v>0</v>
      </c>
      <c r="AX263" s="2">
        <v>184177</v>
      </c>
      <c r="AY263" s="2">
        <v>56138</v>
      </c>
      <c r="AZ263" s="2">
        <v>3288.87</v>
      </c>
      <c r="BA263" s="2">
        <v>1002.46</v>
      </c>
      <c r="BB263" s="5">
        <v>2145.67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7209.44</v>
      </c>
      <c r="BI263" s="12">
        <v>6437</v>
      </c>
      <c r="BJ263" s="2">
        <v>128.74</v>
      </c>
      <c r="BK263" s="5">
        <v>0</v>
      </c>
      <c r="BL263" s="1" t="s">
        <v>90</v>
      </c>
    </row>
    <row r="264" spans="1:64" x14ac:dyDescent="0.3">
      <c r="A264" t="s">
        <v>327</v>
      </c>
      <c r="B264" s="1" t="s">
        <v>327</v>
      </c>
      <c r="C264" s="9" t="s">
        <v>328</v>
      </c>
      <c r="D264" s="1" t="s">
        <v>44</v>
      </c>
      <c r="E264" s="1" t="s">
        <v>88</v>
      </c>
      <c r="F264" s="10" t="s">
        <v>178</v>
      </c>
      <c r="G264" s="1">
        <v>2.5000000000000001E-2</v>
      </c>
      <c r="H264" s="1">
        <v>0.02</v>
      </c>
      <c r="I264" s="8">
        <v>44499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369056.69</v>
      </c>
      <c r="AJ264" s="2">
        <v>108115.41</v>
      </c>
      <c r="AK264" s="2">
        <v>6590.29</v>
      </c>
      <c r="AL264" s="2">
        <v>1930.63</v>
      </c>
      <c r="AM264" s="5">
        <v>4260.46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14315.15</v>
      </c>
      <c r="AT264" s="12">
        <v>12781.380000000001</v>
      </c>
      <c r="AU264" s="2">
        <v>255.63</v>
      </c>
      <c r="AV264" s="5">
        <v>0</v>
      </c>
      <c r="AX264" s="2">
        <v>369056.69</v>
      </c>
      <c r="AY264" s="2">
        <v>108115.41</v>
      </c>
      <c r="AZ264" s="2">
        <v>6590.29</v>
      </c>
      <c r="BA264" s="2">
        <v>1930.63</v>
      </c>
      <c r="BB264" s="5">
        <v>4260.46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14315.15</v>
      </c>
      <c r="BI264" s="12">
        <v>12781.380000000001</v>
      </c>
      <c r="BJ264" s="2">
        <v>255.63</v>
      </c>
      <c r="BK264" s="5">
        <v>0</v>
      </c>
      <c r="BL264" s="1" t="s">
        <v>90</v>
      </c>
    </row>
    <row r="265" spans="1:64" x14ac:dyDescent="0.3">
      <c r="A265" t="s">
        <v>334</v>
      </c>
      <c r="B265" s="1" t="s">
        <v>334</v>
      </c>
      <c r="C265" s="9" t="s">
        <v>335</v>
      </c>
      <c r="D265" s="1" t="s">
        <v>44</v>
      </c>
      <c r="E265" s="1" t="s">
        <v>88</v>
      </c>
      <c r="F265" s="10" t="s">
        <v>188</v>
      </c>
      <c r="G265" s="1">
        <v>3.5000000000000003E-2</v>
      </c>
      <c r="H265" s="1">
        <v>0.02</v>
      </c>
      <c r="I265" s="8">
        <v>44607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997244.46000000008</v>
      </c>
      <c r="AJ265" s="2">
        <v>188642.72</v>
      </c>
      <c r="AK265" s="2">
        <v>17807.939999999999</v>
      </c>
      <c r="AL265" s="2">
        <v>3368.62</v>
      </c>
      <c r="AM265" s="5">
        <v>10588.28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35576.620000000003</v>
      </c>
      <c r="AT265" s="12">
        <v>31764.839999999997</v>
      </c>
      <c r="AU265" s="2">
        <v>635.29999999999995</v>
      </c>
      <c r="AV265" s="5">
        <v>0</v>
      </c>
      <c r="AX265" s="2">
        <v>997244.46000000008</v>
      </c>
      <c r="AY265" s="2">
        <v>188642.72</v>
      </c>
      <c r="AZ265" s="2">
        <v>17807.939999999999</v>
      </c>
      <c r="BA265" s="2">
        <v>3368.62</v>
      </c>
      <c r="BB265" s="5">
        <v>10588.28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35576.620000000003</v>
      </c>
      <c r="BI265" s="12">
        <v>31764.839999999997</v>
      </c>
      <c r="BJ265" s="2">
        <v>635.29999999999995</v>
      </c>
      <c r="BK265" s="5">
        <v>0</v>
      </c>
      <c r="BL265" s="1" t="s">
        <v>90</v>
      </c>
    </row>
    <row r="266" spans="1:64" x14ac:dyDescent="0.3">
      <c r="A266" t="s">
        <v>334</v>
      </c>
      <c r="B266" s="1" t="s">
        <v>336</v>
      </c>
      <c r="C266" s="9" t="s">
        <v>337</v>
      </c>
      <c r="D266" s="1" t="s">
        <v>44</v>
      </c>
      <c r="E266" s="1" t="s">
        <v>88</v>
      </c>
      <c r="F266" s="10" t="s">
        <v>188</v>
      </c>
      <c r="G266" s="1">
        <v>3.5000000000000003E-2</v>
      </c>
      <c r="H266" s="1">
        <v>0.02</v>
      </c>
      <c r="I266" s="8">
        <v>44607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134291.25</v>
      </c>
      <c r="AJ266" s="2">
        <v>31338</v>
      </c>
      <c r="AK266" s="2">
        <v>2398.0500000000002</v>
      </c>
      <c r="AL266" s="2">
        <v>559.61</v>
      </c>
      <c r="AM266" s="5">
        <v>1478.83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4968.87</v>
      </c>
      <c r="AT266" s="12">
        <v>4436.49</v>
      </c>
      <c r="AU266" s="2">
        <v>88.73</v>
      </c>
      <c r="AV266" s="5">
        <v>0</v>
      </c>
      <c r="AX266" s="2">
        <v>134291.25</v>
      </c>
      <c r="AY266" s="2">
        <v>31338</v>
      </c>
      <c r="AZ266" s="2">
        <v>2398.0500000000002</v>
      </c>
      <c r="BA266" s="2">
        <v>559.61</v>
      </c>
      <c r="BB266" s="5">
        <v>1478.83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4968.87</v>
      </c>
      <c r="BI266" s="12">
        <v>4436.49</v>
      </c>
      <c r="BJ266" s="2">
        <v>88.73</v>
      </c>
      <c r="BK266" s="5">
        <v>0</v>
      </c>
      <c r="BL266" s="1" t="s">
        <v>90</v>
      </c>
    </row>
    <row r="267" spans="1:64" x14ac:dyDescent="0.3">
      <c r="A267" t="s">
        <v>334</v>
      </c>
      <c r="B267" s="1" t="s">
        <v>338</v>
      </c>
      <c r="C267" s="9" t="s">
        <v>339</v>
      </c>
      <c r="D267" s="1" t="s">
        <v>44</v>
      </c>
      <c r="E267" s="1" t="s">
        <v>88</v>
      </c>
      <c r="F267" s="10" t="s">
        <v>188</v>
      </c>
      <c r="G267" s="1">
        <v>3.5000000000000003E-2</v>
      </c>
      <c r="H267" s="1">
        <v>0.02</v>
      </c>
      <c r="I267" s="8">
        <v>44607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63837</v>
      </c>
      <c r="AJ267" s="2">
        <v>36006</v>
      </c>
      <c r="AK267" s="2">
        <v>1139.95</v>
      </c>
      <c r="AL267" s="2">
        <v>642.96</v>
      </c>
      <c r="AM267" s="5">
        <v>891.46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2995.29</v>
      </c>
      <c r="AT267" s="12">
        <v>2674.37</v>
      </c>
      <c r="AU267" s="2">
        <v>53.49</v>
      </c>
      <c r="AV267" s="5">
        <v>0</v>
      </c>
      <c r="AX267" s="2">
        <v>63837</v>
      </c>
      <c r="AY267" s="2">
        <v>36006</v>
      </c>
      <c r="AZ267" s="2">
        <v>1139.95</v>
      </c>
      <c r="BA267" s="2">
        <v>642.96</v>
      </c>
      <c r="BB267" s="5">
        <v>891.46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2995.29</v>
      </c>
      <c r="BI267" s="12">
        <v>2674.37</v>
      </c>
      <c r="BJ267" s="2">
        <v>53.49</v>
      </c>
      <c r="BK267" s="5">
        <v>0</v>
      </c>
      <c r="BL267" s="1" t="s">
        <v>90</v>
      </c>
    </row>
    <row r="268" spans="1:64" x14ac:dyDescent="0.3">
      <c r="A268" t="s">
        <v>334</v>
      </c>
      <c r="B268" s="1" t="s">
        <v>340</v>
      </c>
      <c r="C268" s="9" t="s">
        <v>341</v>
      </c>
      <c r="D268" s="1" t="s">
        <v>44</v>
      </c>
      <c r="E268" s="1" t="s">
        <v>88</v>
      </c>
      <c r="F268" s="10" t="s">
        <v>188</v>
      </c>
      <c r="G268" s="1">
        <v>0</v>
      </c>
      <c r="H268" s="1">
        <v>0.02</v>
      </c>
      <c r="I268" s="8">
        <v>44824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125550</v>
      </c>
      <c r="AJ268" s="2">
        <v>32799</v>
      </c>
      <c r="AK268" s="2">
        <v>2241.96</v>
      </c>
      <c r="AL268" s="2">
        <v>585.70000000000005</v>
      </c>
      <c r="AM268" s="5">
        <v>1413.83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4750.47</v>
      </c>
      <c r="AT268" s="12">
        <v>4241.49</v>
      </c>
      <c r="AU268" s="2">
        <v>84.83</v>
      </c>
      <c r="AV268" s="5">
        <v>0</v>
      </c>
      <c r="AX268" s="2">
        <v>125550</v>
      </c>
      <c r="AY268" s="2">
        <v>32799</v>
      </c>
      <c r="AZ268" s="2">
        <v>2241.96</v>
      </c>
      <c r="BA268" s="2">
        <v>585.70000000000005</v>
      </c>
      <c r="BB268" s="5">
        <v>1413.83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4750.47</v>
      </c>
      <c r="BI268" s="12">
        <v>4241.49</v>
      </c>
      <c r="BJ268" s="2">
        <v>84.83</v>
      </c>
      <c r="BK268" s="5">
        <v>0</v>
      </c>
      <c r="BL268" s="1" t="s">
        <v>90</v>
      </c>
    </row>
    <row r="269" spans="1:64" x14ac:dyDescent="0.3">
      <c r="A269" t="s">
        <v>351</v>
      </c>
      <c r="B269" s="1" t="s">
        <v>351</v>
      </c>
      <c r="C269" s="9" t="s">
        <v>352</v>
      </c>
      <c r="D269" s="1" t="s">
        <v>44</v>
      </c>
      <c r="E269" s="1" t="s">
        <v>88</v>
      </c>
      <c r="F269" s="10" t="s">
        <v>178</v>
      </c>
      <c r="G269" s="1">
        <v>3.5000000000000003E-2</v>
      </c>
      <c r="H269" s="1">
        <v>0.02</v>
      </c>
      <c r="I269" s="8">
        <v>44661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312349.7</v>
      </c>
      <c r="AJ269" s="2">
        <v>51157.75</v>
      </c>
      <c r="AK269" s="2">
        <v>5577.67</v>
      </c>
      <c r="AL269" s="2">
        <v>913.54</v>
      </c>
      <c r="AM269" s="5">
        <v>3245.6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10905.23</v>
      </c>
      <c r="AT269" s="12">
        <v>9736.81</v>
      </c>
      <c r="AU269" s="2">
        <v>194.74</v>
      </c>
      <c r="AV269" s="5">
        <v>0</v>
      </c>
      <c r="AX269" s="2">
        <v>312349.7</v>
      </c>
      <c r="AY269" s="2">
        <v>51157.75</v>
      </c>
      <c r="AZ269" s="2">
        <v>5577.67</v>
      </c>
      <c r="BA269" s="2">
        <v>913.54</v>
      </c>
      <c r="BB269" s="5">
        <v>3245.6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10905.23</v>
      </c>
      <c r="BI269" s="12">
        <v>9736.81</v>
      </c>
      <c r="BJ269" s="2">
        <v>194.74</v>
      </c>
      <c r="BK269" s="5">
        <v>0</v>
      </c>
      <c r="BL269" s="1" t="s">
        <v>90</v>
      </c>
    </row>
    <row r="270" spans="1:64" x14ac:dyDescent="0.3">
      <c r="A270" t="s">
        <v>379</v>
      </c>
      <c r="B270" s="1" t="s">
        <v>379</v>
      </c>
      <c r="C270" s="9" t="s">
        <v>380</v>
      </c>
      <c r="D270" s="1" t="s">
        <v>44</v>
      </c>
      <c r="E270" s="1" t="s">
        <v>88</v>
      </c>
      <c r="F270" s="10" t="s">
        <v>188</v>
      </c>
      <c r="G270" s="1">
        <v>3.5000000000000003E-2</v>
      </c>
      <c r="H270" s="1">
        <v>0.02</v>
      </c>
      <c r="I270" s="8">
        <v>44755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1037753.61</v>
      </c>
      <c r="AJ270" s="2">
        <v>202004.13999999996</v>
      </c>
      <c r="AK270" s="2">
        <v>18531.310000000001</v>
      </c>
      <c r="AL270" s="2">
        <v>3607.21</v>
      </c>
      <c r="AM270" s="5">
        <v>11069.27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37192.720000000001</v>
      </c>
      <c r="AT270" s="12">
        <v>33207.79</v>
      </c>
      <c r="AU270" s="2">
        <v>664.16</v>
      </c>
      <c r="AV270" s="5">
        <v>0</v>
      </c>
      <c r="AX270" s="2">
        <v>1037753.61</v>
      </c>
      <c r="AY270" s="2">
        <v>202004.13999999996</v>
      </c>
      <c r="AZ270" s="2">
        <v>18531.310000000001</v>
      </c>
      <c r="BA270" s="2">
        <v>3607.21</v>
      </c>
      <c r="BB270" s="5">
        <v>11069.27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37192.720000000001</v>
      </c>
      <c r="BI270" s="12">
        <v>33207.79</v>
      </c>
      <c r="BJ270" s="2">
        <v>664.16</v>
      </c>
      <c r="BK270" s="5">
        <v>0</v>
      </c>
      <c r="BL270" s="1" t="s">
        <v>90</v>
      </c>
    </row>
    <row r="271" spans="1:64" x14ac:dyDescent="0.3">
      <c r="A271" t="s">
        <v>381</v>
      </c>
      <c r="B271" s="1" t="s">
        <v>381</v>
      </c>
      <c r="C271" s="9" t="s">
        <v>382</v>
      </c>
      <c r="D271" s="1" t="s">
        <v>44</v>
      </c>
      <c r="E271" s="1" t="s">
        <v>88</v>
      </c>
      <c r="F271" s="10" t="s">
        <v>114</v>
      </c>
      <c r="G271" s="1">
        <v>3.5000000000000003E-2</v>
      </c>
      <c r="H271" s="1">
        <v>0.02</v>
      </c>
      <c r="I271" s="8">
        <v>44885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830878.42</v>
      </c>
      <c r="AJ271" s="2">
        <v>128764.01999999999</v>
      </c>
      <c r="AK271" s="2">
        <v>14837.12</v>
      </c>
      <c r="AL271" s="2">
        <v>2299.36</v>
      </c>
      <c r="AM271" s="5">
        <v>8568.23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28789.279999999999</v>
      </c>
      <c r="AT271" s="12">
        <v>25704.71</v>
      </c>
      <c r="AU271" s="2">
        <v>514.09</v>
      </c>
      <c r="AV271" s="5">
        <v>0</v>
      </c>
      <c r="AX271" s="2">
        <v>830878.42</v>
      </c>
      <c r="AY271" s="2">
        <v>128764.01999999999</v>
      </c>
      <c r="AZ271" s="2">
        <v>14837.12</v>
      </c>
      <c r="BA271" s="2">
        <v>2299.36</v>
      </c>
      <c r="BB271" s="5">
        <v>8568.23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28789.279999999999</v>
      </c>
      <c r="BI271" s="12">
        <v>25704.71</v>
      </c>
      <c r="BJ271" s="2">
        <v>514.09</v>
      </c>
      <c r="BK271" s="5">
        <v>0</v>
      </c>
      <c r="BL271" s="1" t="s">
        <v>90</v>
      </c>
    </row>
    <row r="272" spans="1:64" x14ac:dyDescent="0.3">
      <c r="A272" t="s">
        <v>418</v>
      </c>
      <c r="B272" s="1" t="s">
        <v>418</v>
      </c>
      <c r="C272" s="9" t="s">
        <v>419</v>
      </c>
      <c r="D272" s="1" t="s">
        <v>44</v>
      </c>
      <c r="E272" s="1" t="s">
        <v>88</v>
      </c>
      <c r="F272" s="10" t="s">
        <v>188</v>
      </c>
      <c r="G272" s="1">
        <v>2.5000000000000001E-2</v>
      </c>
      <c r="H272" s="1">
        <v>0.02</v>
      </c>
      <c r="I272" s="8">
        <v>45440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556796.74</v>
      </c>
      <c r="AJ272" s="2">
        <v>195709.41</v>
      </c>
      <c r="AK272" s="2">
        <v>9942.7900000000009</v>
      </c>
      <c r="AL272" s="2">
        <v>3494.81</v>
      </c>
      <c r="AM272" s="5">
        <v>6718.8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22575.17</v>
      </c>
      <c r="AT272" s="12">
        <v>20156.400000000001</v>
      </c>
      <c r="AU272" s="2">
        <v>403.13</v>
      </c>
      <c r="AV272" s="5">
        <v>0</v>
      </c>
      <c r="AX272" s="2">
        <v>556796.74</v>
      </c>
      <c r="AY272" s="2">
        <v>195709.41</v>
      </c>
      <c r="AZ272" s="2">
        <v>9942.7900000000009</v>
      </c>
      <c r="BA272" s="2">
        <v>3494.81</v>
      </c>
      <c r="BB272" s="5">
        <v>6718.8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22575.17</v>
      </c>
      <c r="BI272" s="12">
        <v>20156.400000000001</v>
      </c>
      <c r="BJ272" s="2">
        <v>403.13</v>
      </c>
      <c r="BK272" s="5">
        <v>0</v>
      </c>
      <c r="BL272" s="1" t="s">
        <v>90</v>
      </c>
    </row>
    <row r="273" spans="1:64" x14ac:dyDescent="0.3">
      <c r="A273" t="s">
        <v>418</v>
      </c>
      <c r="B273" s="1" t="s">
        <v>420</v>
      </c>
      <c r="C273" s="9" t="s">
        <v>421</v>
      </c>
      <c r="D273" s="1" t="s">
        <v>44</v>
      </c>
      <c r="E273" s="1" t="s">
        <v>88</v>
      </c>
      <c r="F273" s="10" t="s">
        <v>188</v>
      </c>
      <c r="G273" s="1">
        <v>0</v>
      </c>
      <c r="H273" s="1">
        <v>0.02</v>
      </c>
      <c r="I273" s="8">
        <v>45440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124159</v>
      </c>
      <c r="AJ273" s="2">
        <v>58559</v>
      </c>
      <c r="AK273" s="2">
        <v>2217.12</v>
      </c>
      <c r="AL273" s="2">
        <v>1045.7</v>
      </c>
      <c r="AM273" s="5">
        <v>1631.41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5481.54</v>
      </c>
      <c r="AT273" s="12">
        <v>4894.2299999999996</v>
      </c>
      <c r="AU273" s="2">
        <v>97.88</v>
      </c>
      <c r="AV273" s="5">
        <v>0</v>
      </c>
      <c r="AX273" s="2">
        <v>124159</v>
      </c>
      <c r="AY273" s="2">
        <v>58559</v>
      </c>
      <c r="AZ273" s="2">
        <v>2217.12</v>
      </c>
      <c r="BA273" s="2">
        <v>1045.7</v>
      </c>
      <c r="BB273" s="5">
        <v>1631.41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5481.54</v>
      </c>
      <c r="BI273" s="12">
        <v>4894.2299999999996</v>
      </c>
      <c r="BJ273" s="2">
        <v>97.88</v>
      </c>
      <c r="BK273" s="5">
        <v>0</v>
      </c>
      <c r="BL273" s="1" t="s">
        <v>90</v>
      </c>
    </row>
    <row r="274" spans="1:64" x14ac:dyDescent="0.3">
      <c r="A274" t="s">
        <v>446</v>
      </c>
      <c r="B274" s="1" t="s">
        <v>446</v>
      </c>
      <c r="C274" s="9" t="s">
        <v>447</v>
      </c>
      <c r="D274" s="1" t="s">
        <v>44</v>
      </c>
      <c r="E274" s="1" t="s">
        <v>88</v>
      </c>
      <c r="F274" s="10" t="s">
        <v>178</v>
      </c>
      <c r="G274" s="1">
        <v>2.5000000000000001E-2</v>
      </c>
      <c r="H274" s="1">
        <v>0.02</v>
      </c>
      <c r="I274" s="8">
        <v>44092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366391.82999999996</v>
      </c>
      <c r="AJ274" s="2">
        <v>79584.97</v>
      </c>
      <c r="AK274" s="2">
        <v>6542.71</v>
      </c>
      <c r="AL274" s="2">
        <v>1421.16</v>
      </c>
      <c r="AM274" s="5">
        <v>3981.94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13379.31</v>
      </c>
      <c r="AT274" s="12">
        <v>11945.81</v>
      </c>
      <c r="AU274" s="2">
        <v>238.92</v>
      </c>
      <c r="AV274" s="5">
        <v>0</v>
      </c>
      <c r="AX274" s="2">
        <v>366391.82999999996</v>
      </c>
      <c r="AY274" s="2">
        <v>79584.97</v>
      </c>
      <c r="AZ274" s="2">
        <v>6542.71</v>
      </c>
      <c r="BA274" s="2">
        <v>1421.16</v>
      </c>
      <c r="BB274" s="5">
        <v>3981.94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13379.31</v>
      </c>
      <c r="BI274" s="12">
        <v>11945.81</v>
      </c>
      <c r="BJ274" s="2">
        <v>238.92</v>
      </c>
      <c r="BK274" s="5">
        <v>0</v>
      </c>
      <c r="BL274" s="1" t="s">
        <v>90</v>
      </c>
    </row>
    <row r="275" spans="1:64" x14ac:dyDescent="0.3">
      <c r="A275" t="s">
        <v>454</v>
      </c>
      <c r="B275" s="1" t="s">
        <v>454</v>
      </c>
      <c r="C275" s="9" t="s">
        <v>455</v>
      </c>
      <c r="D275" s="1" t="s">
        <v>44</v>
      </c>
      <c r="E275" s="1" t="s">
        <v>88</v>
      </c>
      <c r="F275" s="10" t="s">
        <v>188</v>
      </c>
      <c r="G275" s="1">
        <v>2.5000000000000001E-2</v>
      </c>
      <c r="H275" s="1">
        <v>0.02</v>
      </c>
      <c r="I275" s="8">
        <v>44272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329233.25000000006</v>
      </c>
      <c r="AJ275" s="2">
        <v>57881</v>
      </c>
      <c r="AK275" s="2">
        <v>5879.17</v>
      </c>
      <c r="AL275" s="2">
        <v>1033.5899999999999</v>
      </c>
      <c r="AM275" s="5">
        <v>3456.37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11613.43</v>
      </c>
      <c r="AT275" s="12">
        <v>10369.130000000001</v>
      </c>
      <c r="AU275" s="2">
        <v>207.38</v>
      </c>
      <c r="AV275" s="5">
        <v>0</v>
      </c>
      <c r="AX275" s="2">
        <v>329233.25000000006</v>
      </c>
      <c r="AY275" s="2">
        <v>57881</v>
      </c>
      <c r="AZ275" s="2">
        <v>5879.17</v>
      </c>
      <c r="BA275" s="2">
        <v>1033.5899999999999</v>
      </c>
      <c r="BB275" s="5">
        <v>3456.37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11613.43</v>
      </c>
      <c r="BI275" s="12">
        <v>10369.130000000001</v>
      </c>
      <c r="BJ275" s="2">
        <v>207.38</v>
      </c>
      <c r="BK275" s="5">
        <v>0</v>
      </c>
      <c r="BL275" s="1" t="s">
        <v>90</v>
      </c>
    </row>
    <row r="276" spans="1:64" x14ac:dyDescent="0.3">
      <c r="A276" t="s">
        <v>454</v>
      </c>
      <c r="B276" s="1" t="s">
        <v>456</v>
      </c>
      <c r="C276" s="9" t="s">
        <v>457</v>
      </c>
      <c r="D276" s="1" t="s">
        <v>44</v>
      </c>
      <c r="E276" s="1" t="s">
        <v>88</v>
      </c>
      <c r="F276" s="10" t="s">
        <v>188</v>
      </c>
      <c r="G276" s="1">
        <v>0</v>
      </c>
      <c r="H276" s="1">
        <v>0.02</v>
      </c>
      <c r="I276" s="8">
        <v>44272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126437</v>
      </c>
      <c r="AJ276" s="2">
        <v>39548</v>
      </c>
      <c r="AK276" s="2">
        <v>2257.8000000000002</v>
      </c>
      <c r="AL276" s="2">
        <v>706.21</v>
      </c>
      <c r="AM276" s="5">
        <v>1482.01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4979.54</v>
      </c>
      <c r="AT276" s="12">
        <v>4446.0200000000004</v>
      </c>
      <c r="AU276" s="2">
        <v>88.92</v>
      </c>
      <c r="AV276" s="5">
        <v>0</v>
      </c>
      <c r="AX276" s="2">
        <v>126437</v>
      </c>
      <c r="AY276" s="2">
        <v>39548</v>
      </c>
      <c r="AZ276" s="2">
        <v>2257.8000000000002</v>
      </c>
      <c r="BA276" s="2">
        <v>706.21</v>
      </c>
      <c r="BB276" s="5">
        <v>1482.01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4979.54</v>
      </c>
      <c r="BI276" s="12">
        <v>4446.0200000000004</v>
      </c>
      <c r="BJ276" s="2">
        <v>88.92</v>
      </c>
      <c r="BK276" s="5">
        <v>0</v>
      </c>
      <c r="BL276" s="1" t="s">
        <v>90</v>
      </c>
    </row>
    <row r="277" spans="1:64" x14ac:dyDescent="0.3">
      <c r="A277" t="s">
        <v>454</v>
      </c>
      <c r="B277" s="1" t="s">
        <v>458</v>
      </c>
      <c r="C277" s="9" t="s">
        <v>459</v>
      </c>
      <c r="D277" s="1" t="s">
        <v>44</v>
      </c>
      <c r="E277" s="1" t="s">
        <v>88</v>
      </c>
      <c r="F277" s="10" t="s">
        <v>188</v>
      </c>
      <c r="G277" s="1">
        <v>0</v>
      </c>
      <c r="H277" s="1">
        <v>0.02</v>
      </c>
      <c r="I277" s="8">
        <v>45227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61535</v>
      </c>
      <c r="AJ277" s="2">
        <v>17321</v>
      </c>
      <c r="AK277" s="2">
        <v>1098.8399999999999</v>
      </c>
      <c r="AL277" s="2">
        <v>309.3</v>
      </c>
      <c r="AM277" s="5">
        <v>704.07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2365.6799999999998</v>
      </c>
      <c r="AT277" s="12">
        <v>2112.21</v>
      </c>
      <c r="AU277" s="2">
        <v>42.24</v>
      </c>
      <c r="AV277" s="5">
        <v>0</v>
      </c>
      <c r="AX277" s="2">
        <v>61535</v>
      </c>
      <c r="AY277" s="2">
        <v>17321</v>
      </c>
      <c r="AZ277" s="2">
        <v>1098.8399999999999</v>
      </c>
      <c r="BA277" s="2">
        <v>309.3</v>
      </c>
      <c r="BB277" s="5">
        <v>704.07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2365.6799999999998</v>
      </c>
      <c r="BI277" s="12">
        <v>2112.21</v>
      </c>
      <c r="BJ277" s="2">
        <v>42.24</v>
      </c>
      <c r="BK277" s="5">
        <v>0</v>
      </c>
      <c r="BL277" s="1" t="s">
        <v>90</v>
      </c>
    </row>
    <row r="278" spans="1:64" x14ac:dyDescent="0.3">
      <c r="A278" t="s">
        <v>498</v>
      </c>
      <c r="B278" s="1" t="s">
        <v>498</v>
      </c>
      <c r="C278" s="9" t="s">
        <v>499</v>
      </c>
      <c r="D278" s="1" t="s">
        <v>44</v>
      </c>
      <c r="E278" s="1" t="s">
        <v>88</v>
      </c>
      <c r="F278" s="10" t="s">
        <v>178</v>
      </c>
      <c r="G278" s="1">
        <v>3.5000000000000003E-2</v>
      </c>
      <c r="H278" s="1">
        <v>0.02</v>
      </c>
      <c r="I278" s="8">
        <v>45069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391286</v>
      </c>
      <c r="AJ278" s="2">
        <v>78281</v>
      </c>
      <c r="AK278" s="2">
        <v>6987.25</v>
      </c>
      <c r="AL278" s="2">
        <v>1397.87</v>
      </c>
      <c r="AM278" s="5">
        <v>4192.5600000000004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14087</v>
      </c>
      <c r="AT278" s="12">
        <v>12577.68</v>
      </c>
      <c r="AU278" s="2">
        <v>251.55</v>
      </c>
      <c r="AV278" s="5">
        <v>0</v>
      </c>
      <c r="AX278" s="2">
        <v>391286</v>
      </c>
      <c r="AY278" s="2">
        <v>78281</v>
      </c>
      <c r="AZ278" s="2">
        <v>6987.25</v>
      </c>
      <c r="BA278" s="2">
        <v>1397.87</v>
      </c>
      <c r="BB278" s="5">
        <v>4192.5600000000004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14087</v>
      </c>
      <c r="BI278" s="12">
        <v>12577.68</v>
      </c>
      <c r="BJ278" s="2">
        <v>251.55</v>
      </c>
      <c r="BK278" s="5">
        <v>0</v>
      </c>
      <c r="BL278" s="1" t="s">
        <v>90</v>
      </c>
    </row>
    <row r="279" spans="1:64" x14ac:dyDescent="0.3">
      <c r="A279" t="s">
        <v>518</v>
      </c>
      <c r="B279" s="1" t="s">
        <v>518</v>
      </c>
      <c r="C279" s="9" t="s">
        <v>519</v>
      </c>
      <c r="D279" s="1" t="s">
        <v>44</v>
      </c>
      <c r="E279" s="1" t="s">
        <v>88</v>
      </c>
      <c r="F279" s="10" t="s">
        <v>89</v>
      </c>
      <c r="G279" s="1">
        <v>2.5000000000000001E-2</v>
      </c>
      <c r="H279" s="1">
        <v>0.02</v>
      </c>
      <c r="I279" s="8">
        <v>45437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387905</v>
      </c>
      <c r="AJ279" s="2">
        <v>109791</v>
      </c>
      <c r="AK279" s="2">
        <v>6926.88</v>
      </c>
      <c r="AL279" s="2">
        <v>1960.55</v>
      </c>
      <c r="AM279" s="5">
        <v>4443.71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14930.88</v>
      </c>
      <c r="AT279" s="12">
        <v>13331.14</v>
      </c>
      <c r="AU279" s="2">
        <v>266.62</v>
      </c>
      <c r="AV279" s="5">
        <v>0</v>
      </c>
      <c r="AX279" s="2">
        <v>387905</v>
      </c>
      <c r="AY279" s="2">
        <v>109791</v>
      </c>
      <c r="AZ279" s="2">
        <v>6926.88</v>
      </c>
      <c r="BA279" s="2">
        <v>1960.55</v>
      </c>
      <c r="BB279" s="5">
        <v>4443.71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14930.88</v>
      </c>
      <c r="BI279" s="12">
        <v>13331.14</v>
      </c>
      <c r="BJ279" s="2">
        <v>266.62</v>
      </c>
      <c r="BK279" s="5">
        <v>0</v>
      </c>
      <c r="BL279" s="1" t="s">
        <v>90</v>
      </c>
    </row>
    <row r="280" spans="1:64" x14ac:dyDescent="0.3">
      <c r="A280" t="s">
        <v>518</v>
      </c>
      <c r="B280" s="1" t="s">
        <v>520</v>
      </c>
      <c r="C280" s="9" t="s">
        <v>521</v>
      </c>
      <c r="D280" s="1" t="s">
        <v>44</v>
      </c>
      <c r="E280" s="1" t="s">
        <v>88</v>
      </c>
      <c r="F280" s="10" t="s">
        <v>89</v>
      </c>
      <c r="G280" s="1">
        <v>2.5000000000000001E-2</v>
      </c>
      <c r="H280" s="1">
        <v>0.02</v>
      </c>
      <c r="I280" s="8">
        <v>45437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99313</v>
      </c>
      <c r="AJ280" s="2">
        <v>40939</v>
      </c>
      <c r="AK280" s="2">
        <v>1773.45</v>
      </c>
      <c r="AL280" s="2">
        <v>731.05</v>
      </c>
      <c r="AM280" s="5">
        <v>1252.25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4207.5600000000004</v>
      </c>
      <c r="AT280" s="12">
        <v>3756.75</v>
      </c>
      <c r="AU280" s="2">
        <v>75.14</v>
      </c>
      <c r="AV280" s="5">
        <v>0</v>
      </c>
      <c r="AX280" s="2">
        <v>99313</v>
      </c>
      <c r="AY280" s="2">
        <v>40939</v>
      </c>
      <c r="AZ280" s="2">
        <v>1773.45</v>
      </c>
      <c r="BA280" s="2">
        <v>731.05</v>
      </c>
      <c r="BB280" s="5">
        <v>1252.25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4207.5600000000004</v>
      </c>
      <c r="BI280" s="12">
        <v>3756.75</v>
      </c>
      <c r="BJ280" s="2">
        <v>75.14</v>
      </c>
      <c r="BK280" s="5">
        <v>0</v>
      </c>
      <c r="BL280" s="1" t="s">
        <v>90</v>
      </c>
    </row>
    <row r="281" spans="1:64" x14ac:dyDescent="0.3">
      <c r="A281" t="s">
        <v>518</v>
      </c>
      <c r="B281" s="1" t="s">
        <v>522</v>
      </c>
      <c r="C281" s="9" t="s">
        <v>523</v>
      </c>
      <c r="D281" s="1" t="s">
        <v>44</v>
      </c>
      <c r="E281" s="1" t="s">
        <v>88</v>
      </c>
      <c r="F281" s="10" t="s">
        <v>89</v>
      </c>
      <c r="G281" s="1">
        <v>0</v>
      </c>
      <c r="H281" s="1">
        <v>0.02</v>
      </c>
      <c r="I281" s="8">
        <v>45157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74062</v>
      </c>
      <c r="AJ281" s="2">
        <v>9807</v>
      </c>
      <c r="AK281" s="2">
        <v>1322.54</v>
      </c>
      <c r="AL281" s="2">
        <v>175.12</v>
      </c>
      <c r="AM281" s="5">
        <v>748.83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2516.0700000000002</v>
      </c>
      <c r="AT281" s="12">
        <v>2246.4899999999998</v>
      </c>
      <c r="AU281" s="2">
        <v>44.93</v>
      </c>
      <c r="AV281" s="5">
        <v>0</v>
      </c>
      <c r="AX281" s="2">
        <v>74062</v>
      </c>
      <c r="AY281" s="2">
        <v>9807</v>
      </c>
      <c r="AZ281" s="2">
        <v>1322.54</v>
      </c>
      <c r="BA281" s="2">
        <v>175.12</v>
      </c>
      <c r="BB281" s="5">
        <v>748.83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2516.0700000000002</v>
      </c>
      <c r="BI281" s="12">
        <v>2246.4899999999998</v>
      </c>
      <c r="BJ281" s="2">
        <v>44.93</v>
      </c>
      <c r="BK281" s="5">
        <v>0</v>
      </c>
      <c r="BL281" s="1" t="s">
        <v>90</v>
      </c>
    </row>
    <row r="282" spans="1:64" x14ac:dyDescent="0.3">
      <c r="A282" t="s">
        <v>569</v>
      </c>
      <c r="B282" s="1" t="s">
        <v>569</v>
      </c>
      <c r="C282" s="9" t="s">
        <v>570</v>
      </c>
      <c r="D282" s="1" t="s">
        <v>44</v>
      </c>
      <c r="E282" s="1" t="s">
        <v>88</v>
      </c>
      <c r="F282" s="10" t="s">
        <v>104</v>
      </c>
      <c r="G282" s="1">
        <v>2.5000000000000001E-2</v>
      </c>
      <c r="H282" s="1">
        <v>0.02</v>
      </c>
      <c r="I282" s="8">
        <v>44228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1143488</v>
      </c>
      <c r="AJ282" s="2">
        <v>267557.25</v>
      </c>
      <c r="AK282" s="2">
        <v>20419.43</v>
      </c>
      <c r="AL282" s="2">
        <v>4777.8</v>
      </c>
      <c r="AM282" s="5">
        <v>12598.62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42331.35</v>
      </c>
      <c r="AT282" s="12">
        <v>37795.85</v>
      </c>
      <c r="AU282" s="2">
        <v>755.92</v>
      </c>
      <c r="AV282" s="5">
        <v>0</v>
      </c>
      <c r="AX282" s="2">
        <v>1143488</v>
      </c>
      <c r="AY282" s="2">
        <v>267557.25</v>
      </c>
      <c r="AZ282" s="2">
        <v>20419.43</v>
      </c>
      <c r="BA282" s="2">
        <v>4777.8</v>
      </c>
      <c r="BB282" s="5">
        <v>12598.62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42331.35</v>
      </c>
      <c r="BI282" s="12">
        <v>37795.85</v>
      </c>
      <c r="BJ282" s="2">
        <v>755.92</v>
      </c>
      <c r="BK282" s="5">
        <v>0</v>
      </c>
      <c r="BL282" s="1" t="s">
        <v>90</v>
      </c>
    </row>
    <row r="283" spans="1:64" x14ac:dyDescent="0.3">
      <c r="A283" t="s">
        <v>586</v>
      </c>
      <c r="B283" s="1" t="s">
        <v>586</v>
      </c>
      <c r="C283" s="9" t="s">
        <v>587</v>
      </c>
      <c r="D283" s="1" t="s">
        <v>44</v>
      </c>
      <c r="E283" s="1" t="s">
        <v>88</v>
      </c>
      <c r="F283" s="10" t="s">
        <v>104</v>
      </c>
      <c r="G283" s="1">
        <v>2.5000000000000001E-2</v>
      </c>
      <c r="H283" s="1">
        <v>0.02</v>
      </c>
      <c r="I283" s="8">
        <v>44520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716839.05</v>
      </c>
      <c r="AJ283" s="2">
        <v>286641.05</v>
      </c>
      <c r="AK283" s="2">
        <v>12800.7</v>
      </c>
      <c r="AL283" s="2">
        <v>5118.59</v>
      </c>
      <c r="AM283" s="5">
        <v>8959.64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30104.400000000001</v>
      </c>
      <c r="AT283" s="12">
        <v>26878.93</v>
      </c>
      <c r="AU283" s="2">
        <v>537.58000000000004</v>
      </c>
      <c r="AV283" s="5">
        <v>0</v>
      </c>
      <c r="AX283" s="2">
        <v>716839.05</v>
      </c>
      <c r="AY283" s="2">
        <v>286641.05</v>
      </c>
      <c r="AZ283" s="2">
        <v>12800.7</v>
      </c>
      <c r="BA283" s="2">
        <v>5118.59</v>
      </c>
      <c r="BB283" s="5">
        <v>8959.64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30104.400000000001</v>
      </c>
      <c r="BI283" s="12">
        <v>26878.93</v>
      </c>
      <c r="BJ283" s="2">
        <v>537.58000000000004</v>
      </c>
      <c r="BK283" s="5">
        <v>0</v>
      </c>
      <c r="BL283" s="1" t="s">
        <v>90</v>
      </c>
    </row>
    <row r="284" spans="1:64" x14ac:dyDescent="0.3">
      <c r="A284" t="s">
        <v>624</v>
      </c>
      <c r="B284" s="1" t="s">
        <v>625</v>
      </c>
      <c r="C284" s="9" t="s">
        <v>626</v>
      </c>
      <c r="D284" s="1" t="s">
        <v>44</v>
      </c>
      <c r="E284" s="1" t="s">
        <v>88</v>
      </c>
      <c r="F284" s="10" t="s">
        <v>181</v>
      </c>
      <c r="G284" s="1">
        <v>3.5000000000000003E-2</v>
      </c>
      <c r="H284" s="1">
        <v>0.02</v>
      </c>
      <c r="I284" s="8">
        <v>44805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0</v>
      </c>
      <c r="AJ284" s="2">
        <v>0</v>
      </c>
      <c r="AK284" s="2">
        <v>0</v>
      </c>
      <c r="AL284" s="2">
        <v>0</v>
      </c>
      <c r="AM284" s="5">
        <v>0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0</v>
      </c>
      <c r="AT284" s="12">
        <v>0</v>
      </c>
      <c r="AU284" s="2">
        <v>0</v>
      </c>
      <c r="AV284" s="5">
        <v>0</v>
      </c>
      <c r="AX284" s="2">
        <v>0</v>
      </c>
      <c r="AY284" s="2">
        <v>0</v>
      </c>
      <c r="AZ284" s="2">
        <v>0</v>
      </c>
      <c r="BA284" s="2">
        <v>0</v>
      </c>
      <c r="BB284" s="5">
        <v>0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0</v>
      </c>
      <c r="BI284" s="12">
        <v>0</v>
      </c>
      <c r="BJ284" s="2">
        <v>0</v>
      </c>
      <c r="BK284" s="5">
        <v>0</v>
      </c>
      <c r="BL284" s="1" t="s">
        <v>90</v>
      </c>
    </row>
    <row r="285" spans="1:64" x14ac:dyDescent="0.3">
      <c r="A285" t="s">
        <v>629</v>
      </c>
      <c r="B285" s="1" t="s">
        <v>629</v>
      </c>
      <c r="C285" s="9" t="s">
        <v>630</v>
      </c>
      <c r="D285" s="1" t="s">
        <v>44</v>
      </c>
      <c r="E285" s="1" t="s">
        <v>88</v>
      </c>
      <c r="F285" s="10" t="s">
        <v>89</v>
      </c>
      <c r="G285" s="1">
        <v>3.5000000000000003E-2</v>
      </c>
      <c r="H285" s="1">
        <v>0.02</v>
      </c>
      <c r="I285" s="8">
        <v>45046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500397.55</v>
      </c>
      <c r="AJ285" s="2">
        <v>90936.1</v>
      </c>
      <c r="AK285" s="2">
        <v>8935.67</v>
      </c>
      <c r="AL285" s="2">
        <v>1623.86</v>
      </c>
      <c r="AM285" s="5">
        <v>5279.77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17740.02</v>
      </c>
      <c r="AT285" s="12">
        <v>15839.300000000001</v>
      </c>
      <c r="AU285" s="2">
        <v>316.79000000000002</v>
      </c>
      <c r="AV285" s="5">
        <v>0</v>
      </c>
      <c r="AX285" s="2">
        <v>500397.55</v>
      </c>
      <c r="AY285" s="2">
        <v>90936.1</v>
      </c>
      <c r="AZ285" s="2">
        <v>8935.67</v>
      </c>
      <c r="BA285" s="2">
        <v>1623.86</v>
      </c>
      <c r="BB285" s="5">
        <v>5279.77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17740.02</v>
      </c>
      <c r="BI285" s="12">
        <v>15839.300000000001</v>
      </c>
      <c r="BJ285" s="2">
        <v>316.79000000000002</v>
      </c>
      <c r="BK285" s="5">
        <v>0</v>
      </c>
      <c r="BL285" s="1" t="s">
        <v>90</v>
      </c>
    </row>
    <row r="286" spans="1:64" x14ac:dyDescent="0.3">
      <c r="A286" t="s">
        <v>629</v>
      </c>
      <c r="B286" s="1" t="s">
        <v>631</v>
      </c>
      <c r="C286" s="9" t="s">
        <v>632</v>
      </c>
      <c r="D286" s="1" t="s">
        <v>44</v>
      </c>
      <c r="E286" s="1" t="s">
        <v>88</v>
      </c>
      <c r="F286" s="10" t="s">
        <v>89</v>
      </c>
      <c r="G286" s="1">
        <v>3.5000000000000003E-2</v>
      </c>
      <c r="H286" s="1">
        <v>0.02</v>
      </c>
      <c r="I286" s="8">
        <v>45046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136908</v>
      </c>
      <c r="AJ286" s="2">
        <v>40233</v>
      </c>
      <c r="AK286" s="2">
        <v>2444.79</v>
      </c>
      <c r="AL286" s="2">
        <v>718.45</v>
      </c>
      <c r="AM286" s="5">
        <v>1581.62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5314.24</v>
      </c>
      <c r="AT286" s="12">
        <v>4744.8599999999997</v>
      </c>
      <c r="AU286" s="2">
        <v>94.9</v>
      </c>
      <c r="AV286" s="5">
        <v>0</v>
      </c>
      <c r="AX286" s="2">
        <v>136908</v>
      </c>
      <c r="AY286" s="2">
        <v>40233</v>
      </c>
      <c r="AZ286" s="2">
        <v>2444.79</v>
      </c>
      <c r="BA286" s="2">
        <v>718.45</v>
      </c>
      <c r="BB286" s="5">
        <v>1581.62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5314.24</v>
      </c>
      <c r="BI286" s="12">
        <v>4744.8599999999997</v>
      </c>
      <c r="BJ286" s="2">
        <v>94.9</v>
      </c>
      <c r="BK286" s="5">
        <v>0</v>
      </c>
      <c r="BL286" s="1" t="s">
        <v>90</v>
      </c>
    </row>
    <row r="287" spans="1:64" x14ac:dyDescent="0.3">
      <c r="A287" t="s">
        <v>629</v>
      </c>
      <c r="B287" s="1" t="s">
        <v>633</v>
      </c>
      <c r="C287" s="9" t="s">
        <v>634</v>
      </c>
      <c r="D287" s="1" t="s">
        <v>44</v>
      </c>
      <c r="E287" s="1" t="s">
        <v>88</v>
      </c>
      <c r="F287" s="10" t="s">
        <v>89</v>
      </c>
      <c r="G287" s="1">
        <v>0</v>
      </c>
      <c r="H287" s="1">
        <v>0.02</v>
      </c>
      <c r="I287" s="8">
        <v>45254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47116</v>
      </c>
      <c r="AJ287" s="2">
        <v>22022</v>
      </c>
      <c r="AK287" s="2">
        <v>841.36</v>
      </c>
      <c r="AL287" s="2">
        <v>393.25</v>
      </c>
      <c r="AM287" s="5">
        <v>617.29999999999995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2074.14</v>
      </c>
      <c r="AT287" s="12">
        <v>1851.91</v>
      </c>
      <c r="AU287" s="2">
        <v>37.04</v>
      </c>
      <c r="AV287" s="5">
        <v>0</v>
      </c>
      <c r="AX287" s="2">
        <v>47116</v>
      </c>
      <c r="AY287" s="2">
        <v>22022</v>
      </c>
      <c r="AZ287" s="2">
        <v>841.36</v>
      </c>
      <c r="BA287" s="2">
        <v>393.25</v>
      </c>
      <c r="BB287" s="5">
        <v>617.29999999999995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2074.14</v>
      </c>
      <c r="BI287" s="12">
        <v>1851.91</v>
      </c>
      <c r="BJ287" s="2">
        <v>37.04</v>
      </c>
      <c r="BK287" s="5">
        <v>0</v>
      </c>
      <c r="BL287" s="1" t="s">
        <v>90</v>
      </c>
    </row>
    <row r="288" spans="1:64" x14ac:dyDescent="0.3">
      <c r="A288" t="s">
        <v>644</v>
      </c>
      <c r="B288" s="1" t="s">
        <v>644</v>
      </c>
      <c r="C288" s="9" t="s">
        <v>645</v>
      </c>
      <c r="D288" s="1" t="s">
        <v>44</v>
      </c>
      <c r="E288" s="1" t="s">
        <v>88</v>
      </c>
      <c r="F288" s="10" t="s">
        <v>188</v>
      </c>
      <c r="G288" s="1">
        <v>0</v>
      </c>
      <c r="H288" s="1">
        <v>0.02</v>
      </c>
      <c r="I288" s="8">
        <v>45153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563609.97</v>
      </c>
      <c r="AJ288" s="2">
        <v>104185.37</v>
      </c>
      <c r="AK288" s="2">
        <v>10064.459999999999</v>
      </c>
      <c r="AL288" s="2">
        <v>1860.46</v>
      </c>
      <c r="AM288" s="5">
        <v>5962.46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20033.87</v>
      </c>
      <c r="AT288" s="12">
        <v>17887.379999999997</v>
      </c>
      <c r="AU288" s="2">
        <v>357.75</v>
      </c>
      <c r="AV288" s="5">
        <v>0</v>
      </c>
      <c r="AX288" s="2">
        <v>563609.97</v>
      </c>
      <c r="AY288" s="2">
        <v>104185.37</v>
      </c>
      <c r="AZ288" s="2">
        <v>10064.459999999999</v>
      </c>
      <c r="BA288" s="2">
        <v>1860.46</v>
      </c>
      <c r="BB288" s="5">
        <v>5962.46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20033.87</v>
      </c>
      <c r="BI288" s="12">
        <v>17887.379999999997</v>
      </c>
      <c r="BJ288" s="2">
        <v>357.75</v>
      </c>
      <c r="BK288" s="5">
        <v>0</v>
      </c>
      <c r="BL288" s="1" t="s">
        <v>90</v>
      </c>
    </row>
    <row r="289" spans="1:64" x14ac:dyDescent="0.3">
      <c r="A289" t="s">
        <v>644</v>
      </c>
      <c r="B289" s="1" t="s">
        <v>646</v>
      </c>
      <c r="C289" s="9" t="s">
        <v>647</v>
      </c>
      <c r="D289" s="1" t="s">
        <v>44</v>
      </c>
      <c r="E289" s="1" t="s">
        <v>88</v>
      </c>
      <c r="F289" s="10" t="s">
        <v>188</v>
      </c>
      <c r="G289" s="1">
        <v>0</v>
      </c>
      <c r="H289" s="1">
        <v>0.02</v>
      </c>
      <c r="I289" s="8">
        <v>45153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115229</v>
      </c>
      <c r="AJ289" s="2">
        <v>32830</v>
      </c>
      <c r="AK289" s="2">
        <v>2057.66</v>
      </c>
      <c r="AL289" s="2">
        <v>586.25</v>
      </c>
      <c r="AM289" s="5">
        <v>1321.96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4441.7700000000004</v>
      </c>
      <c r="AT289" s="12">
        <v>3965.87</v>
      </c>
      <c r="AU289" s="2">
        <v>79.319999999999993</v>
      </c>
      <c r="AV289" s="5">
        <v>0</v>
      </c>
      <c r="AX289" s="2">
        <v>115229</v>
      </c>
      <c r="AY289" s="2">
        <v>32830</v>
      </c>
      <c r="AZ289" s="2">
        <v>2057.66</v>
      </c>
      <c r="BA289" s="2">
        <v>586.25</v>
      </c>
      <c r="BB289" s="5">
        <v>1321.96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4441.7700000000004</v>
      </c>
      <c r="BI289" s="12">
        <v>3965.87</v>
      </c>
      <c r="BJ289" s="2">
        <v>79.319999999999993</v>
      </c>
      <c r="BK289" s="5">
        <v>0</v>
      </c>
      <c r="BL289" s="1" t="s">
        <v>90</v>
      </c>
    </row>
    <row r="290" spans="1:64" x14ac:dyDescent="0.3">
      <c r="A290" t="s">
        <v>648</v>
      </c>
      <c r="B290" s="1" t="s">
        <v>648</v>
      </c>
      <c r="C290" s="9" t="s">
        <v>649</v>
      </c>
      <c r="D290" s="1" t="s">
        <v>44</v>
      </c>
      <c r="E290" s="1" t="s">
        <v>88</v>
      </c>
      <c r="F290" s="10" t="s">
        <v>178</v>
      </c>
      <c r="G290" s="1">
        <v>3.5000000000000003E-2</v>
      </c>
      <c r="H290" s="1">
        <v>0.02</v>
      </c>
      <c r="I290" s="8">
        <v>45201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215305</v>
      </c>
      <c r="AJ290" s="2">
        <v>42509</v>
      </c>
      <c r="AK290" s="2">
        <v>3844.73</v>
      </c>
      <c r="AL290" s="2">
        <v>759.09</v>
      </c>
      <c r="AM290" s="5">
        <v>2301.91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7734.42</v>
      </c>
      <c r="AT290" s="12">
        <v>6905.73</v>
      </c>
      <c r="AU290" s="2">
        <v>138.11000000000001</v>
      </c>
      <c r="AV290" s="5">
        <v>0</v>
      </c>
      <c r="AX290" s="2">
        <v>215305</v>
      </c>
      <c r="AY290" s="2">
        <v>42509</v>
      </c>
      <c r="AZ290" s="2">
        <v>3844.73</v>
      </c>
      <c r="BA290" s="2">
        <v>759.09</v>
      </c>
      <c r="BB290" s="5">
        <v>2301.91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7734.42</v>
      </c>
      <c r="BI290" s="12">
        <v>6905.73</v>
      </c>
      <c r="BJ290" s="2">
        <v>138.11000000000001</v>
      </c>
      <c r="BK290" s="5">
        <v>0</v>
      </c>
      <c r="BL290" s="1" t="s">
        <v>90</v>
      </c>
    </row>
    <row r="291" spans="1:64" x14ac:dyDescent="0.3">
      <c r="A291" t="s">
        <v>702</v>
      </c>
      <c r="B291" s="1" t="s">
        <v>702</v>
      </c>
      <c r="C291" s="9" t="s">
        <v>703</v>
      </c>
      <c r="D291" s="1" t="s">
        <v>44</v>
      </c>
      <c r="E291" s="1" t="s">
        <v>88</v>
      </c>
      <c r="F291" s="10" t="s">
        <v>104</v>
      </c>
      <c r="G291" s="1">
        <v>0</v>
      </c>
      <c r="H291" s="1">
        <v>0.02</v>
      </c>
      <c r="I291" s="8">
        <v>45777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302085.55000000005</v>
      </c>
      <c r="AJ291" s="2">
        <v>119694.75</v>
      </c>
      <c r="AK291" s="2">
        <v>179.81</v>
      </c>
      <c r="AL291" s="2">
        <v>71.25</v>
      </c>
      <c r="AM291" s="5">
        <v>3765.89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4498.9799999999996</v>
      </c>
      <c r="AT291" s="12">
        <v>4016.95</v>
      </c>
      <c r="AU291" s="2">
        <v>80.34</v>
      </c>
      <c r="AV291" s="5">
        <v>0</v>
      </c>
      <c r="AX291" s="2">
        <v>302085.55000000005</v>
      </c>
      <c r="AY291" s="2">
        <v>119694.75</v>
      </c>
      <c r="AZ291" s="2">
        <v>179.81</v>
      </c>
      <c r="BA291" s="2">
        <v>71.25</v>
      </c>
      <c r="BB291" s="5">
        <v>3765.89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4498.9799999999996</v>
      </c>
      <c r="BI291" s="12">
        <v>4016.95</v>
      </c>
      <c r="BJ291" s="2">
        <v>80.34</v>
      </c>
      <c r="BK291" s="5">
        <v>0</v>
      </c>
      <c r="BL291" s="1" t="s">
        <v>90</v>
      </c>
    </row>
    <row r="292" spans="1:64" x14ac:dyDescent="0.3">
      <c r="A292" t="s">
        <v>740</v>
      </c>
      <c r="B292" s="1" t="s">
        <v>740</v>
      </c>
      <c r="C292" s="9" t="s">
        <v>741</v>
      </c>
      <c r="D292" s="1" t="s">
        <v>44</v>
      </c>
      <c r="E292" s="1" t="s">
        <v>88</v>
      </c>
      <c r="F292" s="10" t="s">
        <v>101</v>
      </c>
      <c r="G292" s="1">
        <v>0</v>
      </c>
      <c r="H292" s="1">
        <v>0.02</v>
      </c>
      <c r="I292" s="8">
        <v>44009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298424.75000000006</v>
      </c>
      <c r="AJ292" s="2">
        <v>73293.850000000006</v>
      </c>
      <c r="AK292" s="2">
        <v>5329.02</v>
      </c>
      <c r="AL292" s="2">
        <v>1308.82</v>
      </c>
      <c r="AM292" s="5">
        <v>3318.92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11151.57</v>
      </c>
      <c r="AT292" s="12">
        <v>9956.76</v>
      </c>
      <c r="AU292" s="2">
        <v>199.14</v>
      </c>
      <c r="AV292" s="5">
        <v>0</v>
      </c>
      <c r="AX292" s="2">
        <v>298424.75000000006</v>
      </c>
      <c r="AY292" s="2">
        <v>73293.850000000006</v>
      </c>
      <c r="AZ292" s="2">
        <v>5329.02</v>
      </c>
      <c r="BA292" s="2">
        <v>1308.82</v>
      </c>
      <c r="BB292" s="5">
        <v>3318.92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11151.57</v>
      </c>
      <c r="BI292" s="12">
        <v>9956.76</v>
      </c>
      <c r="BJ292" s="2">
        <v>199.14</v>
      </c>
      <c r="BK292" s="5">
        <v>0</v>
      </c>
      <c r="BL292" s="1" t="s">
        <v>90</v>
      </c>
    </row>
    <row r="293" spans="1:64" x14ac:dyDescent="0.3">
      <c r="A293" t="s">
        <v>742</v>
      </c>
      <c r="B293" s="1" t="s">
        <v>742</v>
      </c>
      <c r="C293" s="9" t="s">
        <v>743</v>
      </c>
      <c r="D293" s="1" t="s">
        <v>44</v>
      </c>
      <c r="E293" s="1" t="s">
        <v>88</v>
      </c>
      <c r="F293" s="10" t="s">
        <v>114</v>
      </c>
      <c r="G293" s="1">
        <v>3.5000000000000003E-2</v>
      </c>
      <c r="H293" s="1">
        <v>0.02</v>
      </c>
      <c r="I293" s="8">
        <v>45083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353621.69</v>
      </c>
      <c r="AJ293" s="2">
        <v>106777.74</v>
      </c>
      <c r="AK293" s="2">
        <v>6314.67</v>
      </c>
      <c r="AL293" s="2">
        <v>1906.74</v>
      </c>
      <c r="AM293" s="5">
        <v>4110.71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13811.97</v>
      </c>
      <c r="AT293" s="12">
        <v>12332.119999999999</v>
      </c>
      <c r="AU293" s="2">
        <v>246.64</v>
      </c>
      <c r="AV293" s="5">
        <v>0</v>
      </c>
      <c r="AX293" s="2">
        <v>353621.69</v>
      </c>
      <c r="AY293" s="2">
        <v>106777.74</v>
      </c>
      <c r="AZ293" s="2">
        <v>6314.67</v>
      </c>
      <c r="BA293" s="2">
        <v>1906.74</v>
      </c>
      <c r="BB293" s="5">
        <v>4110.71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13811.97</v>
      </c>
      <c r="BI293" s="12">
        <v>12332.119999999999</v>
      </c>
      <c r="BJ293" s="2">
        <v>246.64</v>
      </c>
      <c r="BK293" s="5">
        <v>0</v>
      </c>
      <c r="BL293" s="1" t="s">
        <v>90</v>
      </c>
    </row>
    <row r="294" spans="1:64" x14ac:dyDescent="0.3">
      <c r="A294" t="s">
        <v>755</v>
      </c>
      <c r="B294" s="1" t="s">
        <v>755</v>
      </c>
      <c r="C294" s="9" t="s">
        <v>756</v>
      </c>
      <c r="D294" s="1" t="s">
        <v>44</v>
      </c>
      <c r="E294" s="1" t="s">
        <v>88</v>
      </c>
      <c r="F294" s="10" t="s">
        <v>104</v>
      </c>
      <c r="G294" s="1">
        <v>0</v>
      </c>
      <c r="H294" s="1">
        <v>0.02</v>
      </c>
      <c r="I294" s="8">
        <v>44612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498460</v>
      </c>
      <c r="AJ294" s="2">
        <v>130457</v>
      </c>
      <c r="AK294" s="2">
        <v>8901.07</v>
      </c>
      <c r="AL294" s="2">
        <v>2329.59</v>
      </c>
      <c r="AM294" s="5">
        <v>5615.33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18867.509999999998</v>
      </c>
      <c r="AT294" s="12">
        <v>16845.989999999998</v>
      </c>
      <c r="AU294" s="2">
        <v>336.92</v>
      </c>
      <c r="AV294" s="5">
        <v>0</v>
      </c>
      <c r="AX294" s="2">
        <v>498460</v>
      </c>
      <c r="AY294" s="2">
        <v>130457</v>
      </c>
      <c r="AZ294" s="2">
        <v>8901.07</v>
      </c>
      <c r="BA294" s="2">
        <v>2329.59</v>
      </c>
      <c r="BB294" s="5">
        <v>5615.33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18867.509999999998</v>
      </c>
      <c r="BI294" s="12">
        <v>16845.989999999998</v>
      </c>
      <c r="BJ294" s="2">
        <v>336.92</v>
      </c>
      <c r="BK294" s="5">
        <v>0</v>
      </c>
      <c r="BL294" s="1" t="s">
        <v>90</v>
      </c>
    </row>
    <row r="295" spans="1:64" x14ac:dyDescent="0.3">
      <c r="A295" t="s">
        <v>765</v>
      </c>
      <c r="B295" s="1" t="s">
        <v>765</v>
      </c>
      <c r="C295" s="9" t="s">
        <v>766</v>
      </c>
      <c r="D295" s="1" t="s">
        <v>44</v>
      </c>
      <c r="E295" s="1" t="s">
        <v>88</v>
      </c>
      <c r="F295" s="10" t="s">
        <v>101</v>
      </c>
      <c r="G295" s="1">
        <v>3.5000000000000003E-2</v>
      </c>
      <c r="H295" s="1">
        <v>0.02</v>
      </c>
      <c r="I295" s="8">
        <v>45003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1047475</v>
      </c>
      <c r="AJ295" s="2">
        <v>227286.31</v>
      </c>
      <c r="AK295" s="2">
        <v>18704.91</v>
      </c>
      <c r="AL295" s="2">
        <v>4058.69</v>
      </c>
      <c r="AM295" s="5">
        <v>11381.79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38242.839999999997</v>
      </c>
      <c r="AT295" s="12">
        <v>34145.39</v>
      </c>
      <c r="AU295" s="2">
        <v>682.91</v>
      </c>
      <c r="AV295" s="5">
        <v>0</v>
      </c>
      <c r="AX295" s="2">
        <v>1047475</v>
      </c>
      <c r="AY295" s="2">
        <v>227286.31</v>
      </c>
      <c r="AZ295" s="2">
        <v>18704.91</v>
      </c>
      <c r="BA295" s="2">
        <v>4058.69</v>
      </c>
      <c r="BB295" s="5">
        <v>11381.79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38242.839999999997</v>
      </c>
      <c r="BI295" s="12">
        <v>34145.39</v>
      </c>
      <c r="BJ295" s="2">
        <v>682.91</v>
      </c>
      <c r="BK295" s="5">
        <v>0</v>
      </c>
      <c r="BL295" s="1" t="s">
        <v>90</v>
      </c>
    </row>
    <row r="296" spans="1:64" x14ac:dyDescent="0.3">
      <c r="A296" t="s">
        <v>810</v>
      </c>
      <c r="B296" s="1" t="s">
        <v>810</v>
      </c>
      <c r="C296" s="9" t="s">
        <v>811</v>
      </c>
      <c r="D296" s="1" t="s">
        <v>44</v>
      </c>
      <c r="E296" s="1" t="s">
        <v>88</v>
      </c>
      <c r="F296" s="10" t="s">
        <v>104</v>
      </c>
      <c r="G296" s="1">
        <v>0</v>
      </c>
      <c r="H296" s="1">
        <v>0.02</v>
      </c>
      <c r="I296" s="8">
        <v>44936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165579</v>
      </c>
      <c r="AJ296" s="2">
        <v>56670</v>
      </c>
      <c r="AK296" s="2">
        <v>2956.77</v>
      </c>
      <c r="AL296" s="2">
        <v>1011.96</v>
      </c>
      <c r="AM296" s="5">
        <v>1984.37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6667.47</v>
      </c>
      <c r="AT296" s="12">
        <v>5953.1</v>
      </c>
      <c r="AU296" s="2">
        <v>119.06</v>
      </c>
      <c r="AV296" s="5">
        <v>0</v>
      </c>
      <c r="AX296" s="2">
        <v>165579</v>
      </c>
      <c r="AY296" s="2">
        <v>56670</v>
      </c>
      <c r="AZ296" s="2">
        <v>2956.77</v>
      </c>
      <c r="BA296" s="2">
        <v>1011.96</v>
      </c>
      <c r="BB296" s="5">
        <v>1984.37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6667.47</v>
      </c>
      <c r="BI296" s="12">
        <v>5953.1</v>
      </c>
      <c r="BJ296" s="2">
        <v>119.06</v>
      </c>
      <c r="BK296" s="5">
        <v>0</v>
      </c>
      <c r="BL296" s="1" t="s">
        <v>90</v>
      </c>
    </row>
    <row r="297" spans="1:64" x14ac:dyDescent="0.3">
      <c r="A297" t="s">
        <v>836</v>
      </c>
      <c r="B297" s="1" t="s">
        <v>836</v>
      </c>
      <c r="C297" s="9" t="s">
        <v>837</v>
      </c>
      <c r="D297" s="1" t="s">
        <v>44</v>
      </c>
      <c r="E297" s="1" t="s">
        <v>88</v>
      </c>
      <c r="F297" s="10" t="s">
        <v>181</v>
      </c>
      <c r="G297" s="1">
        <v>0</v>
      </c>
      <c r="H297" s="1">
        <v>0.02</v>
      </c>
      <c r="I297" s="8">
        <v>45641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435213.4</v>
      </c>
      <c r="AJ297" s="2">
        <v>135605</v>
      </c>
      <c r="AK297" s="2">
        <v>7771.67</v>
      </c>
      <c r="AL297" s="2">
        <v>2421.52</v>
      </c>
      <c r="AM297" s="5">
        <v>5096.59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17124.55</v>
      </c>
      <c r="AT297" s="12">
        <v>15289.78</v>
      </c>
      <c r="AU297" s="2">
        <v>305.8</v>
      </c>
      <c r="AV297" s="5">
        <v>0</v>
      </c>
      <c r="AX297" s="2">
        <v>435213.4</v>
      </c>
      <c r="AY297" s="2">
        <v>135605</v>
      </c>
      <c r="AZ297" s="2">
        <v>7771.67</v>
      </c>
      <c r="BA297" s="2">
        <v>2421.52</v>
      </c>
      <c r="BB297" s="5">
        <v>5096.59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17124.55</v>
      </c>
      <c r="BI297" s="12">
        <v>15289.78</v>
      </c>
      <c r="BJ297" s="2">
        <v>305.8</v>
      </c>
      <c r="BK297" s="5">
        <v>0</v>
      </c>
      <c r="BL297" s="1" t="s">
        <v>90</v>
      </c>
    </row>
    <row r="298" spans="1:64" x14ac:dyDescent="0.3">
      <c r="A298" t="s">
        <v>836</v>
      </c>
      <c r="B298" s="1" t="s">
        <v>838</v>
      </c>
      <c r="C298" s="9" t="s">
        <v>839</v>
      </c>
      <c r="D298" s="1" t="s">
        <v>44</v>
      </c>
      <c r="E298" s="1" t="s">
        <v>88</v>
      </c>
      <c r="F298" s="10" t="s">
        <v>181</v>
      </c>
      <c r="G298" s="1">
        <v>0</v>
      </c>
      <c r="H298" s="1">
        <v>0.02</v>
      </c>
      <c r="I298" s="8">
        <v>45641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344105.75</v>
      </c>
      <c r="AJ298" s="2">
        <v>61649</v>
      </c>
      <c r="AK298" s="2">
        <v>6144.75</v>
      </c>
      <c r="AL298" s="2">
        <v>1100.8800000000001</v>
      </c>
      <c r="AM298" s="5">
        <v>3622.81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12172.65</v>
      </c>
      <c r="AT298" s="12">
        <v>10868.44</v>
      </c>
      <c r="AU298" s="2">
        <v>217.37</v>
      </c>
      <c r="AV298" s="5">
        <v>0</v>
      </c>
      <c r="AX298" s="2">
        <v>344105.75</v>
      </c>
      <c r="AY298" s="2">
        <v>61649</v>
      </c>
      <c r="AZ298" s="2">
        <v>6144.75</v>
      </c>
      <c r="BA298" s="2">
        <v>1100.8800000000001</v>
      </c>
      <c r="BB298" s="5">
        <v>3622.81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12172.65</v>
      </c>
      <c r="BI298" s="12">
        <v>10868.44</v>
      </c>
      <c r="BJ298" s="2">
        <v>217.37</v>
      </c>
      <c r="BK298" s="5">
        <v>0</v>
      </c>
      <c r="BL298" s="1" t="s">
        <v>90</v>
      </c>
    </row>
    <row r="299" spans="1:64" x14ac:dyDescent="0.3">
      <c r="A299" t="s">
        <v>836</v>
      </c>
      <c r="B299" s="1" t="s">
        <v>840</v>
      </c>
      <c r="C299" s="9" t="s">
        <v>841</v>
      </c>
      <c r="D299" s="1" t="s">
        <v>44</v>
      </c>
      <c r="E299" s="1" t="s">
        <v>88</v>
      </c>
      <c r="F299" s="10" t="s">
        <v>181</v>
      </c>
      <c r="G299" s="1">
        <v>0</v>
      </c>
      <c r="H299" s="1">
        <v>0.02</v>
      </c>
      <c r="I299" s="8">
        <v>45641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92627</v>
      </c>
      <c r="AJ299" s="2">
        <v>15752</v>
      </c>
      <c r="AK299" s="2">
        <v>1654.05</v>
      </c>
      <c r="AL299" s="2">
        <v>281.29000000000002</v>
      </c>
      <c r="AM299" s="5">
        <v>967.67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3251.37</v>
      </c>
      <c r="AT299" s="12">
        <v>2903.0099999999998</v>
      </c>
      <c r="AU299" s="2">
        <v>58.06</v>
      </c>
      <c r="AV299" s="5">
        <v>0</v>
      </c>
      <c r="AX299" s="2">
        <v>92627</v>
      </c>
      <c r="AY299" s="2">
        <v>15752</v>
      </c>
      <c r="AZ299" s="2">
        <v>1654.05</v>
      </c>
      <c r="BA299" s="2">
        <v>281.29000000000002</v>
      </c>
      <c r="BB299" s="5">
        <v>967.67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3251.37</v>
      </c>
      <c r="BI299" s="12">
        <v>2903.0099999999998</v>
      </c>
      <c r="BJ299" s="2">
        <v>58.06</v>
      </c>
      <c r="BK299" s="5">
        <v>0</v>
      </c>
      <c r="BL299" s="1" t="s">
        <v>90</v>
      </c>
    </row>
    <row r="300" spans="1:64" x14ac:dyDescent="0.3">
      <c r="A300" t="s">
        <v>842</v>
      </c>
      <c r="B300" s="1" t="s">
        <v>842</v>
      </c>
      <c r="C300" s="9" t="s">
        <v>843</v>
      </c>
      <c r="D300" s="1" t="s">
        <v>44</v>
      </c>
      <c r="E300" s="1" t="s">
        <v>88</v>
      </c>
      <c r="F300" s="10" t="s">
        <v>178</v>
      </c>
      <c r="G300" s="1">
        <v>0</v>
      </c>
      <c r="H300" s="1">
        <v>0.02</v>
      </c>
      <c r="I300" s="8">
        <v>44878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403820.5</v>
      </c>
      <c r="AJ300" s="2">
        <v>116760</v>
      </c>
      <c r="AK300" s="2">
        <v>7211.08</v>
      </c>
      <c r="AL300" s="2">
        <v>2085</v>
      </c>
      <c r="AM300" s="5">
        <v>4648.04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15617.41</v>
      </c>
      <c r="AT300" s="12">
        <v>13944.119999999999</v>
      </c>
      <c r="AU300" s="2">
        <v>278.88</v>
      </c>
      <c r="AV300" s="5">
        <v>0</v>
      </c>
      <c r="AX300" s="2">
        <v>403820.5</v>
      </c>
      <c r="AY300" s="2">
        <v>116760</v>
      </c>
      <c r="AZ300" s="2">
        <v>7211.08</v>
      </c>
      <c r="BA300" s="2">
        <v>2085</v>
      </c>
      <c r="BB300" s="5">
        <v>4648.04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15617.41</v>
      </c>
      <c r="BI300" s="12">
        <v>13944.119999999999</v>
      </c>
      <c r="BJ300" s="2">
        <v>278.88</v>
      </c>
      <c r="BK300" s="5">
        <v>0</v>
      </c>
      <c r="BL300" s="1" t="s">
        <v>90</v>
      </c>
    </row>
    <row r="301" spans="1:64" x14ac:dyDescent="0.3">
      <c r="A301" t="s">
        <v>846</v>
      </c>
      <c r="B301" s="1" t="s">
        <v>846</v>
      </c>
      <c r="C301" s="9" t="s">
        <v>847</v>
      </c>
      <c r="D301" s="1" t="s">
        <v>44</v>
      </c>
      <c r="E301" s="1" t="s">
        <v>88</v>
      </c>
      <c r="F301" s="10" t="s">
        <v>848</v>
      </c>
      <c r="G301" s="1">
        <v>0</v>
      </c>
      <c r="H301" s="1">
        <v>0.02</v>
      </c>
      <c r="I301" s="8">
        <v>44009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212544</v>
      </c>
      <c r="AJ301" s="2">
        <v>42314</v>
      </c>
      <c r="AK301" s="2">
        <v>3795.43</v>
      </c>
      <c r="AL301" s="2">
        <v>755.61</v>
      </c>
      <c r="AM301" s="5">
        <v>2275.52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7645.75</v>
      </c>
      <c r="AT301" s="12">
        <v>6826.5599999999995</v>
      </c>
      <c r="AU301" s="2">
        <v>136.53</v>
      </c>
      <c r="AV301" s="5">
        <v>0</v>
      </c>
      <c r="AX301" s="2">
        <v>212544</v>
      </c>
      <c r="AY301" s="2">
        <v>42314</v>
      </c>
      <c r="AZ301" s="2">
        <v>3795.43</v>
      </c>
      <c r="BA301" s="2">
        <v>755.61</v>
      </c>
      <c r="BB301" s="5">
        <v>2275.52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7645.75</v>
      </c>
      <c r="BI301" s="12">
        <v>6826.5599999999995</v>
      </c>
      <c r="BJ301" s="2">
        <v>136.53</v>
      </c>
      <c r="BK301" s="5">
        <v>0</v>
      </c>
      <c r="BL301" s="1" t="s">
        <v>90</v>
      </c>
    </row>
    <row r="302" spans="1:64" x14ac:dyDescent="0.3">
      <c r="A302" t="s">
        <v>851</v>
      </c>
      <c r="B302" s="1" t="s">
        <v>851</v>
      </c>
      <c r="C302" s="9" t="s">
        <v>852</v>
      </c>
      <c r="D302" s="1" t="s">
        <v>44</v>
      </c>
      <c r="E302" s="1" t="s">
        <v>88</v>
      </c>
      <c r="F302" s="10" t="s">
        <v>853</v>
      </c>
      <c r="G302" s="1">
        <v>2.5000000000000001E-2</v>
      </c>
      <c r="H302" s="1">
        <v>0.02</v>
      </c>
      <c r="I302" s="8">
        <v>45716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215923.45</v>
      </c>
      <c r="AJ302" s="2">
        <v>93971</v>
      </c>
      <c r="AK302" s="2">
        <v>3855.78</v>
      </c>
      <c r="AL302" s="2">
        <v>1678.05</v>
      </c>
      <c r="AM302" s="5">
        <v>2766.91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9296.83</v>
      </c>
      <c r="AT302" s="12">
        <v>8300.74</v>
      </c>
      <c r="AU302" s="2">
        <v>166.01</v>
      </c>
      <c r="AV302" s="5">
        <v>0</v>
      </c>
      <c r="AX302" s="2">
        <v>215923.45</v>
      </c>
      <c r="AY302" s="2">
        <v>93971</v>
      </c>
      <c r="AZ302" s="2">
        <v>3855.78</v>
      </c>
      <c r="BA302" s="2">
        <v>1678.05</v>
      </c>
      <c r="BB302" s="5">
        <v>2766.91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9296.83</v>
      </c>
      <c r="BI302" s="12">
        <v>8300.74</v>
      </c>
      <c r="BJ302" s="2">
        <v>166.01</v>
      </c>
      <c r="BK302" s="5">
        <v>0</v>
      </c>
      <c r="BL302" s="1" t="s">
        <v>90</v>
      </c>
    </row>
    <row r="303" spans="1:64" x14ac:dyDescent="0.3">
      <c r="A303" t="s">
        <v>854</v>
      </c>
      <c r="B303" s="1" t="s">
        <v>854</v>
      </c>
      <c r="C303" s="9" t="s">
        <v>855</v>
      </c>
      <c r="D303" s="1" t="s">
        <v>44</v>
      </c>
      <c r="E303" s="1" t="s">
        <v>88</v>
      </c>
      <c r="F303" s="10" t="s">
        <v>853</v>
      </c>
      <c r="G303" s="1">
        <v>0</v>
      </c>
      <c r="H303" s="1">
        <v>0.02</v>
      </c>
      <c r="I303" s="8">
        <v>45716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164324</v>
      </c>
      <c r="AJ303" s="2">
        <v>41491</v>
      </c>
      <c r="AK303" s="2">
        <v>2934.36</v>
      </c>
      <c r="AL303" s="2">
        <v>740.91</v>
      </c>
      <c r="AM303" s="5">
        <v>1837.63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6174.45</v>
      </c>
      <c r="AT303" s="12">
        <v>5512.9</v>
      </c>
      <c r="AU303" s="2">
        <v>110.26</v>
      </c>
      <c r="AV303" s="5">
        <v>0</v>
      </c>
      <c r="AX303" s="2">
        <v>164324</v>
      </c>
      <c r="AY303" s="2">
        <v>41491</v>
      </c>
      <c r="AZ303" s="2">
        <v>2934.36</v>
      </c>
      <c r="BA303" s="2">
        <v>740.91</v>
      </c>
      <c r="BB303" s="5">
        <v>1837.63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6174.45</v>
      </c>
      <c r="BI303" s="12">
        <v>5512.9</v>
      </c>
      <c r="BJ303" s="2">
        <v>110.26</v>
      </c>
      <c r="BK303" s="5">
        <v>0</v>
      </c>
      <c r="BL303" s="1" t="s">
        <v>90</v>
      </c>
    </row>
    <row r="304" spans="1:64" x14ac:dyDescent="0.3">
      <c r="A304" t="s">
        <v>856</v>
      </c>
      <c r="B304" s="1" t="s">
        <v>856</v>
      </c>
      <c r="C304" s="9" t="s">
        <v>857</v>
      </c>
      <c r="D304" s="1" t="s">
        <v>44</v>
      </c>
      <c r="E304" s="1" t="s">
        <v>88</v>
      </c>
      <c r="F304" s="10" t="s">
        <v>848</v>
      </c>
      <c r="G304" s="1">
        <v>2.5000000000000001E-2</v>
      </c>
      <c r="H304" s="1">
        <v>0.02</v>
      </c>
      <c r="I304" s="8">
        <v>44051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224683</v>
      </c>
      <c r="AJ304" s="2">
        <v>94243</v>
      </c>
      <c r="AK304" s="2">
        <v>4012.2</v>
      </c>
      <c r="AL304" s="2">
        <v>1682.91</v>
      </c>
      <c r="AM304" s="5">
        <v>2847.55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9567.7800000000007</v>
      </c>
      <c r="AT304" s="12">
        <v>8542.66</v>
      </c>
      <c r="AU304" s="2">
        <v>170.85</v>
      </c>
      <c r="AV304" s="5">
        <v>0</v>
      </c>
      <c r="AX304" s="2">
        <v>224683</v>
      </c>
      <c r="AY304" s="2">
        <v>94243</v>
      </c>
      <c r="AZ304" s="2">
        <v>4012.2</v>
      </c>
      <c r="BA304" s="2">
        <v>1682.91</v>
      </c>
      <c r="BB304" s="5">
        <v>2847.55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9567.7800000000007</v>
      </c>
      <c r="BI304" s="12">
        <v>8542.66</v>
      </c>
      <c r="BJ304" s="2">
        <v>170.85</v>
      </c>
      <c r="BK304" s="5">
        <v>0</v>
      </c>
      <c r="BL304" s="1" t="s">
        <v>90</v>
      </c>
    </row>
    <row r="305" spans="1:64" x14ac:dyDescent="0.3">
      <c r="A305" t="s">
        <v>858</v>
      </c>
      <c r="B305" s="1" t="s">
        <v>858</v>
      </c>
      <c r="C305" s="9" t="s">
        <v>859</v>
      </c>
      <c r="D305" s="1" t="s">
        <v>44</v>
      </c>
      <c r="E305" s="1" t="s">
        <v>88</v>
      </c>
      <c r="F305" s="10" t="s">
        <v>848</v>
      </c>
      <c r="G305" s="1">
        <v>2.5000000000000001E-2</v>
      </c>
      <c r="H305" s="1">
        <v>0.02</v>
      </c>
      <c r="I305" s="8">
        <v>44054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235271</v>
      </c>
      <c r="AJ305" s="2">
        <v>38111</v>
      </c>
      <c r="AK305" s="2">
        <v>4201.2700000000004</v>
      </c>
      <c r="AL305" s="2">
        <v>680.55</v>
      </c>
      <c r="AM305" s="5">
        <v>2440.91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8201.4599999999991</v>
      </c>
      <c r="AT305" s="12">
        <v>7322.7300000000005</v>
      </c>
      <c r="AU305" s="2">
        <v>146.44999999999999</v>
      </c>
      <c r="AV305" s="5">
        <v>0</v>
      </c>
      <c r="AX305" s="2">
        <v>235271</v>
      </c>
      <c r="AY305" s="2">
        <v>38111</v>
      </c>
      <c r="AZ305" s="2">
        <v>4201.2700000000004</v>
      </c>
      <c r="BA305" s="2">
        <v>680.55</v>
      </c>
      <c r="BB305" s="5">
        <v>2440.91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8201.4599999999991</v>
      </c>
      <c r="BI305" s="12">
        <v>7322.7300000000005</v>
      </c>
      <c r="BJ305" s="2">
        <v>146.44999999999999</v>
      </c>
      <c r="BK305" s="5">
        <v>0</v>
      </c>
      <c r="BL305" s="1" t="s">
        <v>90</v>
      </c>
    </row>
    <row r="306" spans="1:64" x14ac:dyDescent="0.3">
      <c r="A306" t="s">
        <v>862</v>
      </c>
      <c r="B306" s="1" t="s">
        <v>862</v>
      </c>
      <c r="C306" s="9" t="s">
        <v>863</v>
      </c>
      <c r="D306" s="1" t="s">
        <v>44</v>
      </c>
      <c r="E306" s="1" t="s">
        <v>88</v>
      </c>
      <c r="F306" s="10" t="s">
        <v>848</v>
      </c>
      <c r="G306" s="1">
        <v>3.5000000000000003E-2</v>
      </c>
      <c r="H306" s="1">
        <v>0.02</v>
      </c>
      <c r="I306" s="8">
        <v>44009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147857</v>
      </c>
      <c r="AJ306" s="2">
        <v>29520</v>
      </c>
      <c r="AK306" s="2">
        <v>2640.3</v>
      </c>
      <c r="AL306" s="2">
        <v>527.14</v>
      </c>
      <c r="AM306" s="5">
        <v>1583.72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5321.3</v>
      </c>
      <c r="AT306" s="12">
        <v>4751.16</v>
      </c>
      <c r="AU306" s="2">
        <v>95.02</v>
      </c>
      <c r="AV306" s="5">
        <v>0</v>
      </c>
      <c r="AX306" s="2">
        <v>147857</v>
      </c>
      <c r="AY306" s="2">
        <v>29520</v>
      </c>
      <c r="AZ306" s="2">
        <v>2640.3</v>
      </c>
      <c r="BA306" s="2">
        <v>527.14</v>
      </c>
      <c r="BB306" s="5">
        <v>1583.72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5321.3</v>
      </c>
      <c r="BI306" s="12">
        <v>4751.16</v>
      </c>
      <c r="BJ306" s="2">
        <v>95.02</v>
      </c>
      <c r="BK306" s="5">
        <v>0</v>
      </c>
      <c r="BL306" s="1" t="s">
        <v>90</v>
      </c>
    </row>
    <row r="307" spans="1:64" x14ac:dyDescent="0.3">
      <c r="A307" t="s">
        <v>864</v>
      </c>
      <c r="B307" s="1" t="s">
        <v>864</v>
      </c>
      <c r="C307" s="9" t="s">
        <v>865</v>
      </c>
      <c r="D307" s="1" t="s">
        <v>44</v>
      </c>
      <c r="E307" s="1" t="s">
        <v>88</v>
      </c>
      <c r="F307" s="10" t="s">
        <v>853</v>
      </c>
      <c r="G307" s="1">
        <v>2.5000000000000001E-2</v>
      </c>
      <c r="H307" s="1">
        <v>0.02</v>
      </c>
      <c r="I307" s="8">
        <v>44204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125180</v>
      </c>
      <c r="AJ307" s="2">
        <v>54345</v>
      </c>
      <c r="AK307" s="2">
        <v>2235.36</v>
      </c>
      <c r="AL307" s="2">
        <v>970.45</v>
      </c>
      <c r="AM307" s="5">
        <v>1602.9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5385.76</v>
      </c>
      <c r="AT307" s="12">
        <v>4808.7100000000009</v>
      </c>
      <c r="AU307" s="2">
        <v>96.17</v>
      </c>
      <c r="AV307" s="5">
        <v>0</v>
      </c>
      <c r="AX307" s="2">
        <v>125180</v>
      </c>
      <c r="AY307" s="2">
        <v>54345</v>
      </c>
      <c r="AZ307" s="2">
        <v>2235.36</v>
      </c>
      <c r="BA307" s="2">
        <v>970.45</v>
      </c>
      <c r="BB307" s="5">
        <v>1602.9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5385.76</v>
      </c>
      <c r="BI307" s="12">
        <v>4808.7100000000009</v>
      </c>
      <c r="BJ307" s="2">
        <v>96.17</v>
      </c>
      <c r="BK307" s="5">
        <v>0</v>
      </c>
      <c r="BL307" s="1" t="s">
        <v>90</v>
      </c>
    </row>
    <row r="308" spans="1:64" x14ac:dyDescent="0.3">
      <c r="A308" t="s">
        <v>866</v>
      </c>
      <c r="B308" s="1" t="s">
        <v>866</v>
      </c>
      <c r="C308" s="9" t="s">
        <v>867</v>
      </c>
      <c r="D308" s="1" t="s">
        <v>44</v>
      </c>
      <c r="E308" s="1" t="s">
        <v>88</v>
      </c>
      <c r="F308" s="10" t="s">
        <v>853</v>
      </c>
      <c r="G308" s="1">
        <v>3.5000000000000003E-2</v>
      </c>
      <c r="H308" s="1">
        <v>0.02</v>
      </c>
      <c r="I308" s="8">
        <v>44661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153512</v>
      </c>
      <c r="AJ308" s="2">
        <v>41524</v>
      </c>
      <c r="AK308" s="2">
        <v>2741.29</v>
      </c>
      <c r="AL308" s="2">
        <v>741.5</v>
      </c>
      <c r="AM308" s="5">
        <v>1741.39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5851.08</v>
      </c>
      <c r="AT308" s="12">
        <v>5224.18</v>
      </c>
      <c r="AU308" s="2">
        <v>104.48</v>
      </c>
      <c r="AV308" s="5">
        <v>0</v>
      </c>
      <c r="AX308" s="2">
        <v>153512</v>
      </c>
      <c r="AY308" s="2">
        <v>41524</v>
      </c>
      <c r="AZ308" s="2">
        <v>2741.29</v>
      </c>
      <c r="BA308" s="2">
        <v>741.5</v>
      </c>
      <c r="BB308" s="5">
        <v>1741.39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5851.08</v>
      </c>
      <c r="BI308" s="12">
        <v>5224.18</v>
      </c>
      <c r="BJ308" s="2">
        <v>104.48</v>
      </c>
      <c r="BK308" s="5">
        <v>0</v>
      </c>
      <c r="BL308" s="1" t="s">
        <v>90</v>
      </c>
    </row>
    <row r="309" spans="1:64" x14ac:dyDescent="0.3">
      <c r="A309" t="s">
        <v>868</v>
      </c>
      <c r="B309" s="1" t="s">
        <v>868</v>
      </c>
      <c r="C309" s="9" t="s">
        <v>869</v>
      </c>
      <c r="D309" s="1" t="s">
        <v>44</v>
      </c>
      <c r="E309" s="1" t="s">
        <v>88</v>
      </c>
      <c r="F309" s="10" t="s">
        <v>188</v>
      </c>
      <c r="G309" s="1">
        <v>3.5000000000000003E-2</v>
      </c>
      <c r="H309" s="1">
        <v>0.02</v>
      </c>
      <c r="I309" s="8">
        <v>44755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124538</v>
      </c>
      <c r="AJ309" s="2">
        <v>52325</v>
      </c>
      <c r="AK309" s="2">
        <v>2223.89</v>
      </c>
      <c r="AL309" s="2">
        <v>934.37</v>
      </c>
      <c r="AM309" s="5">
        <v>1579.13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5305.88</v>
      </c>
      <c r="AT309" s="12">
        <v>4737.3899999999994</v>
      </c>
      <c r="AU309" s="2">
        <v>94.75</v>
      </c>
      <c r="AV309" s="5">
        <v>0</v>
      </c>
      <c r="AX309" s="2">
        <v>124538</v>
      </c>
      <c r="AY309" s="2">
        <v>52325</v>
      </c>
      <c r="AZ309" s="2">
        <v>2223.89</v>
      </c>
      <c r="BA309" s="2">
        <v>934.37</v>
      </c>
      <c r="BB309" s="5">
        <v>1579.13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5305.88</v>
      </c>
      <c r="BI309" s="12">
        <v>4737.3899999999994</v>
      </c>
      <c r="BJ309" s="2">
        <v>94.75</v>
      </c>
      <c r="BK309" s="5">
        <v>0</v>
      </c>
      <c r="BL309" s="1" t="s">
        <v>90</v>
      </c>
    </row>
    <row r="310" spans="1:64" x14ac:dyDescent="0.3">
      <c r="A310" t="s">
        <v>870</v>
      </c>
      <c r="B310" s="1" t="s">
        <v>870</v>
      </c>
      <c r="C310" s="9" t="s">
        <v>871</v>
      </c>
      <c r="D310" s="1" t="s">
        <v>44</v>
      </c>
      <c r="E310" s="1" t="s">
        <v>88</v>
      </c>
      <c r="F310" s="10" t="s">
        <v>101</v>
      </c>
      <c r="G310" s="1">
        <v>3.5000000000000003E-2</v>
      </c>
      <c r="H310" s="1">
        <v>0.02</v>
      </c>
      <c r="I310" s="8">
        <v>45003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595481.09</v>
      </c>
      <c r="AJ310" s="2">
        <v>94861</v>
      </c>
      <c r="AK310" s="2">
        <v>10633.59</v>
      </c>
      <c r="AL310" s="2">
        <v>1693.95</v>
      </c>
      <c r="AM310" s="5">
        <v>6163.77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20710.27</v>
      </c>
      <c r="AT310" s="12">
        <v>18491.310000000001</v>
      </c>
      <c r="AU310" s="2">
        <v>369.83</v>
      </c>
      <c r="AV310" s="5">
        <v>0</v>
      </c>
      <c r="AX310" s="2">
        <v>595481.09</v>
      </c>
      <c r="AY310" s="2">
        <v>94861</v>
      </c>
      <c r="AZ310" s="2">
        <v>10633.59</v>
      </c>
      <c r="BA310" s="2">
        <v>1693.95</v>
      </c>
      <c r="BB310" s="5">
        <v>6163.77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20710.27</v>
      </c>
      <c r="BI310" s="12">
        <v>18491.310000000001</v>
      </c>
      <c r="BJ310" s="2">
        <v>369.83</v>
      </c>
      <c r="BK310" s="5">
        <v>0</v>
      </c>
      <c r="BL310" s="1" t="s">
        <v>90</v>
      </c>
    </row>
    <row r="311" spans="1:64" x14ac:dyDescent="0.3">
      <c r="A311" t="s">
        <v>872</v>
      </c>
      <c r="B311" s="1" t="s">
        <v>872</v>
      </c>
      <c r="C311" s="9" t="s">
        <v>873</v>
      </c>
      <c r="D311" s="1" t="s">
        <v>44</v>
      </c>
      <c r="E311" s="1" t="s">
        <v>88</v>
      </c>
      <c r="F311" s="10" t="s">
        <v>89</v>
      </c>
      <c r="G311" s="1">
        <v>2.5000000000000001E-2</v>
      </c>
      <c r="H311" s="1">
        <v>0.02</v>
      </c>
      <c r="I311" s="8">
        <v>44424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226324.85</v>
      </c>
      <c r="AJ311" s="2">
        <v>140504.75</v>
      </c>
      <c r="AK311" s="2">
        <v>4041.52</v>
      </c>
      <c r="AL311" s="2">
        <v>2509.02</v>
      </c>
      <c r="AM311" s="5">
        <v>3275.27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11004.91</v>
      </c>
      <c r="AT311" s="12">
        <v>9825.81</v>
      </c>
      <c r="AU311" s="2">
        <v>196.52</v>
      </c>
      <c r="AV311" s="5">
        <v>0</v>
      </c>
      <c r="AX311" s="2">
        <v>226324.85</v>
      </c>
      <c r="AY311" s="2">
        <v>140504.75</v>
      </c>
      <c r="AZ311" s="2">
        <v>4041.52</v>
      </c>
      <c r="BA311" s="2">
        <v>2509.02</v>
      </c>
      <c r="BB311" s="5">
        <v>3275.27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11004.91</v>
      </c>
      <c r="BI311" s="12">
        <v>9825.81</v>
      </c>
      <c r="BJ311" s="2">
        <v>196.52</v>
      </c>
      <c r="BK311" s="5">
        <v>0</v>
      </c>
      <c r="BL311" s="1" t="s">
        <v>90</v>
      </c>
    </row>
    <row r="312" spans="1:64" x14ac:dyDescent="0.3">
      <c r="A312" t="s">
        <v>872</v>
      </c>
      <c r="B312" s="1" t="s">
        <v>874</v>
      </c>
      <c r="C312" s="9" t="s">
        <v>875</v>
      </c>
      <c r="D312" s="1" t="s">
        <v>44</v>
      </c>
      <c r="E312" s="1" t="s">
        <v>88</v>
      </c>
      <c r="F312" s="10" t="s">
        <v>89</v>
      </c>
      <c r="G312" s="1">
        <v>0</v>
      </c>
      <c r="H312" s="1">
        <v>0.02</v>
      </c>
      <c r="I312" s="8">
        <v>44424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254417</v>
      </c>
      <c r="AJ312" s="2">
        <v>103301</v>
      </c>
      <c r="AK312" s="2">
        <v>4543.16</v>
      </c>
      <c r="AL312" s="2">
        <v>1844.66</v>
      </c>
      <c r="AM312" s="5">
        <v>3193.91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10731.54</v>
      </c>
      <c r="AT312" s="12">
        <v>9581.73</v>
      </c>
      <c r="AU312" s="2">
        <v>191.63</v>
      </c>
      <c r="AV312" s="5">
        <v>0</v>
      </c>
      <c r="AX312" s="2">
        <v>254417</v>
      </c>
      <c r="AY312" s="2">
        <v>103301</v>
      </c>
      <c r="AZ312" s="2">
        <v>4543.16</v>
      </c>
      <c r="BA312" s="2">
        <v>1844.66</v>
      </c>
      <c r="BB312" s="5">
        <v>3193.91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10731.54</v>
      </c>
      <c r="BI312" s="12">
        <v>9581.73</v>
      </c>
      <c r="BJ312" s="2">
        <v>191.63</v>
      </c>
      <c r="BK312" s="5">
        <v>0</v>
      </c>
      <c r="BL312" s="1" t="s">
        <v>90</v>
      </c>
    </row>
    <row r="313" spans="1:64" x14ac:dyDescent="0.3">
      <c r="A313" t="s">
        <v>872</v>
      </c>
      <c r="B313" s="1" t="s">
        <v>876</v>
      </c>
      <c r="C313" s="9" t="s">
        <v>877</v>
      </c>
      <c r="D313" s="1" t="s">
        <v>44</v>
      </c>
      <c r="E313" s="1" t="s">
        <v>88</v>
      </c>
      <c r="F313" s="10" t="s">
        <v>89</v>
      </c>
      <c r="G313" s="1">
        <v>0</v>
      </c>
      <c r="H313" s="1">
        <v>0.02</v>
      </c>
      <c r="I313" s="8">
        <v>44424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221714</v>
      </c>
      <c r="AJ313" s="2">
        <v>106942</v>
      </c>
      <c r="AK313" s="2">
        <v>3959.18</v>
      </c>
      <c r="AL313" s="2">
        <v>1909.68</v>
      </c>
      <c r="AM313" s="5">
        <v>2934.43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9859.68</v>
      </c>
      <c r="AT313" s="12">
        <v>8803.2899999999991</v>
      </c>
      <c r="AU313" s="2">
        <v>176.07</v>
      </c>
      <c r="AV313" s="5">
        <v>0</v>
      </c>
      <c r="AX313" s="2">
        <v>221714</v>
      </c>
      <c r="AY313" s="2">
        <v>106942</v>
      </c>
      <c r="AZ313" s="2">
        <v>3959.18</v>
      </c>
      <c r="BA313" s="2">
        <v>1909.68</v>
      </c>
      <c r="BB313" s="5">
        <v>2934.43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9859.68</v>
      </c>
      <c r="BI313" s="12">
        <v>8803.2899999999991</v>
      </c>
      <c r="BJ313" s="2">
        <v>176.07</v>
      </c>
      <c r="BK313" s="5">
        <v>0</v>
      </c>
      <c r="BL313" s="1" t="s">
        <v>90</v>
      </c>
    </row>
    <row r="314" spans="1:64" x14ac:dyDescent="0.3">
      <c r="A314" t="s">
        <v>878</v>
      </c>
      <c r="B314" s="1" t="s">
        <v>878</v>
      </c>
      <c r="C314" s="9" t="s">
        <v>879</v>
      </c>
      <c r="D314" s="1" t="s">
        <v>44</v>
      </c>
      <c r="E314" s="1" t="s">
        <v>88</v>
      </c>
      <c r="F314" s="10" t="s">
        <v>848</v>
      </c>
      <c r="G314" s="1">
        <v>2.5000000000000001E-2</v>
      </c>
      <c r="H314" s="1">
        <v>0.02</v>
      </c>
      <c r="I314" s="8">
        <v>44228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261356</v>
      </c>
      <c r="AJ314" s="2">
        <v>115373</v>
      </c>
      <c r="AK314" s="2">
        <v>4667.07</v>
      </c>
      <c r="AL314" s="2">
        <v>2060.23</v>
      </c>
      <c r="AM314" s="5">
        <v>3363.65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11301.86</v>
      </c>
      <c r="AT314" s="12">
        <v>10090.949999999999</v>
      </c>
      <c r="AU314" s="2">
        <v>201.82</v>
      </c>
      <c r="AV314" s="5">
        <v>0</v>
      </c>
      <c r="AX314" s="2">
        <v>261356</v>
      </c>
      <c r="AY314" s="2">
        <v>115373</v>
      </c>
      <c r="AZ314" s="2">
        <v>4667.07</v>
      </c>
      <c r="BA314" s="2">
        <v>2060.23</v>
      </c>
      <c r="BB314" s="5">
        <v>3363.65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11301.86</v>
      </c>
      <c r="BI314" s="12">
        <v>10090.949999999999</v>
      </c>
      <c r="BJ314" s="2">
        <v>201.82</v>
      </c>
      <c r="BK314" s="5">
        <v>0</v>
      </c>
      <c r="BL314" s="1" t="s">
        <v>90</v>
      </c>
    </row>
    <row r="315" spans="1:64" x14ac:dyDescent="0.3">
      <c r="A315" t="s">
        <v>880</v>
      </c>
      <c r="B315" s="1" t="s">
        <v>880</v>
      </c>
      <c r="C315" s="9" t="s">
        <v>881</v>
      </c>
      <c r="D315" s="1" t="s">
        <v>44</v>
      </c>
      <c r="E315" s="1" t="s">
        <v>88</v>
      </c>
      <c r="F315" s="10" t="s">
        <v>848</v>
      </c>
      <c r="G315" s="1">
        <v>3.5000000000000003E-2</v>
      </c>
      <c r="H315" s="1">
        <v>0.02</v>
      </c>
      <c r="I315" s="8">
        <v>45777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236471</v>
      </c>
      <c r="AJ315" s="2">
        <v>62328</v>
      </c>
      <c r="AK315" s="2">
        <v>7284.15</v>
      </c>
      <c r="AL315" s="2">
        <v>1919.92</v>
      </c>
      <c r="AM315" s="5">
        <v>2667.85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13296.55</v>
      </c>
      <c r="AT315" s="12">
        <v>11871.92</v>
      </c>
      <c r="AU315" s="2">
        <v>237.44</v>
      </c>
      <c r="AV315" s="5">
        <v>0</v>
      </c>
      <c r="AX315" s="2">
        <v>236471</v>
      </c>
      <c r="AY315" s="2">
        <v>62328</v>
      </c>
      <c r="AZ315" s="2">
        <v>7284.15</v>
      </c>
      <c r="BA315" s="2">
        <v>1919.92</v>
      </c>
      <c r="BB315" s="5">
        <v>2667.85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13296.55</v>
      </c>
      <c r="BI315" s="12">
        <v>11871.92</v>
      </c>
      <c r="BJ315" s="2">
        <v>237.44</v>
      </c>
      <c r="BK315" s="5">
        <v>0</v>
      </c>
      <c r="BL315" s="1" t="s">
        <v>90</v>
      </c>
    </row>
    <row r="316" spans="1:64" x14ac:dyDescent="0.3">
      <c r="A316" t="s">
        <v>882</v>
      </c>
      <c r="B316" s="1" t="s">
        <v>882</v>
      </c>
      <c r="C316" s="9" t="s">
        <v>883</v>
      </c>
      <c r="D316" s="1" t="s">
        <v>44</v>
      </c>
      <c r="E316" s="1" t="s">
        <v>88</v>
      </c>
      <c r="F316" s="10" t="s">
        <v>853</v>
      </c>
      <c r="G316" s="1">
        <v>0</v>
      </c>
      <c r="H316" s="1">
        <v>0.02</v>
      </c>
      <c r="I316" s="8">
        <v>44009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154804</v>
      </c>
      <c r="AJ316" s="2">
        <v>54859</v>
      </c>
      <c r="AK316" s="2">
        <v>2764.36</v>
      </c>
      <c r="AL316" s="2">
        <v>979.62</v>
      </c>
      <c r="AM316" s="5">
        <v>1871.99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6289.89</v>
      </c>
      <c r="AT316" s="12">
        <v>5615.97</v>
      </c>
      <c r="AU316" s="2">
        <v>112.32</v>
      </c>
      <c r="AV316" s="5">
        <v>0</v>
      </c>
      <c r="AX316" s="2">
        <v>154804</v>
      </c>
      <c r="AY316" s="2">
        <v>54859</v>
      </c>
      <c r="AZ316" s="2">
        <v>2764.36</v>
      </c>
      <c r="BA316" s="2">
        <v>979.62</v>
      </c>
      <c r="BB316" s="5">
        <v>1871.99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6289.89</v>
      </c>
      <c r="BI316" s="12">
        <v>5615.97</v>
      </c>
      <c r="BJ316" s="2">
        <v>112.32</v>
      </c>
      <c r="BK316" s="5">
        <v>0</v>
      </c>
      <c r="BL316" s="1" t="s">
        <v>90</v>
      </c>
    </row>
    <row r="317" spans="1:64" x14ac:dyDescent="0.3">
      <c r="A317" t="s">
        <v>884</v>
      </c>
      <c r="B317" s="1" t="s">
        <v>884</v>
      </c>
      <c r="C317" s="9" t="s">
        <v>885</v>
      </c>
      <c r="D317" s="1" t="s">
        <v>44</v>
      </c>
      <c r="E317" s="1" t="s">
        <v>88</v>
      </c>
      <c r="F317" s="10" t="s">
        <v>853</v>
      </c>
      <c r="G317" s="1">
        <v>0</v>
      </c>
      <c r="H317" s="1">
        <v>0.02</v>
      </c>
      <c r="I317" s="8">
        <v>44903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196481</v>
      </c>
      <c r="AJ317" s="2">
        <v>79371</v>
      </c>
      <c r="AK317" s="2">
        <v>3508.59</v>
      </c>
      <c r="AL317" s="2">
        <v>1417.34</v>
      </c>
      <c r="AM317" s="5">
        <v>2462.96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8275.56</v>
      </c>
      <c r="AT317" s="12">
        <v>7388.89</v>
      </c>
      <c r="AU317" s="2">
        <v>147.78</v>
      </c>
      <c r="AV317" s="5">
        <v>0</v>
      </c>
      <c r="AX317" s="2">
        <v>196481</v>
      </c>
      <c r="AY317" s="2">
        <v>79371</v>
      </c>
      <c r="AZ317" s="2">
        <v>3508.59</v>
      </c>
      <c r="BA317" s="2">
        <v>1417.34</v>
      </c>
      <c r="BB317" s="5">
        <v>2462.96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8275.56</v>
      </c>
      <c r="BI317" s="12">
        <v>7388.89</v>
      </c>
      <c r="BJ317" s="2">
        <v>147.78</v>
      </c>
      <c r="BK317" s="5">
        <v>0</v>
      </c>
      <c r="BL317" s="1" t="s">
        <v>90</v>
      </c>
    </row>
    <row r="318" spans="1:64" x14ac:dyDescent="0.3">
      <c r="A318" t="s">
        <v>904</v>
      </c>
      <c r="B318" s="1" t="s">
        <v>904</v>
      </c>
      <c r="C318" s="9" t="s">
        <v>905</v>
      </c>
      <c r="D318" s="1" t="s">
        <v>44</v>
      </c>
      <c r="E318" s="1" t="s">
        <v>88</v>
      </c>
      <c r="F318" s="10" t="s">
        <v>853</v>
      </c>
      <c r="G318" s="1">
        <v>0</v>
      </c>
      <c r="H318" s="1">
        <v>0.02</v>
      </c>
      <c r="I318" s="8">
        <v>44903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76289</v>
      </c>
      <c r="AJ318" s="2">
        <v>25242</v>
      </c>
      <c r="AK318" s="2">
        <v>1362.3</v>
      </c>
      <c r="AL318" s="2">
        <v>450.75</v>
      </c>
      <c r="AM318" s="5">
        <v>906.53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3045.93</v>
      </c>
      <c r="AT318" s="12">
        <v>2719.58</v>
      </c>
      <c r="AU318" s="2">
        <v>54.39</v>
      </c>
      <c r="AV318" s="5">
        <v>0</v>
      </c>
      <c r="AX318" s="2">
        <v>76289</v>
      </c>
      <c r="AY318" s="2">
        <v>25242</v>
      </c>
      <c r="AZ318" s="2">
        <v>1362.3</v>
      </c>
      <c r="BA318" s="2">
        <v>450.75</v>
      </c>
      <c r="BB318" s="5">
        <v>906.53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3045.93</v>
      </c>
      <c r="BI318" s="12">
        <v>2719.58</v>
      </c>
      <c r="BJ318" s="2">
        <v>54.39</v>
      </c>
      <c r="BK318" s="5">
        <v>0</v>
      </c>
      <c r="BL318" s="1" t="s">
        <v>90</v>
      </c>
    </row>
    <row r="319" spans="1:64" x14ac:dyDescent="0.3">
      <c r="A319" t="s">
        <v>906</v>
      </c>
      <c r="B319" s="1" t="s">
        <v>906</v>
      </c>
      <c r="C319" s="9" t="s">
        <v>907</v>
      </c>
      <c r="D319" s="1" t="s">
        <v>44</v>
      </c>
      <c r="E319" s="1" t="s">
        <v>88</v>
      </c>
      <c r="F319" s="10" t="s">
        <v>178</v>
      </c>
      <c r="G319" s="1">
        <v>0</v>
      </c>
      <c r="H319" s="1">
        <v>0.02</v>
      </c>
      <c r="I319" s="8">
        <v>45638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405390</v>
      </c>
      <c r="AJ319" s="2">
        <v>126670</v>
      </c>
      <c r="AK319" s="2">
        <v>7239.11</v>
      </c>
      <c r="AL319" s="2">
        <v>2261.96</v>
      </c>
      <c r="AM319" s="5">
        <v>4750.54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15961.8</v>
      </c>
      <c r="AT319" s="12">
        <v>14251.61</v>
      </c>
      <c r="AU319" s="2">
        <v>285.02999999999997</v>
      </c>
      <c r="AV319" s="5">
        <v>0</v>
      </c>
      <c r="AX319" s="2">
        <v>405390</v>
      </c>
      <c r="AY319" s="2">
        <v>126670</v>
      </c>
      <c r="AZ319" s="2">
        <v>7239.11</v>
      </c>
      <c r="BA319" s="2">
        <v>2261.96</v>
      </c>
      <c r="BB319" s="5">
        <v>4750.54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15961.8</v>
      </c>
      <c r="BI319" s="12">
        <v>14251.61</v>
      </c>
      <c r="BJ319" s="2">
        <v>285.02999999999997</v>
      </c>
      <c r="BK319" s="5">
        <v>0</v>
      </c>
      <c r="BL319" s="1" t="s">
        <v>90</v>
      </c>
    </row>
    <row r="320" spans="1:64" x14ac:dyDescent="0.3">
      <c r="A320" t="s">
        <v>910</v>
      </c>
      <c r="B320" s="1" t="s">
        <v>910</v>
      </c>
      <c r="C320" s="9" t="s">
        <v>911</v>
      </c>
      <c r="D320" s="1" t="s">
        <v>44</v>
      </c>
      <c r="E320" s="1" t="s">
        <v>88</v>
      </c>
      <c r="F320" s="10" t="s">
        <v>848</v>
      </c>
      <c r="G320" s="1">
        <v>0</v>
      </c>
      <c r="H320" s="1">
        <v>0.02</v>
      </c>
      <c r="I320" s="8">
        <v>45561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132086</v>
      </c>
      <c r="AJ320" s="2">
        <v>65255</v>
      </c>
      <c r="AK320" s="2">
        <v>2358.6799999999998</v>
      </c>
      <c r="AL320" s="2">
        <v>1165.27</v>
      </c>
      <c r="AM320" s="5">
        <v>1761.97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5920.23</v>
      </c>
      <c r="AT320" s="12">
        <v>5285.92</v>
      </c>
      <c r="AU320" s="2">
        <v>105.72</v>
      </c>
      <c r="AV320" s="5">
        <v>0</v>
      </c>
      <c r="AX320" s="2">
        <v>132086</v>
      </c>
      <c r="AY320" s="2">
        <v>65255</v>
      </c>
      <c r="AZ320" s="2">
        <v>2358.6799999999998</v>
      </c>
      <c r="BA320" s="2">
        <v>1165.27</v>
      </c>
      <c r="BB320" s="5">
        <v>1761.97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5920.23</v>
      </c>
      <c r="BI320" s="12">
        <v>5285.92</v>
      </c>
      <c r="BJ320" s="2">
        <v>105.72</v>
      </c>
      <c r="BK320" s="5">
        <v>0</v>
      </c>
      <c r="BL320" s="1" t="s">
        <v>90</v>
      </c>
    </row>
    <row r="321" spans="1:64" x14ac:dyDescent="0.3">
      <c r="A321" t="s">
        <v>936</v>
      </c>
      <c r="B321" s="1" t="s">
        <v>936</v>
      </c>
      <c r="C321" s="9" t="s">
        <v>937</v>
      </c>
      <c r="D321" s="1" t="s">
        <v>44</v>
      </c>
      <c r="E321" s="1" t="s">
        <v>88</v>
      </c>
      <c r="F321" s="10" t="s">
        <v>848</v>
      </c>
      <c r="G321" s="1">
        <v>0</v>
      </c>
      <c r="H321" s="1">
        <v>0.02</v>
      </c>
      <c r="I321" s="8">
        <v>44009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152886</v>
      </c>
      <c r="AJ321" s="2">
        <v>54710</v>
      </c>
      <c r="AK321" s="2">
        <v>2730.11</v>
      </c>
      <c r="AL321" s="2">
        <v>976.96</v>
      </c>
      <c r="AM321" s="5">
        <v>1853.54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6227.88</v>
      </c>
      <c r="AT321" s="12">
        <v>5560.6100000000006</v>
      </c>
      <c r="AU321" s="2">
        <v>111.21</v>
      </c>
      <c r="AV321" s="5">
        <v>0</v>
      </c>
      <c r="AX321" s="2">
        <v>152886</v>
      </c>
      <c r="AY321" s="2">
        <v>54710</v>
      </c>
      <c r="AZ321" s="2">
        <v>2730.11</v>
      </c>
      <c r="BA321" s="2">
        <v>976.96</v>
      </c>
      <c r="BB321" s="5">
        <v>1853.54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6227.88</v>
      </c>
      <c r="BI321" s="12">
        <v>5560.6100000000006</v>
      </c>
      <c r="BJ321" s="2">
        <v>111.21</v>
      </c>
      <c r="BK321" s="5">
        <v>0</v>
      </c>
      <c r="BL321" s="1" t="s">
        <v>90</v>
      </c>
    </row>
    <row r="322" spans="1:64" x14ac:dyDescent="0.3">
      <c r="A322" t="s">
        <v>956</v>
      </c>
      <c r="B322" s="1" t="s">
        <v>956</v>
      </c>
      <c r="C322" s="9" t="s">
        <v>957</v>
      </c>
      <c r="D322" s="1" t="s">
        <v>44</v>
      </c>
      <c r="E322" s="1" t="s">
        <v>88</v>
      </c>
      <c r="F322" s="10" t="s">
        <v>848</v>
      </c>
      <c r="G322" s="1">
        <v>0</v>
      </c>
      <c r="H322" s="1">
        <v>0.02</v>
      </c>
      <c r="I322" s="8">
        <v>44520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205767</v>
      </c>
      <c r="AJ322" s="2">
        <v>53272</v>
      </c>
      <c r="AK322" s="2">
        <v>3674.41</v>
      </c>
      <c r="AL322" s="2">
        <v>951.29</v>
      </c>
      <c r="AM322" s="5">
        <v>2312.85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7771.18</v>
      </c>
      <c r="AT322" s="12">
        <v>6938.5499999999993</v>
      </c>
      <c r="AU322" s="2">
        <v>138.77000000000001</v>
      </c>
      <c r="AV322" s="5">
        <v>0</v>
      </c>
      <c r="AX322" s="2">
        <v>205767</v>
      </c>
      <c r="AY322" s="2">
        <v>53272</v>
      </c>
      <c r="AZ322" s="2">
        <v>3674.41</v>
      </c>
      <c r="BA322" s="2">
        <v>951.29</v>
      </c>
      <c r="BB322" s="5">
        <v>2312.85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7771.18</v>
      </c>
      <c r="BI322" s="12">
        <v>6938.5499999999993</v>
      </c>
      <c r="BJ322" s="2">
        <v>138.77000000000001</v>
      </c>
      <c r="BK322" s="5">
        <v>0</v>
      </c>
      <c r="BL322" s="1" t="s">
        <v>90</v>
      </c>
    </row>
    <row r="323" spans="1:64" x14ac:dyDescent="0.3">
      <c r="A323" t="s">
        <v>962</v>
      </c>
      <c r="B323" s="1" t="s">
        <v>962</v>
      </c>
      <c r="C323" s="9" t="s">
        <v>963</v>
      </c>
      <c r="D323" s="1" t="s">
        <v>44</v>
      </c>
      <c r="E323" s="1" t="s">
        <v>88</v>
      </c>
      <c r="F323" s="10" t="s">
        <v>101</v>
      </c>
      <c r="G323" s="1">
        <v>0</v>
      </c>
      <c r="H323" s="1">
        <v>0.02</v>
      </c>
      <c r="I323" s="8">
        <v>44075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396818.57999999996</v>
      </c>
      <c r="AJ323" s="2">
        <v>81389.759999999995</v>
      </c>
      <c r="AK323" s="2">
        <v>7086.04</v>
      </c>
      <c r="AL323" s="2">
        <v>1453.39</v>
      </c>
      <c r="AM323" s="5">
        <v>4269.71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14346.24</v>
      </c>
      <c r="AT323" s="12">
        <v>12809.14</v>
      </c>
      <c r="AU323" s="2">
        <v>256.18</v>
      </c>
      <c r="AV323" s="5">
        <v>0</v>
      </c>
      <c r="AX323" s="2">
        <v>396818.57999999996</v>
      </c>
      <c r="AY323" s="2">
        <v>81389.759999999995</v>
      </c>
      <c r="AZ323" s="2">
        <v>7086.04</v>
      </c>
      <c r="BA323" s="2">
        <v>1453.39</v>
      </c>
      <c r="BB323" s="5">
        <v>4269.71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14346.24</v>
      </c>
      <c r="BI323" s="12">
        <v>12809.14</v>
      </c>
      <c r="BJ323" s="2">
        <v>256.18</v>
      </c>
      <c r="BK323" s="5">
        <v>0</v>
      </c>
      <c r="BL323" s="1" t="s">
        <v>90</v>
      </c>
    </row>
    <row r="324" spans="1:64" x14ac:dyDescent="0.3">
      <c r="A324" t="s">
        <v>972</v>
      </c>
      <c r="B324" s="1" t="s">
        <v>972</v>
      </c>
      <c r="C324" s="9" t="s">
        <v>973</v>
      </c>
      <c r="D324" s="1" t="s">
        <v>44</v>
      </c>
      <c r="E324" s="1" t="s">
        <v>88</v>
      </c>
      <c r="F324" s="10" t="s">
        <v>848</v>
      </c>
      <c r="G324" s="1">
        <v>0</v>
      </c>
      <c r="H324" s="1">
        <v>0.02</v>
      </c>
      <c r="I324" s="8">
        <v>44163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80797</v>
      </c>
      <c r="AJ324" s="2">
        <v>15578</v>
      </c>
      <c r="AK324" s="2">
        <v>1442.8</v>
      </c>
      <c r="AL324" s="2">
        <v>278.18</v>
      </c>
      <c r="AM324" s="5">
        <v>860.49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2891.25</v>
      </c>
      <c r="AT324" s="12">
        <v>2581.4700000000003</v>
      </c>
      <c r="AU324" s="2">
        <v>51.63</v>
      </c>
      <c r="AV324" s="5">
        <v>0</v>
      </c>
      <c r="AX324" s="2">
        <v>80797</v>
      </c>
      <c r="AY324" s="2">
        <v>15578</v>
      </c>
      <c r="AZ324" s="2">
        <v>1442.8</v>
      </c>
      <c r="BA324" s="2">
        <v>278.18</v>
      </c>
      <c r="BB324" s="5">
        <v>860.49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2891.25</v>
      </c>
      <c r="BI324" s="12">
        <v>2581.4700000000003</v>
      </c>
      <c r="BJ324" s="2">
        <v>51.63</v>
      </c>
      <c r="BK324" s="5">
        <v>0</v>
      </c>
      <c r="BL324" s="1" t="s">
        <v>90</v>
      </c>
    </row>
    <row r="325" spans="1:64" x14ac:dyDescent="0.3">
      <c r="A325" t="s">
        <v>984</v>
      </c>
      <c r="B325" s="1" t="s">
        <v>984</v>
      </c>
      <c r="C325" s="9" t="s">
        <v>985</v>
      </c>
      <c r="D325" s="1" t="s">
        <v>44</v>
      </c>
      <c r="E325" s="1" t="s">
        <v>88</v>
      </c>
      <c r="F325" s="10" t="s">
        <v>853</v>
      </c>
      <c r="G325" s="1">
        <v>0</v>
      </c>
      <c r="H325" s="1">
        <v>0.02</v>
      </c>
      <c r="I325" s="8">
        <v>44358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178989.77</v>
      </c>
      <c r="AJ325" s="2">
        <v>38287.009999999995</v>
      </c>
      <c r="AK325" s="2">
        <v>3196.25</v>
      </c>
      <c r="AL325" s="2">
        <v>683.7</v>
      </c>
      <c r="AM325" s="5">
        <v>1939.97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6518.31</v>
      </c>
      <c r="AT325" s="12">
        <v>5819.92</v>
      </c>
      <c r="AU325" s="2">
        <v>116.4</v>
      </c>
      <c r="AV325" s="5">
        <v>0</v>
      </c>
      <c r="AX325" s="2">
        <v>178989.77</v>
      </c>
      <c r="AY325" s="2">
        <v>38287.009999999995</v>
      </c>
      <c r="AZ325" s="2">
        <v>3196.25</v>
      </c>
      <c r="BA325" s="2">
        <v>683.7</v>
      </c>
      <c r="BB325" s="5">
        <v>1939.97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6518.31</v>
      </c>
      <c r="BI325" s="12">
        <v>5819.92</v>
      </c>
      <c r="BJ325" s="2">
        <v>116.4</v>
      </c>
      <c r="BK325" s="5">
        <v>0</v>
      </c>
      <c r="BL325" s="1" t="s">
        <v>90</v>
      </c>
    </row>
    <row r="326" spans="1:64" x14ac:dyDescent="0.3">
      <c r="A326" t="s">
        <v>999</v>
      </c>
      <c r="B326" s="1" t="s">
        <v>1000</v>
      </c>
      <c r="C326" s="9" t="s">
        <v>1001</v>
      </c>
      <c r="D326" s="1" t="s">
        <v>44</v>
      </c>
      <c r="E326" s="1" t="s">
        <v>88</v>
      </c>
      <c r="F326" s="10" t="s">
        <v>181</v>
      </c>
      <c r="G326" s="1">
        <v>0</v>
      </c>
      <c r="H326" s="1">
        <v>0.02</v>
      </c>
      <c r="I326" s="8">
        <v>44377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124217</v>
      </c>
      <c r="AJ326" s="2">
        <v>36510</v>
      </c>
      <c r="AK326" s="2">
        <v>2218.16</v>
      </c>
      <c r="AL326" s="2">
        <v>651.96</v>
      </c>
      <c r="AM326" s="5">
        <v>1435.06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4821.8</v>
      </c>
      <c r="AT326" s="12">
        <v>4305.18</v>
      </c>
      <c r="AU326" s="2">
        <v>86.1</v>
      </c>
      <c r="AV326" s="5">
        <v>0</v>
      </c>
      <c r="AX326" s="2">
        <v>124217</v>
      </c>
      <c r="AY326" s="2">
        <v>36510</v>
      </c>
      <c r="AZ326" s="2">
        <v>2218.16</v>
      </c>
      <c r="BA326" s="2">
        <v>651.96</v>
      </c>
      <c r="BB326" s="5">
        <v>1435.06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4821.8</v>
      </c>
      <c r="BI326" s="12">
        <v>4305.18</v>
      </c>
      <c r="BJ326" s="2">
        <v>86.1</v>
      </c>
      <c r="BK326" s="5">
        <v>0</v>
      </c>
      <c r="BL326" s="1" t="s">
        <v>90</v>
      </c>
    </row>
    <row r="327" spans="1:64" x14ac:dyDescent="0.3">
      <c r="A327" t="s">
        <v>999</v>
      </c>
      <c r="B327" s="1" t="s">
        <v>999</v>
      </c>
      <c r="C327" s="9" t="s">
        <v>1002</v>
      </c>
      <c r="D327" s="1" t="s">
        <v>44</v>
      </c>
      <c r="E327" s="1" t="s">
        <v>88</v>
      </c>
      <c r="F327" s="10" t="s">
        <v>181</v>
      </c>
      <c r="G327" s="1">
        <v>0</v>
      </c>
      <c r="H327" s="1">
        <v>0.02</v>
      </c>
      <c r="I327" s="8">
        <v>44468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434940.2</v>
      </c>
      <c r="AJ327" s="2">
        <v>74380.709999999992</v>
      </c>
      <c r="AK327" s="2">
        <v>7766.79</v>
      </c>
      <c r="AL327" s="2">
        <v>1328.22</v>
      </c>
      <c r="AM327" s="5">
        <v>4547.51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15279.62</v>
      </c>
      <c r="AT327" s="12">
        <v>13642.52</v>
      </c>
      <c r="AU327" s="2">
        <v>272.85000000000002</v>
      </c>
      <c r="AV327" s="5">
        <v>0</v>
      </c>
      <c r="AX327" s="2">
        <v>434940.2</v>
      </c>
      <c r="AY327" s="2">
        <v>74380.709999999992</v>
      </c>
      <c r="AZ327" s="2">
        <v>7766.79</v>
      </c>
      <c r="BA327" s="2">
        <v>1328.22</v>
      </c>
      <c r="BB327" s="5">
        <v>4547.51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15279.62</v>
      </c>
      <c r="BI327" s="12">
        <v>13642.52</v>
      </c>
      <c r="BJ327" s="2">
        <v>272.85000000000002</v>
      </c>
      <c r="BK327" s="5">
        <v>0</v>
      </c>
      <c r="BL327" s="1" t="s">
        <v>90</v>
      </c>
    </row>
    <row r="328" spans="1:64" x14ac:dyDescent="0.3">
      <c r="A328" t="s">
        <v>999</v>
      </c>
      <c r="B328" s="1" t="s">
        <v>1003</v>
      </c>
      <c r="C328" s="9" t="s">
        <v>1004</v>
      </c>
      <c r="D328" s="1" t="s">
        <v>44</v>
      </c>
      <c r="E328" s="1" t="s">
        <v>88</v>
      </c>
      <c r="F328" s="10" t="s">
        <v>181</v>
      </c>
      <c r="G328" s="1">
        <v>0</v>
      </c>
      <c r="H328" s="1">
        <v>0.02</v>
      </c>
      <c r="I328" s="8">
        <v>44468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42960</v>
      </c>
      <c r="AJ328" s="2">
        <v>17279</v>
      </c>
      <c r="AK328" s="2">
        <v>767.14</v>
      </c>
      <c r="AL328" s="2">
        <v>308.55</v>
      </c>
      <c r="AM328" s="5">
        <v>537.85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1807.16</v>
      </c>
      <c r="AT328" s="12">
        <v>1613.54</v>
      </c>
      <c r="AU328" s="2">
        <v>32.270000000000003</v>
      </c>
      <c r="AV328" s="5">
        <v>0</v>
      </c>
      <c r="AX328" s="2">
        <v>42960</v>
      </c>
      <c r="AY328" s="2">
        <v>17279</v>
      </c>
      <c r="AZ328" s="2">
        <v>767.14</v>
      </c>
      <c r="BA328" s="2">
        <v>308.55</v>
      </c>
      <c r="BB328" s="5">
        <v>537.85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1807.16</v>
      </c>
      <c r="BI328" s="12">
        <v>1613.54</v>
      </c>
      <c r="BJ328" s="2">
        <v>32.270000000000003</v>
      </c>
      <c r="BK328" s="5">
        <v>0</v>
      </c>
      <c r="BL328" s="1" t="s">
        <v>90</v>
      </c>
    </row>
    <row r="329" spans="1:64" x14ac:dyDescent="0.3">
      <c r="A329" t="s">
        <v>1051</v>
      </c>
      <c r="B329" s="1" t="s">
        <v>1051</v>
      </c>
      <c r="C329" s="9" t="s">
        <v>1052</v>
      </c>
      <c r="D329" s="1" t="s">
        <v>44</v>
      </c>
      <c r="E329" s="1" t="s">
        <v>88</v>
      </c>
      <c r="F329" s="10" t="s">
        <v>848</v>
      </c>
      <c r="G329" s="1">
        <v>0</v>
      </c>
      <c r="H329" s="1">
        <v>0.02</v>
      </c>
      <c r="I329" s="8">
        <v>44709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93742</v>
      </c>
      <c r="AJ329" s="2">
        <v>33515</v>
      </c>
      <c r="AK329" s="2">
        <v>1673.96</v>
      </c>
      <c r="AL329" s="2">
        <v>598.48</v>
      </c>
      <c r="AM329" s="5">
        <v>1136.22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3817.7</v>
      </c>
      <c r="AT329" s="12">
        <v>3408.66</v>
      </c>
      <c r="AU329" s="2">
        <v>68.17</v>
      </c>
      <c r="AV329" s="5">
        <v>0</v>
      </c>
      <c r="AX329" s="2">
        <v>93742</v>
      </c>
      <c r="AY329" s="2">
        <v>33515</v>
      </c>
      <c r="AZ329" s="2">
        <v>1673.96</v>
      </c>
      <c r="BA329" s="2">
        <v>598.48</v>
      </c>
      <c r="BB329" s="5">
        <v>1136.22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3817.7</v>
      </c>
      <c r="BI329" s="12">
        <v>3408.66</v>
      </c>
      <c r="BJ329" s="2">
        <v>68.17</v>
      </c>
      <c r="BK329" s="5">
        <v>0</v>
      </c>
      <c r="BL329" s="1" t="s">
        <v>90</v>
      </c>
    </row>
    <row r="330" spans="1:64" x14ac:dyDescent="0.3">
      <c r="A330" t="s">
        <v>1057</v>
      </c>
      <c r="B330" s="1" t="s">
        <v>1057</v>
      </c>
      <c r="C330" s="9" t="s">
        <v>1058</v>
      </c>
      <c r="D330" s="1" t="s">
        <v>44</v>
      </c>
      <c r="E330" s="1" t="s">
        <v>88</v>
      </c>
      <c r="F330" s="10" t="s">
        <v>178</v>
      </c>
      <c r="G330" s="1">
        <v>0</v>
      </c>
      <c r="H330" s="1">
        <v>0.02</v>
      </c>
      <c r="I330" s="8">
        <v>44743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432418.1</v>
      </c>
      <c r="AJ330" s="2">
        <v>60465.5</v>
      </c>
      <c r="AK330" s="2">
        <v>7721.75</v>
      </c>
      <c r="AL330" s="2">
        <v>1079.74</v>
      </c>
      <c r="AM330" s="5">
        <v>4400.75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14786.51</v>
      </c>
      <c r="AT330" s="12">
        <v>13202.24</v>
      </c>
      <c r="AU330" s="2">
        <v>264.04000000000002</v>
      </c>
      <c r="AV330" s="5">
        <v>0</v>
      </c>
      <c r="AX330" s="2">
        <v>432418.1</v>
      </c>
      <c r="AY330" s="2">
        <v>60465.5</v>
      </c>
      <c r="AZ330" s="2">
        <v>7721.75</v>
      </c>
      <c r="BA330" s="2">
        <v>1079.74</v>
      </c>
      <c r="BB330" s="5">
        <v>4400.75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14786.51</v>
      </c>
      <c r="BI330" s="12">
        <v>13202.24</v>
      </c>
      <c r="BJ330" s="2">
        <v>264.04000000000002</v>
      </c>
      <c r="BK330" s="5">
        <v>0</v>
      </c>
      <c r="BL330" s="1" t="s">
        <v>90</v>
      </c>
    </row>
    <row r="331" spans="1:64" x14ac:dyDescent="0.3">
      <c r="A331" t="s">
        <v>1061</v>
      </c>
      <c r="B331" s="1" t="s">
        <v>1061</v>
      </c>
      <c r="C331" s="9" t="s">
        <v>1062</v>
      </c>
      <c r="D331" s="1" t="s">
        <v>44</v>
      </c>
      <c r="E331" s="1" t="s">
        <v>88</v>
      </c>
      <c r="F331" s="10" t="s">
        <v>101</v>
      </c>
      <c r="G331" s="1">
        <v>0</v>
      </c>
      <c r="H331" s="1">
        <v>0.02</v>
      </c>
      <c r="I331" s="8">
        <v>44760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293918.55</v>
      </c>
      <c r="AJ331" s="2">
        <v>101741</v>
      </c>
      <c r="AK331" s="2">
        <v>5248.54</v>
      </c>
      <c r="AL331" s="2">
        <v>1816.8</v>
      </c>
      <c r="AM331" s="5">
        <v>3532.68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11869.78</v>
      </c>
      <c r="AT331" s="12">
        <v>10598.02</v>
      </c>
      <c r="AU331" s="2">
        <v>211.96</v>
      </c>
      <c r="AV331" s="5">
        <v>0</v>
      </c>
      <c r="AX331" s="2">
        <v>293918.55</v>
      </c>
      <c r="AY331" s="2">
        <v>101741</v>
      </c>
      <c r="AZ331" s="2">
        <v>5248.54</v>
      </c>
      <c r="BA331" s="2">
        <v>1816.8</v>
      </c>
      <c r="BB331" s="5">
        <v>3532.68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11869.78</v>
      </c>
      <c r="BI331" s="12">
        <v>10598.02</v>
      </c>
      <c r="BJ331" s="2">
        <v>211.96</v>
      </c>
      <c r="BK331" s="5">
        <v>0</v>
      </c>
      <c r="BL331" s="1" t="s">
        <v>90</v>
      </c>
    </row>
    <row r="332" spans="1:64" x14ac:dyDescent="0.3">
      <c r="A332" t="s">
        <v>1069</v>
      </c>
      <c r="B332" s="1" t="s">
        <v>1069</v>
      </c>
      <c r="C332" s="9" t="s">
        <v>1070</v>
      </c>
      <c r="D332" s="1" t="s">
        <v>44</v>
      </c>
      <c r="E332" s="1" t="s">
        <v>88</v>
      </c>
      <c r="F332" s="10" t="s">
        <v>848</v>
      </c>
      <c r="G332" s="1">
        <v>0</v>
      </c>
      <c r="H332" s="1">
        <v>0.02</v>
      </c>
      <c r="I332" s="8">
        <v>44771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214416</v>
      </c>
      <c r="AJ332" s="2">
        <v>39997</v>
      </c>
      <c r="AK332" s="2">
        <v>3828.86</v>
      </c>
      <c r="AL332" s="2">
        <v>714.23</v>
      </c>
      <c r="AM332" s="5">
        <v>2271.54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7632.39</v>
      </c>
      <c r="AT332" s="12">
        <v>6814.63</v>
      </c>
      <c r="AU332" s="2">
        <v>136.29</v>
      </c>
      <c r="AV332" s="5">
        <v>0</v>
      </c>
      <c r="AX332" s="2">
        <v>214416</v>
      </c>
      <c r="AY332" s="2">
        <v>39997</v>
      </c>
      <c r="AZ332" s="2">
        <v>3828.86</v>
      </c>
      <c r="BA332" s="2">
        <v>714.23</v>
      </c>
      <c r="BB332" s="5">
        <v>2271.54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7632.39</v>
      </c>
      <c r="BI332" s="12">
        <v>6814.63</v>
      </c>
      <c r="BJ332" s="2">
        <v>136.29</v>
      </c>
      <c r="BK332" s="5">
        <v>0</v>
      </c>
      <c r="BL332" s="1" t="s">
        <v>90</v>
      </c>
    </row>
    <row r="333" spans="1:64" x14ac:dyDescent="0.3">
      <c r="A333" t="s">
        <v>1071</v>
      </c>
      <c r="B333" s="1" t="s">
        <v>1071</v>
      </c>
      <c r="C333" s="9" t="s">
        <v>1072</v>
      </c>
      <c r="D333" s="1" t="s">
        <v>44</v>
      </c>
      <c r="E333" s="1" t="s">
        <v>88</v>
      </c>
      <c r="F333" s="10" t="s">
        <v>853</v>
      </c>
      <c r="G333" s="1">
        <v>0</v>
      </c>
      <c r="H333" s="1">
        <v>0.02</v>
      </c>
      <c r="I333" s="8">
        <v>45003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163496</v>
      </c>
      <c r="AJ333" s="2">
        <v>60553</v>
      </c>
      <c r="AK333" s="2">
        <v>2919.57</v>
      </c>
      <c r="AL333" s="2">
        <v>1081.3</v>
      </c>
      <c r="AM333" s="5">
        <v>2000.44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6721.47</v>
      </c>
      <c r="AT333" s="12">
        <v>6001.3099999999995</v>
      </c>
      <c r="AU333" s="2">
        <v>120.03</v>
      </c>
      <c r="AV333" s="5">
        <v>0</v>
      </c>
      <c r="AX333" s="2">
        <v>163496</v>
      </c>
      <c r="AY333" s="2">
        <v>60553</v>
      </c>
      <c r="AZ333" s="2">
        <v>2919.57</v>
      </c>
      <c r="BA333" s="2">
        <v>1081.3</v>
      </c>
      <c r="BB333" s="5">
        <v>2000.44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6721.47</v>
      </c>
      <c r="BI333" s="12">
        <v>6001.3099999999995</v>
      </c>
      <c r="BJ333" s="2">
        <v>120.03</v>
      </c>
      <c r="BK333" s="5">
        <v>0</v>
      </c>
      <c r="BL333" s="1" t="s">
        <v>90</v>
      </c>
    </row>
    <row r="334" spans="1:64" x14ac:dyDescent="0.3">
      <c r="A334" t="s">
        <v>1122</v>
      </c>
      <c r="B334" s="1" t="s">
        <v>1122</v>
      </c>
      <c r="C334" s="9" t="s">
        <v>1123</v>
      </c>
      <c r="D334" s="1" t="s">
        <v>44</v>
      </c>
      <c r="E334" s="1" t="s">
        <v>88</v>
      </c>
      <c r="F334" s="10" t="s">
        <v>848</v>
      </c>
      <c r="G334" s="1">
        <v>0</v>
      </c>
      <c r="H334" s="1">
        <v>0.02</v>
      </c>
      <c r="I334" s="8">
        <v>44832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77175</v>
      </c>
      <c r="AJ334" s="2">
        <v>25831</v>
      </c>
      <c r="AK334" s="2">
        <v>1378.12</v>
      </c>
      <c r="AL334" s="2">
        <v>461.27</v>
      </c>
      <c r="AM334" s="5">
        <v>919.7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3090.18</v>
      </c>
      <c r="AT334" s="12">
        <v>2759.09</v>
      </c>
      <c r="AU334" s="2">
        <v>55.18</v>
      </c>
      <c r="AV334" s="5">
        <v>0</v>
      </c>
      <c r="AX334" s="2">
        <v>77175</v>
      </c>
      <c r="AY334" s="2">
        <v>25831</v>
      </c>
      <c r="AZ334" s="2">
        <v>1378.12</v>
      </c>
      <c r="BA334" s="2">
        <v>461.27</v>
      </c>
      <c r="BB334" s="5">
        <v>919.7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3090.18</v>
      </c>
      <c r="BI334" s="12">
        <v>2759.09</v>
      </c>
      <c r="BJ334" s="2">
        <v>55.18</v>
      </c>
      <c r="BK334" s="5">
        <v>0</v>
      </c>
      <c r="BL334" s="1" t="s">
        <v>90</v>
      </c>
    </row>
    <row r="335" spans="1:64" x14ac:dyDescent="0.3">
      <c r="A335" t="s">
        <v>1124</v>
      </c>
      <c r="B335" s="1" t="s">
        <v>1124</v>
      </c>
      <c r="C335" s="9" t="s">
        <v>1125</v>
      </c>
      <c r="D335" s="1" t="s">
        <v>44</v>
      </c>
      <c r="E335" s="1" t="s">
        <v>88</v>
      </c>
      <c r="F335" s="10" t="s">
        <v>104</v>
      </c>
      <c r="G335" s="1">
        <v>0</v>
      </c>
      <c r="H335" s="1">
        <v>0.02</v>
      </c>
      <c r="I335" s="8">
        <v>44844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495500</v>
      </c>
      <c r="AJ335" s="2">
        <v>190538</v>
      </c>
      <c r="AK335" s="2">
        <v>8848.2099999999991</v>
      </c>
      <c r="AL335" s="2">
        <v>3402.46</v>
      </c>
      <c r="AM335" s="5">
        <v>6125.34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20581.13</v>
      </c>
      <c r="AT335" s="12">
        <v>18376.009999999998</v>
      </c>
      <c r="AU335" s="2">
        <v>367.52</v>
      </c>
      <c r="AV335" s="5">
        <v>0</v>
      </c>
      <c r="AX335" s="2">
        <v>495500</v>
      </c>
      <c r="AY335" s="2">
        <v>190538</v>
      </c>
      <c r="AZ335" s="2">
        <v>8848.2099999999991</v>
      </c>
      <c r="BA335" s="2">
        <v>3402.46</v>
      </c>
      <c r="BB335" s="5">
        <v>6125.34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20581.13</v>
      </c>
      <c r="BI335" s="12">
        <v>18376.009999999998</v>
      </c>
      <c r="BJ335" s="2">
        <v>367.52</v>
      </c>
      <c r="BK335" s="5">
        <v>0</v>
      </c>
      <c r="BL335" s="1" t="s">
        <v>90</v>
      </c>
    </row>
    <row r="336" spans="1:64" x14ac:dyDescent="0.3">
      <c r="A336" t="s">
        <v>1152</v>
      </c>
      <c r="B336" s="1" t="s">
        <v>1152</v>
      </c>
      <c r="C336" s="9" t="s">
        <v>1153</v>
      </c>
      <c r="D336" s="1" t="s">
        <v>44</v>
      </c>
      <c r="E336" s="1" t="s">
        <v>88</v>
      </c>
      <c r="F336" s="10" t="s">
        <v>853</v>
      </c>
      <c r="G336" s="1">
        <v>0</v>
      </c>
      <c r="H336" s="1">
        <v>0.02</v>
      </c>
      <c r="I336" s="8">
        <v>44873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238720.25</v>
      </c>
      <c r="AJ336" s="2">
        <v>24599</v>
      </c>
      <c r="AK336" s="2">
        <v>4262.8599999999997</v>
      </c>
      <c r="AL336" s="2">
        <v>439.27</v>
      </c>
      <c r="AM336" s="5">
        <v>2351.06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7899.57</v>
      </c>
      <c r="AT336" s="12">
        <v>7053.1899999999987</v>
      </c>
      <c r="AU336" s="2">
        <v>141.06</v>
      </c>
      <c r="AV336" s="5">
        <v>0</v>
      </c>
      <c r="AX336" s="2">
        <v>238720.25</v>
      </c>
      <c r="AY336" s="2">
        <v>24599</v>
      </c>
      <c r="AZ336" s="2">
        <v>4262.8599999999997</v>
      </c>
      <c r="BA336" s="2">
        <v>439.27</v>
      </c>
      <c r="BB336" s="5">
        <v>2351.06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7899.57</v>
      </c>
      <c r="BI336" s="12">
        <v>7053.1899999999987</v>
      </c>
      <c r="BJ336" s="2">
        <v>141.06</v>
      </c>
      <c r="BK336" s="5">
        <v>0</v>
      </c>
      <c r="BL336" s="1" t="s">
        <v>90</v>
      </c>
    </row>
    <row r="337" spans="1:64" x14ac:dyDescent="0.3">
      <c r="A337" t="s">
        <v>1166</v>
      </c>
      <c r="B337" s="1" t="s">
        <v>1166</v>
      </c>
      <c r="C337" s="9" t="s">
        <v>1167</v>
      </c>
      <c r="D337" s="1" t="s">
        <v>44</v>
      </c>
      <c r="E337" s="1" t="s">
        <v>88</v>
      </c>
      <c r="F337" s="10" t="s">
        <v>848</v>
      </c>
      <c r="G337" s="1">
        <v>0</v>
      </c>
      <c r="H337" s="1">
        <v>0.02</v>
      </c>
      <c r="I337" s="8">
        <v>45036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70412</v>
      </c>
      <c r="AJ337" s="2">
        <v>17335</v>
      </c>
      <c r="AK337" s="2">
        <v>1257.3599999999999</v>
      </c>
      <c r="AL337" s="2">
        <v>309.55</v>
      </c>
      <c r="AM337" s="5">
        <v>783.46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2632.41</v>
      </c>
      <c r="AT337" s="12">
        <v>2350.37</v>
      </c>
      <c r="AU337" s="2">
        <v>47.01</v>
      </c>
      <c r="AV337" s="5">
        <v>0</v>
      </c>
      <c r="AX337" s="2">
        <v>70412</v>
      </c>
      <c r="AY337" s="2">
        <v>17335</v>
      </c>
      <c r="AZ337" s="2">
        <v>1257.3599999999999</v>
      </c>
      <c r="BA337" s="2">
        <v>309.55</v>
      </c>
      <c r="BB337" s="5">
        <v>783.46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2632.41</v>
      </c>
      <c r="BI337" s="12">
        <v>2350.37</v>
      </c>
      <c r="BJ337" s="2">
        <v>47.01</v>
      </c>
      <c r="BK337" s="5">
        <v>0</v>
      </c>
      <c r="BL337" s="1" t="s">
        <v>90</v>
      </c>
    </row>
    <row r="338" spans="1:64" x14ac:dyDescent="0.3">
      <c r="A338" t="s">
        <v>1254</v>
      </c>
      <c r="B338" s="1" t="s">
        <v>1254</v>
      </c>
      <c r="C338" s="9" t="s">
        <v>1255</v>
      </c>
      <c r="D338" s="1" t="s">
        <v>44</v>
      </c>
      <c r="E338" s="1" t="s">
        <v>88</v>
      </c>
      <c r="F338" s="10" t="s">
        <v>114</v>
      </c>
      <c r="G338" s="1">
        <v>0</v>
      </c>
      <c r="H338" s="1">
        <v>0.02</v>
      </c>
      <c r="I338" s="8">
        <v>45271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399315.1</v>
      </c>
      <c r="AJ338" s="2">
        <v>93779</v>
      </c>
      <c r="AK338" s="2">
        <v>7130.62</v>
      </c>
      <c r="AL338" s="2">
        <v>1674.62</v>
      </c>
      <c r="AM338" s="5">
        <v>4402.62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14792.8</v>
      </c>
      <c r="AT338" s="12">
        <v>13207.86</v>
      </c>
      <c r="AU338" s="2">
        <v>264.16000000000003</v>
      </c>
      <c r="AV338" s="5">
        <v>0</v>
      </c>
      <c r="AX338" s="2">
        <v>399315.1</v>
      </c>
      <c r="AY338" s="2">
        <v>93779</v>
      </c>
      <c r="AZ338" s="2">
        <v>7130.62</v>
      </c>
      <c r="BA338" s="2">
        <v>1674.62</v>
      </c>
      <c r="BB338" s="5">
        <v>4402.62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14792.8</v>
      </c>
      <c r="BI338" s="12">
        <v>13207.86</v>
      </c>
      <c r="BJ338" s="2">
        <v>264.16000000000003</v>
      </c>
      <c r="BK338" s="5">
        <v>0</v>
      </c>
      <c r="BL338" s="1" t="s">
        <v>90</v>
      </c>
    </row>
    <row r="339" spans="1:64" x14ac:dyDescent="0.3">
      <c r="A339" t="s">
        <v>1296</v>
      </c>
      <c r="B339" s="1" t="s">
        <v>1296</v>
      </c>
      <c r="C339" s="9" t="s">
        <v>1297</v>
      </c>
      <c r="D339" s="1" t="s">
        <v>44</v>
      </c>
      <c r="E339" s="1" t="s">
        <v>88</v>
      </c>
      <c r="F339" s="10" t="s">
        <v>114</v>
      </c>
      <c r="G339" s="1">
        <v>0</v>
      </c>
      <c r="H339" s="1">
        <v>0.02</v>
      </c>
      <c r="I339" s="8">
        <v>45163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524906</v>
      </c>
      <c r="AJ339" s="2">
        <v>127419</v>
      </c>
      <c r="AK339" s="2">
        <v>9373.32</v>
      </c>
      <c r="AL339" s="2">
        <v>2275.34</v>
      </c>
      <c r="AM339" s="5">
        <v>5824.33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19569.75</v>
      </c>
      <c r="AT339" s="12">
        <v>17472.989999999998</v>
      </c>
      <c r="AU339" s="2">
        <v>349.46</v>
      </c>
      <c r="AV339" s="5">
        <v>0</v>
      </c>
      <c r="AX339" s="2">
        <v>524906</v>
      </c>
      <c r="AY339" s="2">
        <v>127419</v>
      </c>
      <c r="AZ339" s="2">
        <v>9373.32</v>
      </c>
      <c r="BA339" s="2">
        <v>2275.34</v>
      </c>
      <c r="BB339" s="5">
        <v>5824.33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19569.75</v>
      </c>
      <c r="BI339" s="12">
        <v>17472.989999999998</v>
      </c>
      <c r="BJ339" s="2">
        <v>349.46</v>
      </c>
      <c r="BK339" s="5">
        <v>0</v>
      </c>
      <c r="BL339" s="1" t="s">
        <v>90</v>
      </c>
    </row>
    <row r="340" spans="1:64" x14ac:dyDescent="0.3">
      <c r="A340" t="s">
        <v>1298</v>
      </c>
      <c r="B340" s="1" t="s">
        <v>1298</v>
      </c>
      <c r="C340" s="9" t="s">
        <v>1299</v>
      </c>
      <c r="D340" s="1" t="s">
        <v>44</v>
      </c>
      <c r="E340" s="1" t="s">
        <v>88</v>
      </c>
      <c r="F340" s="10" t="s">
        <v>853</v>
      </c>
      <c r="G340" s="1">
        <v>0</v>
      </c>
      <c r="H340" s="1">
        <v>0.02</v>
      </c>
      <c r="I340" s="8">
        <v>45163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176893.5</v>
      </c>
      <c r="AJ340" s="2">
        <v>58445</v>
      </c>
      <c r="AK340" s="2">
        <v>3158.81</v>
      </c>
      <c r="AL340" s="2">
        <v>1043.6600000000001</v>
      </c>
      <c r="AM340" s="5">
        <v>2101.2399999999998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7060.16</v>
      </c>
      <c r="AT340" s="12">
        <v>6303.71</v>
      </c>
      <c r="AU340" s="2">
        <v>126.07</v>
      </c>
      <c r="AV340" s="5">
        <v>0</v>
      </c>
      <c r="AX340" s="2">
        <v>176893.5</v>
      </c>
      <c r="AY340" s="2">
        <v>58445</v>
      </c>
      <c r="AZ340" s="2">
        <v>3158.81</v>
      </c>
      <c r="BA340" s="2">
        <v>1043.6600000000001</v>
      </c>
      <c r="BB340" s="5">
        <v>2101.2399999999998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7060.16</v>
      </c>
      <c r="BI340" s="12">
        <v>6303.71</v>
      </c>
      <c r="BJ340" s="2">
        <v>126.07</v>
      </c>
      <c r="BK340" s="5">
        <v>0</v>
      </c>
      <c r="BL340" s="1" t="s">
        <v>90</v>
      </c>
    </row>
    <row r="341" spans="1:64" x14ac:dyDescent="0.3">
      <c r="A341" t="s">
        <v>1312</v>
      </c>
      <c r="B341" s="1" t="s">
        <v>1312</v>
      </c>
      <c r="C341" s="9" t="s">
        <v>1313</v>
      </c>
      <c r="D341" s="1" t="s">
        <v>44</v>
      </c>
      <c r="E341" s="1" t="s">
        <v>88</v>
      </c>
      <c r="F341" s="10" t="s">
        <v>848</v>
      </c>
      <c r="G341" s="1">
        <v>0</v>
      </c>
      <c r="H341" s="1">
        <v>0.02</v>
      </c>
      <c r="I341" s="8">
        <v>44936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130848</v>
      </c>
      <c r="AJ341" s="2">
        <v>33819</v>
      </c>
      <c r="AK341" s="2">
        <v>2336.5700000000002</v>
      </c>
      <c r="AL341" s="2">
        <v>603.91</v>
      </c>
      <c r="AM341" s="5">
        <v>1470.24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4940.01</v>
      </c>
      <c r="AT341" s="12">
        <v>4410.72</v>
      </c>
      <c r="AU341" s="2">
        <v>88.21</v>
      </c>
      <c r="AV341" s="5">
        <v>0</v>
      </c>
      <c r="AX341" s="2">
        <v>130848</v>
      </c>
      <c r="AY341" s="2">
        <v>33819</v>
      </c>
      <c r="AZ341" s="2">
        <v>2336.5700000000002</v>
      </c>
      <c r="BA341" s="2">
        <v>603.91</v>
      </c>
      <c r="BB341" s="5">
        <v>1470.24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4940.01</v>
      </c>
      <c r="BI341" s="12">
        <v>4410.72</v>
      </c>
      <c r="BJ341" s="2">
        <v>88.21</v>
      </c>
      <c r="BK341" s="5">
        <v>0</v>
      </c>
      <c r="BL341" s="1" t="s">
        <v>90</v>
      </c>
    </row>
    <row r="342" spans="1:64" x14ac:dyDescent="0.3">
      <c r="A342" t="s">
        <v>1314</v>
      </c>
      <c r="B342" s="1" t="s">
        <v>1314</v>
      </c>
      <c r="C342" s="9" t="s">
        <v>1315</v>
      </c>
      <c r="D342" s="1" t="s">
        <v>44</v>
      </c>
      <c r="E342" s="1" t="s">
        <v>88</v>
      </c>
      <c r="F342" s="10" t="s">
        <v>848</v>
      </c>
      <c r="G342" s="1">
        <v>0</v>
      </c>
      <c r="H342" s="1">
        <v>0.02</v>
      </c>
      <c r="I342" s="8">
        <v>44844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145196</v>
      </c>
      <c r="AJ342" s="2">
        <v>28700</v>
      </c>
      <c r="AK342" s="2">
        <v>2592.79</v>
      </c>
      <c r="AL342" s="2">
        <v>512.5</v>
      </c>
      <c r="AM342" s="5">
        <v>1552.64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5216.88</v>
      </c>
      <c r="AT342" s="12">
        <v>4657.93</v>
      </c>
      <c r="AU342" s="2">
        <v>93.16</v>
      </c>
      <c r="AV342" s="5">
        <v>0</v>
      </c>
      <c r="AX342" s="2">
        <v>145196</v>
      </c>
      <c r="AY342" s="2">
        <v>28700</v>
      </c>
      <c r="AZ342" s="2">
        <v>2592.79</v>
      </c>
      <c r="BA342" s="2">
        <v>512.5</v>
      </c>
      <c r="BB342" s="5">
        <v>1552.64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5216.88</v>
      </c>
      <c r="BI342" s="12">
        <v>4657.93</v>
      </c>
      <c r="BJ342" s="2">
        <v>93.16</v>
      </c>
      <c r="BK342" s="5">
        <v>0</v>
      </c>
      <c r="BL342" s="1" t="s">
        <v>90</v>
      </c>
    </row>
    <row r="343" spans="1:64" x14ac:dyDescent="0.3">
      <c r="A343" t="s">
        <v>93</v>
      </c>
      <c r="B343" s="1" t="s">
        <v>93</v>
      </c>
      <c r="C343" s="9" t="s">
        <v>94</v>
      </c>
      <c r="D343" s="1" t="s">
        <v>95</v>
      </c>
      <c r="E343" s="1" t="s">
        <v>88</v>
      </c>
      <c r="F343" s="10" t="s">
        <v>96</v>
      </c>
      <c r="G343" s="1">
        <v>0.05</v>
      </c>
      <c r="H343" s="1">
        <v>0</v>
      </c>
      <c r="I343" s="8">
        <v>45703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719507</v>
      </c>
      <c r="AJ343" s="2">
        <v>91607</v>
      </c>
      <c r="AK343" s="2">
        <v>0</v>
      </c>
      <c r="AL343" s="2">
        <v>0</v>
      </c>
      <c r="AM343" s="5">
        <v>7242.09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8111.14</v>
      </c>
      <c r="AT343" s="12">
        <v>7242.09</v>
      </c>
      <c r="AU343" s="2">
        <v>0</v>
      </c>
      <c r="AV343" s="5">
        <v>4055.57</v>
      </c>
      <c r="AX343" s="2">
        <v>719507</v>
      </c>
      <c r="AY343" s="2">
        <v>91607</v>
      </c>
      <c r="AZ343" s="2">
        <v>0</v>
      </c>
      <c r="BA343" s="2">
        <v>0</v>
      </c>
      <c r="BB343" s="5">
        <v>7242.09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8111.14</v>
      </c>
      <c r="BI343" s="12">
        <v>7242.09</v>
      </c>
      <c r="BJ343" s="2">
        <v>0</v>
      </c>
      <c r="BK343" s="5">
        <v>4055.57</v>
      </c>
      <c r="BL343" s="1" t="s">
        <v>90</v>
      </c>
    </row>
    <row r="344" spans="1:64" x14ac:dyDescent="0.3">
      <c r="A344" t="s">
        <v>93</v>
      </c>
      <c r="B344" s="1" t="s">
        <v>97</v>
      </c>
      <c r="C344" s="9" t="s">
        <v>98</v>
      </c>
      <c r="D344" s="1" t="s">
        <v>95</v>
      </c>
      <c r="E344" s="1" t="s">
        <v>88</v>
      </c>
      <c r="F344" s="10" t="s">
        <v>96</v>
      </c>
      <c r="G344" s="1">
        <v>0.05</v>
      </c>
      <c r="H344" s="1">
        <v>0</v>
      </c>
      <c r="I344" s="8">
        <v>45703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124409</v>
      </c>
      <c r="AJ344" s="2">
        <v>23001</v>
      </c>
      <c r="AK344" s="2">
        <v>0</v>
      </c>
      <c r="AL344" s="2">
        <v>0</v>
      </c>
      <c r="AM344" s="5">
        <v>1316.16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1474.1</v>
      </c>
      <c r="AT344" s="12">
        <v>1316.16</v>
      </c>
      <c r="AU344" s="2">
        <v>0</v>
      </c>
      <c r="AV344" s="5">
        <v>737.05</v>
      </c>
      <c r="AX344" s="2">
        <v>124409</v>
      </c>
      <c r="AY344" s="2">
        <v>23001</v>
      </c>
      <c r="AZ344" s="2">
        <v>0</v>
      </c>
      <c r="BA344" s="2">
        <v>0</v>
      </c>
      <c r="BB344" s="5">
        <v>1316.16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1474.1</v>
      </c>
      <c r="BI344" s="12">
        <v>1316.16</v>
      </c>
      <c r="BJ344" s="2">
        <v>0</v>
      </c>
      <c r="BK344" s="5">
        <v>737.05</v>
      </c>
      <c r="BL344" s="1" t="s">
        <v>90</v>
      </c>
    </row>
    <row r="345" spans="1:64" x14ac:dyDescent="0.3">
      <c r="A345" t="s">
        <v>126</v>
      </c>
      <c r="B345" s="1" t="s">
        <v>126</v>
      </c>
      <c r="C345" s="9" t="s">
        <v>127</v>
      </c>
      <c r="D345" s="1" t="s">
        <v>95</v>
      </c>
      <c r="E345" s="1" t="s">
        <v>128</v>
      </c>
      <c r="F345" s="10" t="s">
        <v>129</v>
      </c>
      <c r="G345" s="1">
        <v>3.5000000000000003E-2</v>
      </c>
      <c r="H345" s="1">
        <v>0.05</v>
      </c>
      <c r="I345" s="8">
        <v>45543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340938</v>
      </c>
      <c r="AJ345" s="2">
        <v>29180</v>
      </c>
      <c r="AK345" s="2">
        <v>15220.45</v>
      </c>
      <c r="AL345" s="2">
        <v>1302.68</v>
      </c>
      <c r="AM345" s="5">
        <v>3304.62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22207.08</v>
      </c>
      <c r="AT345" s="12">
        <v>19827.75</v>
      </c>
      <c r="AU345" s="2">
        <v>0</v>
      </c>
      <c r="AV345" s="5">
        <v>1850.59</v>
      </c>
      <c r="AX345" s="2">
        <v>340938</v>
      </c>
      <c r="AY345" s="2">
        <v>29180</v>
      </c>
      <c r="AZ345" s="2">
        <v>15220.45</v>
      </c>
      <c r="BA345" s="2">
        <v>1302.68</v>
      </c>
      <c r="BB345" s="5">
        <v>3304.62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22207.08</v>
      </c>
      <c r="BI345" s="12">
        <v>19827.75</v>
      </c>
      <c r="BJ345" s="2">
        <v>0</v>
      </c>
      <c r="BK345" s="5">
        <v>1850.59</v>
      </c>
      <c r="BL345" s="1" t="s">
        <v>130</v>
      </c>
    </row>
    <row r="346" spans="1:64" x14ac:dyDescent="0.3">
      <c r="A346" t="s">
        <v>126</v>
      </c>
      <c r="B346" s="1" t="s">
        <v>131</v>
      </c>
      <c r="C346" s="9" t="s">
        <v>132</v>
      </c>
      <c r="D346" s="1" t="s">
        <v>95</v>
      </c>
      <c r="E346" s="1" t="s">
        <v>128</v>
      </c>
      <c r="F346" s="10" t="s">
        <v>129</v>
      </c>
      <c r="G346" s="1">
        <v>3.5000000000000003E-2</v>
      </c>
      <c r="H346" s="1">
        <v>0.05</v>
      </c>
      <c r="I346" s="8">
        <v>45543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431326</v>
      </c>
      <c r="AJ346" s="2">
        <v>39874</v>
      </c>
      <c r="AK346" s="2">
        <v>19255.62</v>
      </c>
      <c r="AL346" s="2">
        <v>1780.09</v>
      </c>
      <c r="AM346" s="5">
        <v>4207.1400000000003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28271.99</v>
      </c>
      <c r="AT346" s="12">
        <v>25242.85</v>
      </c>
      <c r="AU346" s="2">
        <v>0</v>
      </c>
      <c r="AV346" s="5">
        <v>2356</v>
      </c>
      <c r="AX346" s="2">
        <v>431326</v>
      </c>
      <c r="AY346" s="2">
        <v>39874</v>
      </c>
      <c r="AZ346" s="2">
        <v>19255.62</v>
      </c>
      <c r="BA346" s="2">
        <v>1780.09</v>
      </c>
      <c r="BB346" s="5">
        <v>4207.1400000000003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28271.99</v>
      </c>
      <c r="BI346" s="12">
        <v>25242.85</v>
      </c>
      <c r="BJ346" s="2">
        <v>0</v>
      </c>
      <c r="BK346" s="5">
        <v>2356</v>
      </c>
      <c r="BL346" s="1" t="s">
        <v>130</v>
      </c>
    </row>
    <row r="347" spans="1:64" x14ac:dyDescent="0.3">
      <c r="A347" t="s">
        <v>133</v>
      </c>
      <c r="B347" s="1" t="s">
        <v>133</v>
      </c>
      <c r="C347" s="9" t="s">
        <v>134</v>
      </c>
      <c r="D347" s="1" t="s">
        <v>95</v>
      </c>
      <c r="E347" s="1" t="s">
        <v>135</v>
      </c>
      <c r="F347" s="10" t="s">
        <v>136</v>
      </c>
      <c r="G347" s="1">
        <v>3.5000000000000003E-2</v>
      </c>
      <c r="H347" s="1">
        <v>0.05</v>
      </c>
      <c r="I347" s="8">
        <v>45608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715694</v>
      </c>
      <c r="AJ347" s="2">
        <v>138375</v>
      </c>
      <c r="AK347" s="2">
        <v>31950.62</v>
      </c>
      <c r="AL347" s="2">
        <v>6177.46</v>
      </c>
      <c r="AM347" s="5">
        <v>7625.62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51244.14</v>
      </c>
      <c r="AT347" s="12">
        <v>45753.700000000004</v>
      </c>
      <c r="AU347" s="2">
        <v>0</v>
      </c>
      <c r="AV347" s="5">
        <v>4270.34</v>
      </c>
      <c r="AX347" s="2">
        <v>715694</v>
      </c>
      <c r="AY347" s="2">
        <v>138375</v>
      </c>
      <c r="AZ347" s="2">
        <v>31950.62</v>
      </c>
      <c r="BA347" s="2">
        <v>6177.46</v>
      </c>
      <c r="BB347" s="5">
        <v>7625.62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51244.14</v>
      </c>
      <c r="BI347" s="12">
        <v>45753.700000000004</v>
      </c>
      <c r="BJ347" s="2">
        <v>0</v>
      </c>
      <c r="BK347" s="5">
        <v>4270.34</v>
      </c>
      <c r="BL347" s="1" t="s">
        <v>137</v>
      </c>
    </row>
    <row r="348" spans="1:64" x14ac:dyDescent="0.3">
      <c r="A348" t="s">
        <v>133</v>
      </c>
      <c r="B348" s="1" t="s">
        <v>138</v>
      </c>
      <c r="C348" s="9" t="s">
        <v>139</v>
      </c>
      <c r="D348" s="1" t="s">
        <v>95</v>
      </c>
      <c r="E348" s="1" t="s">
        <v>135</v>
      </c>
      <c r="F348" s="10" t="s">
        <v>136</v>
      </c>
      <c r="G348" s="1">
        <v>3.5000000000000003E-2</v>
      </c>
      <c r="H348" s="1">
        <v>0.05</v>
      </c>
      <c r="I348" s="8">
        <v>45608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391774</v>
      </c>
      <c r="AJ348" s="2">
        <v>89384</v>
      </c>
      <c r="AK348" s="2">
        <v>17489.91</v>
      </c>
      <c r="AL348" s="2">
        <v>3990.36</v>
      </c>
      <c r="AM348" s="5">
        <v>4296.05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28869.48</v>
      </c>
      <c r="AT348" s="12">
        <v>25776.32</v>
      </c>
      <c r="AU348" s="2">
        <v>0</v>
      </c>
      <c r="AV348" s="5">
        <v>2405.79</v>
      </c>
      <c r="AX348" s="2">
        <v>391774</v>
      </c>
      <c r="AY348" s="2">
        <v>89384</v>
      </c>
      <c r="AZ348" s="2">
        <v>17489.91</v>
      </c>
      <c r="BA348" s="2">
        <v>3990.36</v>
      </c>
      <c r="BB348" s="5">
        <v>4296.05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28869.48</v>
      </c>
      <c r="BI348" s="12">
        <v>25776.32</v>
      </c>
      <c r="BJ348" s="2">
        <v>0</v>
      </c>
      <c r="BK348" s="5">
        <v>2405.79</v>
      </c>
      <c r="BL348" s="1" t="s">
        <v>137</v>
      </c>
    </row>
    <row r="349" spans="1:64" x14ac:dyDescent="0.3">
      <c r="A349" t="s">
        <v>133</v>
      </c>
      <c r="B349" s="1" t="s">
        <v>140</v>
      </c>
      <c r="C349" s="9" t="s">
        <v>141</v>
      </c>
      <c r="D349" s="1" t="s">
        <v>95</v>
      </c>
      <c r="E349" s="1" t="s">
        <v>135</v>
      </c>
      <c r="F349" s="10" t="s">
        <v>136</v>
      </c>
      <c r="G349" s="1">
        <v>0</v>
      </c>
      <c r="H349" s="1">
        <v>0.05</v>
      </c>
      <c r="I349" s="8">
        <v>45636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740751</v>
      </c>
      <c r="AJ349" s="2">
        <v>96870</v>
      </c>
      <c r="AK349" s="2">
        <v>33069.24</v>
      </c>
      <c r="AL349" s="2">
        <v>4324.55</v>
      </c>
      <c r="AM349" s="5">
        <v>7478.76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50257.26</v>
      </c>
      <c r="AT349" s="12">
        <v>44872.55</v>
      </c>
      <c r="AU349" s="2">
        <v>0</v>
      </c>
      <c r="AV349" s="5">
        <v>4188.1099999999997</v>
      </c>
      <c r="AX349" s="2">
        <v>740751</v>
      </c>
      <c r="AY349" s="2">
        <v>96870</v>
      </c>
      <c r="AZ349" s="2">
        <v>33069.24</v>
      </c>
      <c r="BA349" s="2">
        <v>4324.55</v>
      </c>
      <c r="BB349" s="5">
        <v>7478.76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50257.26</v>
      </c>
      <c r="BI349" s="12">
        <v>44872.55</v>
      </c>
      <c r="BJ349" s="2">
        <v>0</v>
      </c>
      <c r="BK349" s="5">
        <v>4188.1099999999997</v>
      </c>
      <c r="BL349" s="1" t="s">
        <v>137</v>
      </c>
    </row>
    <row r="350" spans="1:64" x14ac:dyDescent="0.3">
      <c r="A350" t="s">
        <v>145</v>
      </c>
      <c r="B350" s="1" t="s">
        <v>145</v>
      </c>
      <c r="C350" s="9" t="s">
        <v>146</v>
      </c>
      <c r="D350" s="1" t="s">
        <v>95</v>
      </c>
      <c r="E350" s="1" t="s">
        <v>128</v>
      </c>
      <c r="F350" s="10" t="s">
        <v>147</v>
      </c>
      <c r="G350" s="1">
        <v>3.5000000000000003E-2</v>
      </c>
      <c r="H350" s="1">
        <v>0.05</v>
      </c>
      <c r="I350" s="8">
        <v>45467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264957</v>
      </c>
      <c r="AJ350" s="2">
        <v>22567</v>
      </c>
      <c r="AK350" s="2">
        <v>11828.44</v>
      </c>
      <c r="AL350" s="2">
        <v>1007.46</v>
      </c>
      <c r="AM350" s="5">
        <v>2567.1799999999998</v>
      </c>
      <c r="AN350" s="12">
        <v>96693.52</v>
      </c>
      <c r="AO350" s="2">
        <v>4375.7700000000004</v>
      </c>
      <c r="AP350" s="2">
        <v>4316.68</v>
      </c>
      <c r="AQ350" s="2">
        <v>195.35</v>
      </c>
      <c r="AR350" s="5">
        <v>902.4</v>
      </c>
      <c r="AS350" s="2">
        <v>23315.61</v>
      </c>
      <c r="AT350" s="12">
        <v>20817.510000000002</v>
      </c>
      <c r="AU350" s="2">
        <v>0</v>
      </c>
      <c r="AV350" s="5">
        <v>1942.97</v>
      </c>
      <c r="AX350" s="2">
        <v>264957</v>
      </c>
      <c r="AY350" s="2">
        <v>22567</v>
      </c>
      <c r="AZ350" s="2">
        <v>11828.44</v>
      </c>
      <c r="BA350" s="2">
        <v>1007.46</v>
      </c>
      <c r="BB350" s="5">
        <v>2567.1799999999998</v>
      </c>
      <c r="BC350" s="12">
        <v>96693.52</v>
      </c>
      <c r="BD350" s="2">
        <v>4375.7700000000004</v>
      </c>
      <c r="BE350" s="2">
        <v>4316.68</v>
      </c>
      <c r="BF350" s="2">
        <v>195.35</v>
      </c>
      <c r="BG350" s="5">
        <v>902.4</v>
      </c>
      <c r="BH350" s="2">
        <v>23315.61</v>
      </c>
      <c r="BI350" s="12">
        <v>20817.510000000002</v>
      </c>
      <c r="BJ350" s="2">
        <v>0</v>
      </c>
      <c r="BK350" s="5">
        <v>1942.97</v>
      </c>
      <c r="BL350" s="1" t="s">
        <v>130</v>
      </c>
    </row>
    <row r="351" spans="1:64" x14ac:dyDescent="0.3">
      <c r="A351" t="s">
        <v>145</v>
      </c>
      <c r="B351" s="1" t="s">
        <v>148</v>
      </c>
      <c r="C351" s="9" t="s">
        <v>149</v>
      </c>
      <c r="D351" s="1" t="s">
        <v>95</v>
      </c>
      <c r="E351" s="1" t="s">
        <v>128</v>
      </c>
      <c r="F351" s="10" t="s">
        <v>147</v>
      </c>
      <c r="G351" s="1">
        <v>3.5000000000000003E-2</v>
      </c>
      <c r="H351" s="1">
        <v>0.05</v>
      </c>
      <c r="I351" s="8">
        <v>45467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68747</v>
      </c>
      <c r="AJ351" s="2">
        <v>10374</v>
      </c>
      <c r="AK351" s="2">
        <v>3069.06</v>
      </c>
      <c r="AL351" s="2">
        <v>463.12</v>
      </c>
      <c r="AM351" s="5">
        <v>706.44</v>
      </c>
      <c r="AN351" s="12">
        <v>23950.01</v>
      </c>
      <c r="AO351" s="2">
        <v>2151.94</v>
      </c>
      <c r="AP351" s="2">
        <v>1069.2</v>
      </c>
      <c r="AQ351" s="2">
        <v>96.07</v>
      </c>
      <c r="AR351" s="5">
        <v>233.05</v>
      </c>
      <c r="AS351" s="2">
        <v>6313.37</v>
      </c>
      <c r="AT351" s="12">
        <v>5636.94</v>
      </c>
      <c r="AU351" s="2">
        <v>0</v>
      </c>
      <c r="AV351" s="5">
        <v>526.11</v>
      </c>
      <c r="AX351" s="2">
        <v>68747</v>
      </c>
      <c r="AY351" s="2">
        <v>10374</v>
      </c>
      <c r="AZ351" s="2">
        <v>3069.06</v>
      </c>
      <c r="BA351" s="2">
        <v>463.12</v>
      </c>
      <c r="BB351" s="5">
        <v>706.44</v>
      </c>
      <c r="BC351" s="12">
        <v>23950.01</v>
      </c>
      <c r="BD351" s="2">
        <v>2151.94</v>
      </c>
      <c r="BE351" s="2">
        <v>1069.2</v>
      </c>
      <c r="BF351" s="2">
        <v>96.07</v>
      </c>
      <c r="BG351" s="5">
        <v>233.05</v>
      </c>
      <c r="BH351" s="2">
        <v>6313.37</v>
      </c>
      <c r="BI351" s="12">
        <v>5636.94</v>
      </c>
      <c r="BJ351" s="2">
        <v>0</v>
      </c>
      <c r="BK351" s="5">
        <v>526.11</v>
      </c>
      <c r="BL351" s="1" t="s">
        <v>130</v>
      </c>
    </row>
    <row r="352" spans="1:64" x14ac:dyDescent="0.3">
      <c r="A352" t="s">
        <v>145</v>
      </c>
      <c r="B352" s="1" t="s">
        <v>150</v>
      </c>
      <c r="C352" s="9" t="s">
        <v>151</v>
      </c>
      <c r="D352" s="1" t="s">
        <v>95</v>
      </c>
      <c r="E352" s="1" t="s">
        <v>128</v>
      </c>
      <c r="F352" s="10" t="s">
        <v>147</v>
      </c>
      <c r="G352" s="1">
        <v>0</v>
      </c>
      <c r="H352" s="1">
        <v>0.05</v>
      </c>
      <c r="I352" s="8">
        <v>45467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275914</v>
      </c>
      <c r="AJ352" s="2">
        <v>15551</v>
      </c>
      <c r="AK352" s="2">
        <v>12317.59</v>
      </c>
      <c r="AL352" s="2">
        <v>694.24</v>
      </c>
      <c r="AM352" s="5">
        <v>2602.37</v>
      </c>
      <c r="AN352" s="12">
        <v>34962.9</v>
      </c>
      <c r="AO352" s="2">
        <v>0</v>
      </c>
      <c r="AP352" s="2">
        <v>1560.85</v>
      </c>
      <c r="AQ352" s="2">
        <v>0</v>
      </c>
      <c r="AR352" s="5">
        <v>312.17</v>
      </c>
      <c r="AS352" s="2">
        <v>19585.689999999999</v>
      </c>
      <c r="AT352" s="12">
        <v>17487.219999999998</v>
      </c>
      <c r="AU352" s="2">
        <v>0</v>
      </c>
      <c r="AV352" s="5">
        <v>1632.14</v>
      </c>
      <c r="AX352" s="2">
        <v>275914</v>
      </c>
      <c r="AY352" s="2">
        <v>15551</v>
      </c>
      <c r="AZ352" s="2">
        <v>12317.59</v>
      </c>
      <c r="BA352" s="2">
        <v>694.24</v>
      </c>
      <c r="BB352" s="5">
        <v>2602.37</v>
      </c>
      <c r="BC352" s="12">
        <v>34962.9</v>
      </c>
      <c r="BD352" s="2">
        <v>0</v>
      </c>
      <c r="BE352" s="2">
        <v>1560.85</v>
      </c>
      <c r="BF352" s="2">
        <v>0</v>
      </c>
      <c r="BG352" s="5">
        <v>312.17</v>
      </c>
      <c r="BH352" s="2">
        <v>19585.689999999999</v>
      </c>
      <c r="BI352" s="12">
        <v>17487.219999999998</v>
      </c>
      <c r="BJ352" s="2">
        <v>0</v>
      </c>
      <c r="BK352" s="5">
        <v>1632.14</v>
      </c>
      <c r="BL352" s="1" t="s">
        <v>130</v>
      </c>
    </row>
    <row r="353" spans="1:64" x14ac:dyDescent="0.3">
      <c r="A353" t="s">
        <v>145</v>
      </c>
      <c r="B353" s="1" t="s">
        <v>152</v>
      </c>
      <c r="C353" s="9" t="s">
        <v>153</v>
      </c>
      <c r="D353" s="1" t="s">
        <v>95</v>
      </c>
      <c r="E353" s="1" t="s">
        <v>128</v>
      </c>
      <c r="F353" s="10" t="s">
        <v>147</v>
      </c>
      <c r="G353" s="1">
        <v>0</v>
      </c>
      <c r="H353" s="1">
        <v>0.05</v>
      </c>
      <c r="I353" s="8">
        <v>45467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303489</v>
      </c>
      <c r="AJ353" s="2">
        <v>21259</v>
      </c>
      <c r="AK353" s="2">
        <v>13548.62</v>
      </c>
      <c r="AL353" s="2">
        <v>949.06</v>
      </c>
      <c r="AM353" s="5">
        <v>2899.54</v>
      </c>
      <c r="AN353" s="12">
        <v>53340.14</v>
      </c>
      <c r="AO353" s="2">
        <v>5034.12</v>
      </c>
      <c r="AP353" s="2">
        <v>2381.2600000000002</v>
      </c>
      <c r="AQ353" s="2">
        <v>224.74</v>
      </c>
      <c r="AR353" s="5">
        <v>521.20000000000005</v>
      </c>
      <c r="AS353" s="2">
        <v>22987.35</v>
      </c>
      <c r="AT353" s="12">
        <v>20524.420000000006</v>
      </c>
      <c r="AU353" s="2">
        <v>0</v>
      </c>
      <c r="AV353" s="5">
        <v>1915.61</v>
      </c>
      <c r="AX353" s="2">
        <v>303489</v>
      </c>
      <c r="AY353" s="2">
        <v>21259</v>
      </c>
      <c r="AZ353" s="2">
        <v>13548.62</v>
      </c>
      <c r="BA353" s="2">
        <v>949.06</v>
      </c>
      <c r="BB353" s="5">
        <v>2899.54</v>
      </c>
      <c r="BC353" s="12">
        <v>53340.14</v>
      </c>
      <c r="BD353" s="2">
        <v>5034.12</v>
      </c>
      <c r="BE353" s="2">
        <v>2381.2600000000002</v>
      </c>
      <c r="BF353" s="2">
        <v>224.74</v>
      </c>
      <c r="BG353" s="5">
        <v>521.20000000000005</v>
      </c>
      <c r="BH353" s="2">
        <v>22987.35</v>
      </c>
      <c r="BI353" s="12">
        <v>20524.420000000006</v>
      </c>
      <c r="BJ353" s="2">
        <v>0</v>
      </c>
      <c r="BK353" s="5">
        <v>1915.61</v>
      </c>
      <c r="BL353" s="1" t="s">
        <v>130</v>
      </c>
    </row>
    <row r="354" spans="1:64" x14ac:dyDescent="0.3">
      <c r="A354" t="s">
        <v>145</v>
      </c>
      <c r="B354" s="1" t="s">
        <v>154</v>
      </c>
      <c r="C354" s="9" t="s">
        <v>155</v>
      </c>
      <c r="D354" s="1" t="s">
        <v>95</v>
      </c>
      <c r="E354" s="1" t="s">
        <v>128</v>
      </c>
      <c r="F354" s="10" t="s">
        <v>147</v>
      </c>
      <c r="G354" s="1">
        <v>0</v>
      </c>
      <c r="H354" s="1">
        <v>0.05</v>
      </c>
      <c r="I354" s="8">
        <v>0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0</v>
      </c>
      <c r="AJ354" s="2">
        <v>0</v>
      </c>
      <c r="AK354" s="2">
        <v>0</v>
      </c>
      <c r="AL354" s="2">
        <v>0</v>
      </c>
      <c r="AM354" s="5">
        <v>0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0</v>
      </c>
      <c r="AT354" s="12">
        <v>0</v>
      </c>
      <c r="AU354" s="2">
        <v>0</v>
      </c>
      <c r="AV354" s="5">
        <v>0</v>
      </c>
      <c r="AX354" s="2">
        <v>0</v>
      </c>
      <c r="AY354" s="2">
        <v>0</v>
      </c>
      <c r="AZ354" s="2">
        <v>0</v>
      </c>
      <c r="BA354" s="2">
        <v>0</v>
      </c>
      <c r="BB354" s="5">
        <v>0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0</v>
      </c>
      <c r="BI354" s="12">
        <v>0</v>
      </c>
      <c r="BJ354" s="2">
        <v>0</v>
      </c>
      <c r="BK354" s="5">
        <v>0</v>
      </c>
      <c r="BL354" s="1" t="s">
        <v>130</v>
      </c>
    </row>
    <row r="355" spans="1:64" x14ac:dyDescent="0.3">
      <c r="A355" t="s">
        <v>191</v>
      </c>
      <c r="B355" s="1" t="s">
        <v>191</v>
      </c>
      <c r="C355" s="9" t="s">
        <v>192</v>
      </c>
      <c r="D355" s="1" t="s">
        <v>95</v>
      </c>
      <c r="E355" s="1" t="s">
        <v>135</v>
      </c>
      <c r="F355" s="10" t="s">
        <v>193</v>
      </c>
      <c r="G355" s="1">
        <v>3.5000000000000003E-2</v>
      </c>
      <c r="H355" s="1">
        <v>0.05</v>
      </c>
      <c r="I355" s="8">
        <v>44092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778146</v>
      </c>
      <c r="AJ355" s="2">
        <v>63598</v>
      </c>
      <c r="AK355" s="2">
        <v>34738.660000000003</v>
      </c>
      <c r="AL355" s="2">
        <v>2839.2</v>
      </c>
      <c r="AM355" s="5">
        <v>7515.57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50504.639999999999</v>
      </c>
      <c r="AT355" s="12">
        <v>45093.43</v>
      </c>
      <c r="AU355" s="2">
        <v>0</v>
      </c>
      <c r="AV355" s="5">
        <v>4208.72</v>
      </c>
      <c r="AX355" s="2">
        <v>778146</v>
      </c>
      <c r="AY355" s="2">
        <v>63598</v>
      </c>
      <c r="AZ355" s="2">
        <v>34738.660000000003</v>
      </c>
      <c r="BA355" s="2">
        <v>2839.2</v>
      </c>
      <c r="BB355" s="5">
        <v>7515.57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50504.639999999999</v>
      </c>
      <c r="BI355" s="12">
        <v>45093.43</v>
      </c>
      <c r="BJ355" s="2">
        <v>0</v>
      </c>
      <c r="BK355" s="5">
        <v>4208.72</v>
      </c>
      <c r="BL355" s="1" t="s">
        <v>137</v>
      </c>
    </row>
    <row r="356" spans="1:64" x14ac:dyDescent="0.3">
      <c r="A356" t="s">
        <v>191</v>
      </c>
      <c r="B356" s="1" t="s">
        <v>194</v>
      </c>
      <c r="C356" s="9" t="s">
        <v>195</v>
      </c>
      <c r="D356" s="1" t="s">
        <v>95</v>
      </c>
      <c r="E356" s="1" t="s">
        <v>135</v>
      </c>
      <c r="F356" s="10" t="s">
        <v>193</v>
      </c>
      <c r="G356" s="1">
        <v>4.4999999999999998E-2</v>
      </c>
      <c r="H356" s="1">
        <v>0.05</v>
      </c>
      <c r="I356" s="8">
        <v>44092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379268</v>
      </c>
      <c r="AJ356" s="2">
        <v>33068</v>
      </c>
      <c r="AK356" s="2">
        <v>16931.61</v>
      </c>
      <c r="AL356" s="2">
        <v>1476.25</v>
      </c>
      <c r="AM356" s="5">
        <v>3681.57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24740.16</v>
      </c>
      <c r="AT356" s="12">
        <v>22089.43</v>
      </c>
      <c r="AU356" s="2">
        <v>0</v>
      </c>
      <c r="AV356" s="5">
        <v>2061.6799999999998</v>
      </c>
      <c r="AX356" s="2">
        <v>379268</v>
      </c>
      <c r="AY356" s="2">
        <v>33068</v>
      </c>
      <c r="AZ356" s="2">
        <v>16931.61</v>
      </c>
      <c r="BA356" s="2">
        <v>1476.25</v>
      </c>
      <c r="BB356" s="5">
        <v>3681.57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24740.16</v>
      </c>
      <c r="BI356" s="12">
        <v>22089.43</v>
      </c>
      <c r="BJ356" s="2">
        <v>0</v>
      </c>
      <c r="BK356" s="5">
        <v>2061.6799999999998</v>
      </c>
      <c r="BL356" s="1" t="s">
        <v>137</v>
      </c>
    </row>
    <row r="357" spans="1:64" x14ac:dyDescent="0.3">
      <c r="A357" t="s">
        <v>191</v>
      </c>
      <c r="B357" s="1" t="s">
        <v>196</v>
      </c>
      <c r="C357" s="9" t="s">
        <v>197</v>
      </c>
      <c r="D357" s="1" t="s">
        <v>95</v>
      </c>
      <c r="E357" s="1" t="s">
        <v>135</v>
      </c>
      <c r="F357" s="10" t="s">
        <v>193</v>
      </c>
      <c r="G357" s="1">
        <v>4.4999999999999998E-2</v>
      </c>
      <c r="H357" s="1">
        <v>0.05</v>
      </c>
      <c r="I357" s="8">
        <v>44092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541913</v>
      </c>
      <c r="AJ357" s="2">
        <v>57691</v>
      </c>
      <c r="AK357" s="2">
        <v>24192.54</v>
      </c>
      <c r="AL357" s="2">
        <v>2575.4899999999998</v>
      </c>
      <c r="AM357" s="5">
        <v>5353.61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35976.239999999998</v>
      </c>
      <c r="AT357" s="12">
        <v>32121.64</v>
      </c>
      <c r="AU357" s="2">
        <v>0</v>
      </c>
      <c r="AV357" s="5">
        <v>2998.02</v>
      </c>
      <c r="AX357" s="2">
        <v>541913</v>
      </c>
      <c r="AY357" s="2">
        <v>57691</v>
      </c>
      <c r="AZ357" s="2">
        <v>24192.54</v>
      </c>
      <c r="BA357" s="2">
        <v>2575.4899999999998</v>
      </c>
      <c r="BB357" s="5">
        <v>5353.61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35976.239999999998</v>
      </c>
      <c r="BI357" s="12">
        <v>32121.64</v>
      </c>
      <c r="BJ357" s="2">
        <v>0</v>
      </c>
      <c r="BK357" s="5">
        <v>2998.02</v>
      </c>
      <c r="BL357" s="1" t="s">
        <v>137</v>
      </c>
    </row>
    <row r="358" spans="1:64" x14ac:dyDescent="0.3">
      <c r="A358" t="s">
        <v>191</v>
      </c>
      <c r="B358" s="1" t="s">
        <v>198</v>
      </c>
      <c r="C358" s="9" t="s">
        <v>199</v>
      </c>
      <c r="D358" s="1" t="s">
        <v>95</v>
      </c>
      <c r="E358" s="1" t="s">
        <v>135</v>
      </c>
      <c r="F358" s="10" t="s">
        <v>193</v>
      </c>
      <c r="G358" s="1">
        <v>0</v>
      </c>
      <c r="H358" s="1">
        <v>0.05</v>
      </c>
      <c r="I358" s="8">
        <v>44151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606909</v>
      </c>
      <c r="AJ358" s="2">
        <v>32969</v>
      </c>
      <c r="AK358" s="2">
        <v>27094.15</v>
      </c>
      <c r="AL358" s="2">
        <v>1471.83</v>
      </c>
      <c r="AM358" s="5">
        <v>5713.2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38392.68</v>
      </c>
      <c r="AT358" s="12">
        <v>34279.18</v>
      </c>
      <c r="AU358" s="2">
        <v>0</v>
      </c>
      <c r="AV358" s="5">
        <v>3199.39</v>
      </c>
      <c r="AX358" s="2">
        <v>606909</v>
      </c>
      <c r="AY358" s="2">
        <v>32969</v>
      </c>
      <c r="AZ358" s="2">
        <v>27094.15</v>
      </c>
      <c r="BA358" s="2">
        <v>1471.83</v>
      </c>
      <c r="BB358" s="5">
        <v>5713.2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38392.68</v>
      </c>
      <c r="BI358" s="12">
        <v>34279.18</v>
      </c>
      <c r="BJ358" s="2">
        <v>0</v>
      </c>
      <c r="BK358" s="5">
        <v>3199.39</v>
      </c>
      <c r="BL358" s="1" t="s">
        <v>137</v>
      </c>
    </row>
    <row r="359" spans="1:64" x14ac:dyDescent="0.3">
      <c r="A359" t="s">
        <v>191</v>
      </c>
      <c r="B359" s="1" t="s">
        <v>200</v>
      </c>
      <c r="C359" s="9" t="s">
        <v>201</v>
      </c>
      <c r="D359" s="1" t="s">
        <v>95</v>
      </c>
      <c r="E359" s="1" t="s">
        <v>135</v>
      </c>
      <c r="F359" s="10" t="s">
        <v>193</v>
      </c>
      <c r="G359" s="1">
        <v>0</v>
      </c>
      <c r="H359" s="1">
        <v>0.05</v>
      </c>
      <c r="I359" s="8">
        <v>44544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1303570</v>
      </c>
      <c r="AJ359" s="2">
        <v>58174</v>
      </c>
      <c r="AK359" s="2">
        <v>58195.09</v>
      </c>
      <c r="AL359" s="2">
        <v>2597.0500000000002</v>
      </c>
      <c r="AM359" s="5">
        <v>12158.43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81704.639999999999</v>
      </c>
      <c r="AT359" s="12">
        <v>72950.570000000007</v>
      </c>
      <c r="AU359" s="2">
        <v>0</v>
      </c>
      <c r="AV359" s="5">
        <v>6808.72</v>
      </c>
      <c r="AX359" s="2">
        <v>1303570</v>
      </c>
      <c r="AY359" s="2">
        <v>58174</v>
      </c>
      <c r="AZ359" s="2">
        <v>58195.09</v>
      </c>
      <c r="BA359" s="2">
        <v>2597.0500000000002</v>
      </c>
      <c r="BB359" s="5">
        <v>12158.43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81704.639999999999</v>
      </c>
      <c r="BI359" s="12">
        <v>72950.570000000007</v>
      </c>
      <c r="BJ359" s="2">
        <v>0</v>
      </c>
      <c r="BK359" s="5">
        <v>6808.72</v>
      </c>
      <c r="BL359" s="1" t="s">
        <v>137</v>
      </c>
    </row>
    <row r="360" spans="1:64" x14ac:dyDescent="0.3">
      <c r="A360" t="s">
        <v>191</v>
      </c>
      <c r="B360" s="1" t="s">
        <v>202</v>
      </c>
      <c r="C360" s="9" t="s">
        <v>203</v>
      </c>
      <c r="D360" s="1" t="s">
        <v>95</v>
      </c>
      <c r="E360" s="1" t="s">
        <v>135</v>
      </c>
      <c r="F360" s="10" t="s">
        <v>193</v>
      </c>
      <c r="G360" s="1">
        <v>0</v>
      </c>
      <c r="H360" s="1">
        <v>0.05</v>
      </c>
      <c r="I360" s="8">
        <v>45349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677820</v>
      </c>
      <c r="AJ360" s="2">
        <v>24219</v>
      </c>
      <c r="AK360" s="2">
        <v>30259.82</v>
      </c>
      <c r="AL360" s="2">
        <v>1081.21</v>
      </c>
      <c r="AM360" s="5">
        <v>6268.21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42122.35</v>
      </c>
      <c r="AT360" s="12">
        <v>37609.24</v>
      </c>
      <c r="AU360" s="2">
        <v>0</v>
      </c>
      <c r="AV360" s="5">
        <v>3510.2</v>
      </c>
      <c r="AX360" s="2">
        <v>677820</v>
      </c>
      <c r="AY360" s="2">
        <v>24219</v>
      </c>
      <c r="AZ360" s="2">
        <v>30259.82</v>
      </c>
      <c r="BA360" s="2">
        <v>1081.21</v>
      </c>
      <c r="BB360" s="5">
        <v>6268.21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42122.35</v>
      </c>
      <c r="BI360" s="12">
        <v>37609.24</v>
      </c>
      <c r="BJ360" s="2">
        <v>0</v>
      </c>
      <c r="BK360" s="5">
        <v>3510.2</v>
      </c>
      <c r="BL360" s="1" t="s">
        <v>137</v>
      </c>
    </row>
    <row r="361" spans="1:64" x14ac:dyDescent="0.3">
      <c r="A361" t="s">
        <v>216</v>
      </c>
      <c r="B361" s="1" t="s">
        <v>216</v>
      </c>
      <c r="C361" s="9" t="s">
        <v>217</v>
      </c>
      <c r="D361" s="1" t="s">
        <v>95</v>
      </c>
      <c r="E361" s="1" t="s">
        <v>88</v>
      </c>
      <c r="F361" s="10" t="s">
        <v>218</v>
      </c>
      <c r="G361" s="1">
        <v>0.04</v>
      </c>
      <c r="H361" s="1">
        <v>0.05</v>
      </c>
      <c r="I361" s="8">
        <v>44606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1528588</v>
      </c>
      <c r="AJ361" s="2">
        <v>237791</v>
      </c>
      <c r="AK361" s="2">
        <v>68240.539999999994</v>
      </c>
      <c r="AL361" s="2">
        <v>10615.67</v>
      </c>
      <c r="AM361" s="5">
        <v>15771.24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105982.74</v>
      </c>
      <c r="AT361" s="12">
        <v>94627.45</v>
      </c>
      <c r="AU361" s="2">
        <v>0</v>
      </c>
      <c r="AV361" s="5">
        <v>8831.9</v>
      </c>
      <c r="AX361" s="2">
        <v>1528588</v>
      </c>
      <c r="AY361" s="2">
        <v>237791</v>
      </c>
      <c r="AZ361" s="2">
        <v>68240.539999999994</v>
      </c>
      <c r="BA361" s="2">
        <v>10615.67</v>
      </c>
      <c r="BB361" s="5">
        <v>15771.24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105982.74</v>
      </c>
      <c r="BI361" s="12">
        <v>94627.45</v>
      </c>
      <c r="BJ361" s="2">
        <v>0</v>
      </c>
      <c r="BK361" s="5">
        <v>8831.9</v>
      </c>
      <c r="BL361" s="1" t="s">
        <v>90</v>
      </c>
    </row>
    <row r="362" spans="1:64" x14ac:dyDescent="0.3">
      <c r="A362" t="s">
        <v>237</v>
      </c>
      <c r="B362" s="1" t="s">
        <v>237</v>
      </c>
      <c r="C362" s="9" t="s">
        <v>238</v>
      </c>
      <c r="D362" s="1" t="s">
        <v>95</v>
      </c>
      <c r="E362" s="1" t="s">
        <v>135</v>
      </c>
      <c r="F362" s="10" t="s">
        <v>193</v>
      </c>
      <c r="G362" s="1">
        <v>3.5000000000000003E-2</v>
      </c>
      <c r="H362" s="1">
        <v>0.05</v>
      </c>
      <c r="I362" s="8">
        <v>45496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1117061</v>
      </c>
      <c r="AJ362" s="2">
        <v>229355</v>
      </c>
      <c r="AK362" s="2">
        <v>49868.79</v>
      </c>
      <c r="AL362" s="2">
        <v>10239.06</v>
      </c>
      <c r="AM362" s="5">
        <v>12021.57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80784.95</v>
      </c>
      <c r="AT362" s="12">
        <v>72129.42</v>
      </c>
      <c r="AU362" s="2">
        <v>0</v>
      </c>
      <c r="AV362" s="5">
        <v>6732.08</v>
      </c>
      <c r="AX362" s="2">
        <v>1117061</v>
      </c>
      <c r="AY362" s="2">
        <v>229355</v>
      </c>
      <c r="AZ362" s="2">
        <v>49868.79</v>
      </c>
      <c r="BA362" s="2">
        <v>10239.06</v>
      </c>
      <c r="BB362" s="5">
        <v>12021.57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80784.95</v>
      </c>
      <c r="BI362" s="12">
        <v>72129.42</v>
      </c>
      <c r="BJ362" s="2">
        <v>0</v>
      </c>
      <c r="BK362" s="5">
        <v>6732.08</v>
      </c>
      <c r="BL362" s="1" t="s">
        <v>137</v>
      </c>
    </row>
    <row r="363" spans="1:64" x14ac:dyDescent="0.3">
      <c r="A363" t="s">
        <v>249</v>
      </c>
      <c r="B363" s="1" t="s">
        <v>249</v>
      </c>
      <c r="C363" s="9" t="s">
        <v>250</v>
      </c>
      <c r="D363" s="1" t="s">
        <v>95</v>
      </c>
      <c r="E363" s="1" t="s">
        <v>88</v>
      </c>
      <c r="F363" s="10" t="s">
        <v>218</v>
      </c>
      <c r="G363" s="1">
        <v>3.5000000000000003E-2</v>
      </c>
      <c r="H363" s="1">
        <v>0.05</v>
      </c>
      <c r="I363" s="8">
        <v>45657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1120581</v>
      </c>
      <c r="AJ363" s="2">
        <v>252008</v>
      </c>
      <c r="AK363" s="2">
        <v>50025.94</v>
      </c>
      <c r="AL363" s="2">
        <v>11250.36</v>
      </c>
      <c r="AM363" s="5">
        <v>12255.26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82355.350000000006</v>
      </c>
      <c r="AT363" s="12">
        <v>73531.56</v>
      </c>
      <c r="AU363" s="2">
        <v>0</v>
      </c>
      <c r="AV363" s="5">
        <v>6862.94</v>
      </c>
      <c r="AX363" s="2">
        <v>1120581</v>
      </c>
      <c r="AY363" s="2">
        <v>252008</v>
      </c>
      <c r="AZ363" s="2">
        <v>50025.94</v>
      </c>
      <c r="BA363" s="2">
        <v>11250.36</v>
      </c>
      <c r="BB363" s="5">
        <v>12255.26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82355.350000000006</v>
      </c>
      <c r="BI363" s="12">
        <v>73531.56</v>
      </c>
      <c r="BJ363" s="2">
        <v>0</v>
      </c>
      <c r="BK363" s="5">
        <v>6862.94</v>
      </c>
      <c r="BL363" s="1" t="s">
        <v>90</v>
      </c>
    </row>
    <row r="364" spans="1:64" x14ac:dyDescent="0.3">
      <c r="A364" t="s">
        <v>249</v>
      </c>
      <c r="B364" s="1" t="s">
        <v>251</v>
      </c>
      <c r="C364" s="9" t="s">
        <v>252</v>
      </c>
      <c r="D364" s="1" t="s">
        <v>95</v>
      </c>
      <c r="E364" s="1" t="s">
        <v>88</v>
      </c>
      <c r="F364" s="10" t="s">
        <v>218</v>
      </c>
      <c r="G364" s="1">
        <v>3.5000000000000003E-2</v>
      </c>
      <c r="H364" s="1">
        <v>0.05</v>
      </c>
      <c r="I364" s="8">
        <v>45657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1032597</v>
      </c>
      <c r="AJ364" s="2">
        <v>223838</v>
      </c>
      <c r="AK364" s="2">
        <v>46098.080000000002</v>
      </c>
      <c r="AL364" s="2">
        <v>9992.77</v>
      </c>
      <c r="AM364" s="5">
        <v>11218.17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75386.100000000006</v>
      </c>
      <c r="AT364" s="12">
        <v>67309.02</v>
      </c>
      <c r="AU364" s="2">
        <v>0</v>
      </c>
      <c r="AV364" s="5">
        <v>6282.18</v>
      </c>
      <c r="AX364" s="2">
        <v>1032597</v>
      </c>
      <c r="AY364" s="2">
        <v>223838</v>
      </c>
      <c r="AZ364" s="2">
        <v>46098.080000000002</v>
      </c>
      <c r="BA364" s="2">
        <v>9992.77</v>
      </c>
      <c r="BB364" s="5">
        <v>11218.17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75386.100000000006</v>
      </c>
      <c r="BI364" s="12">
        <v>67309.02</v>
      </c>
      <c r="BJ364" s="2">
        <v>0</v>
      </c>
      <c r="BK364" s="5">
        <v>6282.18</v>
      </c>
      <c r="BL364" s="1" t="s">
        <v>90</v>
      </c>
    </row>
    <row r="365" spans="1:64" x14ac:dyDescent="0.3">
      <c r="A365" t="s">
        <v>255</v>
      </c>
      <c r="B365" s="1" t="s">
        <v>255</v>
      </c>
      <c r="C365" s="9" t="s">
        <v>256</v>
      </c>
      <c r="D365" s="1" t="s">
        <v>95</v>
      </c>
      <c r="E365" s="1" t="s">
        <v>135</v>
      </c>
      <c r="F365" s="10" t="s">
        <v>136</v>
      </c>
      <c r="G365" s="1">
        <v>3.5000000000000003E-2</v>
      </c>
      <c r="H365" s="1">
        <v>0.05</v>
      </c>
      <c r="I365" s="8">
        <v>45608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1766435.08</v>
      </c>
      <c r="AJ365" s="2">
        <v>329359</v>
      </c>
      <c r="AK365" s="2">
        <v>78858.710000000006</v>
      </c>
      <c r="AL365" s="2">
        <v>14703.53</v>
      </c>
      <c r="AM365" s="5">
        <v>18712.45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125747.65</v>
      </c>
      <c r="AT365" s="12">
        <v>112274.69</v>
      </c>
      <c r="AU365" s="2">
        <v>0</v>
      </c>
      <c r="AV365" s="5">
        <v>10478.969999999999</v>
      </c>
      <c r="AX365" s="2">
        <v>1766435.08</v>
      </c>
      <c r="AY365" s="2">
        <v>329359</v>
      </c>
      <c r="AZ365" s="2">
        <v>78858.710000000006</v>
      </c>
      <c r="BA365" s="2">
        <v>14703.53</v>
      </c>
      <c r="BB365" s="5">
        <v>18712.45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125747.65</v>
      </c>
      <c r="BI365" s="12">
        <v>112274.69</v>
      </c>
      <c r="BJ365" s="2">
        <v>0</v>
      </c>
      <c r="BK365" s="5">
        <v>10478.969999999999</v>
      </c>
      <c r="BL365" s="1" t="s">
        <v>137</v>
      </c>
    </row>
    <row r="366" spans="1:64" x14ac:dyDescent="0.3">
      <c r="A366" t="s">
        <v>255</v>
      </c>
      <c r="B366" s="1" t="s">
        <v>257</v>
      </c>
      <c r="C366" s="9" t="s">
        <v>258</v>
      </c>
      <c r="D366" s="1" t="s">
        <v>95</v>
      </c>
      <c r="E366" s="1" t="s">
        <v>135</v>
      </c>
      <c r="F366" s="10" t="s">
        <v>136</v>
      </c>
      <c r="G366" s="1">
        <v>3.5000000000000003E-2</v>
      </c>
      <c r="H366" s="1">
        <v>0.05</v>
      </c>
      <c r="I366" s="8">
        <v>45608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124027</v>
      </c>
      <c r="AJ366" s="2">
        <v>66564</v>
      </c>
      <c r="AK366" s="2">
        <v>5536.92</v>
      </c>
      <c r="AL366" s="2">
        <v>2971.61</v>
      </c>
      <c r="AM366" s="5">
        <v>1701.71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11435.47</v>
      </c>
      <c r="AT366" s="12">
        <v>10210.240000000002</v>
      </c>
      <c r="AU366" s="2">
        <v>0</v>
      </c>
      <c r="AV366" s="5">
        <v>952.96</v>
      </c>
      <c r="AX366" s="2">
        <v>124027</v>
      </c>
      <c r="AY366" s="2">
        <v>66564</v>
      </c>
      <c r="AZ366" s="2">
        <v>5536.92</v>
      </c>
      <c r="BA366" s="2">
        <v>2971.61</v>
      </c>
      <c r="BB366" s="5">
        <v>1701.71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11435.47</v>
      </c>
      <c r="BI366" s="12">
        <v>10210.240000000002</v>
      </c>
      <c r="BJ366" s="2">
        <v>0</v>
      </c>
      <c r="BK366" s="5">
        <v>952.96</v>
      </c>
      <c r="BL366" s="1" t="s">
        <v>137</v>
      </c>
    </row>
    <row r="367" spans="1:64" x14ac:dyDescent="0.3">
      <c r="A367" t="s">
        <v>255</v>
      </c>
      <c r="B367" s="1" t="s">
        <v>259</v>
      </c>
      <c r="C367" s="9" t="s">
        <v>260</v>
      </c>
      <c r="D367" s="1" t="s">
        <v>95</v>
      </c>
      <c r="E367" s="1" t="s">
        <v>135</v>
      </c>
      <c r="F367" s="10" t="s">
        <v>136</v>
      </c>
      <c r="G367" s="1">
        <v>3.5000000000000003E-2</v>
      </c>
      <c r="H367" s="1">
        <v>0.05</v>
      </c>
      <c r="I367" s="8">
        <v>45608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225228</v>
      </c>
      <c r="AJ367" s="2">
        <v>81871</v>
      </c>
      <c r="AK367" s="2">
        <v>10054.82</v>
      </c>
      <c r="AL367" s="2">
        <v>3654.96</v>
      </c>
      <c r="AM367" s="5">
        <v>2741.96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18425.95</v>
      </c>
      <c r="AT367" s="12">
        <v>16451.739999999998</v>
      </c>
      <c r="AU367" s="2">
        <v>0</v>
      </c>
      <c r="AV367" s="5">
        <v>1535.5</v>
      </c>
      <c r="AX367" s="2">
        <v>225228</v>
      </c>
      <c r="AY367" s="2">
        <v>81871</v>
      </c>
      <c r="AZ367" s="2">
        <v>10054.82</v>
      </c>
      <c r="BA367" s="2">
        <v>3654.96</v>
      </c>
      <c r="BB367" s="5">
        <v>2741.96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18425.95</v>
      </c>
      <c r="BI367" s="12">
        <v>16451.739999999998</v>
      </c>
      <c r="BJ367" s="2">
        <v>0</v>
      </c>
      <c r="BK367" s="5">
        <v>1535.5</v>
      </c>
      <c r="BL367" s="1" t="s">
        <v>137</v>
      </c>
    </row>
    <row r="368" spans="1:64" x14ac:dyDescent="0.3">
      <c r="A368" t="s">
        <v>278</v>
      </c>
      <c r="B368" s="1" t="s">
        <v>278</v>
      </c>
      <c r="C368" s="9" t="s">
        <v>279</v>
      </c>
      <c r="D368" s="1" t="s">
        <v>95</v>
      </c>
      <c r="E368" s="1" t="s">
        <v>88</v>
      </c>
      <c r="F368" s="10" t="s">
        <v>218</v>
      </c>
      <c r="G368" s="1">
        <v>3.5000000000000003E-2</v>
      </c>
      <c r="H368" s="1">
        <v>0.05</v>
      </c>
      <c r="I368" s="8">
        <v>44262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300427</v>
      </c>
      <c r="AJ368" s="2">
        <v>76442</v>
      </c>
      <c r="AK368" s="2">
        <v>13411.92</v>
      </c>
      <c r="AL368" s="2">
        <v>3412.59</v>
      </c>
      <c r="AM368" s="5">
        <v>3364.9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22612.14</v>
      </c>
      <c r="AT368" s="12">
        <v>20189.410000000003</v>
      </c>
      <c r="AU368" s="2">
        <v>0</v>
      </c>
      <c r="AV368" s="5">
        <v>1884.34</v>
      </c>
      <c r="AX368" s="2">
        <v>300427</v>
      </c>
      <c r="AY368" s="2">
        <v>76442</v>
      </c>
      <c r="AZ368" s="2">
        <v>13411.92</v>
      </c>
      <c r="BA368" s="2">
        <v>3412.59</v>
      </c>
      <c r="BB368" s="5">
        <v>3364.9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22612.14</v>
      </c>
      <c r="BI368" s="12">
        <v>20189.410000000003</v>
      </c>
      <c r="BJ368" s="2">
        <v>0</v>
      </c>
      <c r="BK368" s="5">
        <v>1884.34</v>
      </c>
      <c r="BL368" s="1" t="s">
        <v>90</v>
      </c>
    </row>
    <row r="369" spans="1:64" x14ac:dyDescent="0.3">
      <c r="A369" t="s">
        <v>282</v>
      </c>
      <c r="B369" s="1" t="s">
        <v>282</v>
      </c>
      <c r="C369" s="9" t="s">
        <v>283</v>
      </c>
      <c r="D369" s="1" t="s">
        <v>95</v>
      </c>
      <c r="E369" s="1" t="s">
        <v>135</v>
      </c>
      <c r="F369" s="10" t="s">
        <v>193</v>
      </c>
      <c r="G369" s="1">
        <v>3.5000000000000003E-2</v>
      </c>
      <c r="H369" s="1">
        <v>0.05</v>
      </c>
      <c r="I369" s="8">
        <v>45496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928386</v>
      </c>
      <c r="AJ369" s="2">
        <v>369612</v>
      </c>
      <c r="AK369" s="2">
        <v>41445.800000000003</v>
      </c>
      <c r="AL369" s="2">
        <v>16500.54</v>
      </c>
      <c r="AM369" s="5">
        <v>11589.27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77879.88</v>
      </c>
      <c r="AT369" s="12">
        <v>69535.61</v>
      </c>
      <c r="AU369" s="2">
        <v>0</v>
      </c>
      <c r="AV369" s="5">
        <v>6489.99</v>
      </c>
      <c r="AX369" s="2">
        <v>928386</v>
      </c>
      <c r="AY369" s="2">
        <v>369612</v>
      </c>
      <c r="AZ369" s="2">
        <v>41445.800000000003</v>
      </c>
      <c r="BA369" s="2">
        <v>16500.54</v>
      </c>
      <c r="BB369" s="5">
        <v>11589.27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77879.88</v>
      </c>
      <c r="BI369" s="12">
        <v>69535.61</v>
      </c>
      <c r="BJ369" s="2">
        <v>0</v>
      </c>
      <c r="BK369" s="5">
        <v>6489.99</v>
      </c>
      <c r="BL369" s="1" t="s">
        <v>137</v>
      </c>
    </row>
    <row r="370" spans="1:64" x14ac:dyDescent="0.3">
      <c r="A370" t="s">
        <v>282</v>
      </c>
      <c r="B370" s="1" t="s">
        <v>284</v>
      </c>
      <c r="C370" s="9" t="s">
        <v>285</v>
      </c>
      <c r="D370" s="1" t="s">
        <v>95</v>
      </c>
      <c r="E370" s="1" t="s">
        <v>135</v>
      </c>
      <c r="F370" s="10" t="s">
        <v>193</v>
      </c>
      <c r="G370" s="1">
        <v>3.5000000000000003E-2</v>
      </c>
      <c r="H370" s="1">
        <v>0.05</v>
      </c>
      <c r="I370" s="8">
        <v>45496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515632</v>
      </c>
      <c r="AJ370" s="2">
        <v>325276</v>
      </c>
      <c r="AK370" s="2">
        <v>23019.29</v>
      </c>
      <c r="AL370" s="2">
        <v>14521.25</v>
      </c>
      <c r="AM370" s="5">
        <v>7508.11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50454.49</v>
      </c>
      <c r="AT370" s="12">
        <v>45048.65</v>
      </c>
      <c r="AU370" s="2">
        <v>0</v>
      </c>
      <c r="AV370" s="5">
        <v>4204.54</v>
      </c>
      <c r="AX370" s="2">
        <v>515632</v>
      </c>
      <c r="AY370" s="2">
        <v>325276</v>
      </c>
      <c r="AZ370" s="2">
        <v>23019.29</v>
      </c>
      <c r="BA370" s="2">
        <v>14521.25</v>
      </c>
      <c r="BB370" s="5">
        <v>7508.11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50454.49</v>
      </c>
      <c r="BI370" s="12">
        <v>45048.65</v>
      </c>
      <c r="BJ370" s="2">
        <v>0</v>
      </c>
      <c r="BK370" s="5">
        <v>4204.54</v>
      </c>
      <c r="BL370" s="1" t="s">
        <v>137</v>
      </c>
    </row>
    <row r="371" spans="1:64" x14ac:dyDescent="0.3">
      <c r="A371" t="s">
        <v>282</v>
      </c>
      <c r="B371" s="1" t="s">
        <v>286</v>
      </c>
      <c r="C371" s="9" t="s">
        <v>287</v>
      </c>
      <c r="D371" s="1" t="s">
        <v>95</v>
      </c>
      <c r="E371" s="1" t="s">
        <v>135</v>
      </c>
      <c r="F371" s="10" t="s">
        <v>193</v>
      </c>
      <c r="G371" s="1">
        <v>0</v>
      </c>
      <c r="H371" s="1">
        <v>0.05</v>
      </c>
      <c r="I371" s="8">
        <v>45496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281678</v>
      </c>
      <c r="AJ371" s="2">
        <v>149762</v>
      </c>
      <c r="AK371" s="2">
        <v>12574.91</v>
      </c>
      <c r="AL371" s="2">
        <v>6685.8</v>
      </c>
      <c r="AM371" s="5">
        <v>3852.14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25886.39</v>
      </c>
      <c r="AT371" s="12">
        <v>23112.85</v>
      </c>
      <c r="AU371" s="2">
        <v>0</v>
      </c>
      <c r="AV371" s="5">
        <v>2157.1999999999998</v>
      </c>
      <c r="AX371" s="2">
        <v>281678</v>
      </c>
      <c r="AY371" s="2">
        <v>149762</v>
      </c>
      <c r="AZ371" s="2">
        <v>12574.91</v>
      </c>
      <c r="BA371" s="2">
        <v>6685.8</v>
      </c>
      <c r="BB371" s="5">
        <v>3852.14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25886.39</v>
      </c>
      <c r="BI371" s="12">
        <v>23112.85</v>
      </c>
      <c r="BJ371" s="2">
        <v>0</v>
      </c>
      <c r="BK371" s="5">
        <v>2157.1999999999998</v>
      </c>
      <c r="BL371" s="1" t="s">
        <v>137</v>
      </c>
    </row>
    <row r="372" spans="1:64" x14ac:dyDescent="0.3">
      <c r="A372" t="s">
        <v>298</v>
      </c>
      <c r="B372" s="1" t="s">
        <v>298</v>
      </c>
      <c r="C372" s="9" t="s">
        <v>299</v>
      </c>
      <c r="D372" s="1" t="s">
        <v>95</v>
      </c>
      <c r="E372" s="1" t="s">
        <v>88</v>
      </c>
      <c r="F372" s="10" t="s">
        <v>218</v>
      </c>
      <c r="G372" s="1">
        <v>3.5000000000000003E-2</v>
      </c>
      <c r="H372" s="1">
        <v>0.05</v>
      </c>
      <c r="I372" s="8">
        <v>44000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441164</v>
      </c>
      <c r="AJ372" s="2">
        <v>167560</v>
      </c>
      <c r="AK372" s="2">
        <v>19694.82</v>
      </c>
      <c r="AL372" s="2">
        <v>7480.36</v>
      </c>
      <c r="AM372" s="5">
        <v>5435.04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36523.449999999997</v>
      </c>
      <c r="AT372" s="12">
        <v>32610.22</v>
      </c>
      <c r="AU372" s="2">
        <v>0</v>
      </c>
      <c r="AV372" s="5">
        <v>3043.62</v>
      </c>
      <c r="AX372" s="2">
        <v>441164</v>
      </c>
      <c r="AY372" s="2">
        <v>167560</v>
      </c>
      <c r="AZ372" s="2">
        <v>19694.82</v>
      </c>
      <c r="BA372" s="2">
        <v>7480.36</v>
      </c>
      <c r="BB372" s="5">
        <v>5435.04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36523.449999999997</v>
      </c>
      <c r="BI372" s="12">
        <v>32610.22</v>
      </c>
      <c r="BJ372" s="2">
        <v>0</v>
      </c>
      <c r="BK372" s="5">
        <v>3043.62</v>
      </c>
      <c r="BL372" s="1" t="s">
        <v>90</v>
      </c>
    </row>
    <row r="373" spans="1:64" x14ac:dyDescent="0.3">
      <c r="A373" t="s">
        <v>300</v>
      </c>
      <c r="B373" s="1" t="s">
        <v>300</v>
      </c>
      <c r="C373" s="9" t="s">
        <v>301</v>
      </c>
      <c r="D373" s="1" t="s">
        <v>95</v>
      </c>
      <c r="E373" s="1" t="s">
        <v>135</v>
      </c>
      <c r="F373" s="10" t="s">
        <v>136</v>
      </c>
      <c r="G373" s="1">
        <v>3.5000000000000003E-2</v>
      </c>
      <c r="H373" s="1">
        <v>0.05</v>
      </c>
      <c r="I373" s="8">
        <v>44019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1830668</v>
      </c>
      <c r="AJ373" s="2">
        <v>186567</v>
      </c>
      <c r="AK373" s="2">
        <v>81726.25</v>
      </c>
      <c r="AL373" s="2">
        <v>8328.8799999999992</v>
      </c>
      <c r="AM373" s="5">
        <v>18011.03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121034.1</v>
      </c>
      <c r="AT373" s="12">
        <v>108066.16</v>
      </c>
      <c r="AU373" s="2">
        <v>0</v>
      </c>
      <c r="AV373" s="5">
        <v>10086.18</v>
      </c>
      <c r="AX373" s="2">
        <v>1830668</v>
      </c>
      <c r="AY373" s="2">
        <v>186567</v>
      </c>
      <c r="AZ373" s="2">
        <v>81726.25</v>
      </c>
      <c r="BA373" s="2">
        <v>8328.8799999999992</v>
      </c>
      <c r="BB373" s="5">
        <v>18011.03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121034.1</v>
      </c>
      <c r="BI373" s="12">
        <v>108066.16</v>
      </c>
      <c r="BJ373" s="2">
        <v>0</v>
      </c>
      <c r="BK373" s="5">
        <v>10086.18</v>
      </c>
      <c r="BL373" s="1" t="s">
        <v>302</v>
      </c>
    </row>
    <row r="374" spans="1:64" x14ac:dyDescent="0.3">
      <c r="A374" t="s">
        <v>300</v>
      </c>
      <c r="B374" s="1" t="s">
        <v>303</v>
      </c>
      <c r="C374" s="9" t="s">
        <v>304</v>
      </c>
      <c r="D374" s="1" t="s">
        <v>95</v>
      </c>
      <c r="E374" s="1" t="s">
        <v>135</v>
      </c>
      <c r="F374" s="10" t="s">
        <v>136</v>
      </c>
      <c r="G374" s="1">
        <v>3.5000000000000003E-2</v>
      </c>
      <c r="H374" s="1">
        <v>0.05</v>
      </c>
      <c r="I374" s="8">
        <v>44019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0</v>
      </c>
      <c r="AJ374" s="2">
        <v>0</v>
      </c>
      <c r="AK374" s="2">
        <v>0</v>
      </c>
      <c r="AL374" s="2">
        <v>0</v>
      </c>
      <c r="AM374" s="5">
        <v>0</v>
      </c>
      <c r="AN374" s="12">
        <v>404954.39999999997</v>
      </c>
      <c r="AO374" s="2">
        <v>82522.8</v>
      </c>
      <c r="AP374" s="2">
        <v>18078.32</v>
      </c>
      <c r="AQ374" s="2">
        <v>3684.05</v>
      </c>
      <c r="AR374" s="5">
        <v>4352.47</v>
      </c>
      <c r="AS374" s="2">
        <v>29248.62</v>
      </c>
      <c r="AT374" s="12">
        <v>26114.84</v>
      </c>
      <c r="AU374" s="2">
        <v>0</v>
      </c>
      <c r="AV374" s="5">
        <v>2437.39</v>
      </c>
      <c r="AX374" s="2">
        <v>0</v>
      </c>
      <c r="AY374" s="2">
        <v>0</v>
      </c>
      <c r="AZ374" s="2">
        <v>0</v>
      </c>
      <c r="BA374" s="2">
        <v>0</v>
      </c>
      <c r="BB374" s="5">
        <v>0</v>
      </c>
      <c r="BC374" s="12">
        <v>404954.39999999997</v>
      </c>
      <c r="BD374" s="2">
        <v>82522.8</v>
      </c>
      <c r="BE374" s="2">
        <v>18078.32</v>
      </c>
      <c r="BF374" s="2">
        <v>3684.05</v>
      </c>
      <c r="BG374" s="5">
        <v>4352.47</v>
      </c>
      <c r="BH374" s="2">
        <v>29248.62</v>
      </c>
      <c r="BI374" s="12">
        <v>26114.84</v>
      </c>
      <c r="BJ374" s="2">
        <v>0</v>
      </c>
      <c r="BK374" s="5">
        <v>2437.39</v>
      </c>
      <c r="BL374" s="1" t="s">
        <v>302</v>
      </c>
    </row>
    <row r="375" spans="1:64" x14ac:dyDescent="0.3">
      <c r="A375" t="s">
        <v>300</v>
      </c>
      <c r="B375" s="1" t="s">
        <v>305</v>
      </c>
      <c r="C375" s="9" t="s">
        <v>306</v>
      </c>
      <c r="D375" s="1" t="s">
        <v>95</v>
      </c>
      <c r="E375" s="1" t="s">
        <v>135</v>
      </c>
      <c r="F375" s="10" t="s">
        <v>136</v>
      </c>
      <c r="G375" s="1">
        <v>0</v>
      </c>
      <c r="H375" s="1">
        <v>0.05</v>
      </c>
      <c r="I375" s="8">
        <v>45767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0</v>
      </c>
      <c r="AJ375" s="2">
        <v>0</v>
      </c>
      <c r="AK375" s="2">
        <v>0</v>
      </c>
      <c r="AL375" s="2">
        <v>0</v>
      </c>
      <c r="AM375" s="5">
        <v>0</v>
      </c>
      <c r="AN375" s="12">
        <v>265525.2</v>
      </c>
      <c r="AO375" s="2">
        <v>0</v>
      </c>
      <c r="AP375" s="2">
        <v>4346.3900000000003</v>
      </c>
      <c r="AQ375" s="2">
        <v>0</v>
      </c>
      <c r="AR375" s="5">
        <v>2370.7600000000002</v>
      </c>
      <c r="AS375" s="2">
        <v>7523.21</v>
      </c>
      <c r="AT375" s="12">
        <v>6717.1500000000005</v>
      </c>
      <c r="AU375" s="2">
        <v>0</v>
      </c>
      <c r="AV375" s="5">
        <v>1327.63</v>
      </c>
      <c r="AX375" s="2">
        <v>0</v>
      </c>
      <c r="AY375" s="2">
        <v>0</v>
      </c>
      <c r="AZ375" s="2">
        <v>0</v>
      </c>
      <c r="BA375" s="2">
        <v>0</v>
      </c>
      <c r="BB375" s="5">
        <v>0</v>
      </c>
      <c r="BC375" s="12">
        <v>265525.2</v>
      </c>
      <c r="BD375" s="2">
        <v>0</v>
      </c>
      <c r="BE375" s="2">
        <v>4346.3900000000003</v>
      </c>
      <c r="BF375" s="2">
        <v>0</v>
      </c>
      <c r="BG375" s="5">
        <v>2370.7600000000002</v>
      </c>
      <c r="BH375" s="2">
        <v>7523.21</v>
      </c>
      <c r="BI375" s="12">
        <v>6717.1500000000005</v>
      </c>
      <c r="BJ375" s="2">
        <v>0</v>
      </c>
      <c r="BK375" s="5">
        <v>1327.63</v>
      </c>
      <c r="BL375" s="1" t="s">
        <v>302</v>
      </c>
    </row>
    <row r="376" spans="1:64" x14ac:dyDescent="0.3">
      <c r="A376" t="s">
        <v>307</v>
      </c>
      <c r="B376" s="1" t="s">
        <v>307</v>
      </c>
      <c r="C376" s="9" t="s">
        <v>308</v>
      </c>
      <c r="D376" s="1" t="s">
        <v>95</v>
      </c>
      <c r="E376" s="1" t="s">
        <v>128</v>
      </c>
      <c r="F376" s="10" t="s">
        <v>309</v>
      </c>
      <c r="G376" s="1">
        <v>3.5000000000000003E-2</v>
      </c>
      <c r="H376" s="1">
        <v>0.05</v>
      </c>
      <c r="I376" s="8">
        <v>44040</v>
      </c>
      <c r="J376" s="6">
        <v>212348</v>
      </c>
      <c r="K376" s="6">
        <v>27969</v>
      </c>
      <c r="L376" s="6">
        <v>9479.82</v>
      </c>
      <c r="M376" s="6">
        <v>1248.6100000000006</v>
      </c>
      <c r="N376" s="7">
        <v>2145.6899999999996</v>
      </c>
      <c r="O376" s="6">
        <v>-251607.37</v>
      </c>
      <c r="P376" s="6">
        <v>-14047.39</v>
      </c>
      <c r="Q376" s="6">
        <v>-11232.47</v>
      </c>
      <c r="R376" s="6">
        <v>-627.12</v>
      </c>
      <c r="S376" s="7">
        <v>-2371.92</v>
      </c>
      <c r="T376" s="11">
        <v>-1520.2799999999988</v>
      </c>
      <c r="U376" s="6">
        <v>-1357.3899999999994</v>
      </c>
      <c r="V376" s="6">
        <v>0</v>
      </c>
      <c r="W376" s="6">
        <v>-126.6899999999996</v>
      </c>
      <c r="AI376" s="2">
        <v>923105</v>
      </c>
      <c r="AJ376" s="2">
        <v>115787</v>
      </c>
      <c r="AK376" s="2">
        <v>41210.04</v>
      </c>
      <c r="AL376" s="2">
        <v>5169.0600000000004</v>
      </c>
      <c r="AM376" s="5">
        <v>9275.82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62333.51</v>
      </c>
      <c r="AT376" s="12">
        <v>55654.92</v>
      </c>
      <c r="AU376" s="2">
        <v>0</v>
      </c>
      <c r="AV376" s="5">
        <v>5194.46</v>
      </c>
      <c r="AX376" s="2">
        <v>710757</v>
      </c>
      <c r="AY376" s="2">
        <v>87818</v>
      </c>
      <c r="AZ376" s="2">
        <v>31730.22</v>
      </c>
      <c r="BA376" s="2">
        <v>3920.45</v>
      </c>
      <c r="BB376" s="5">
        <v>7130.13</v>
      </c>
      <c r="BC376" s="12">
        <v>251607.37</v>
      </c>
      <c r="BD376" s="2">
        <v>14047.39</v>
      </c>
      <c r="BE376" s="2">
        <v>11232.47</v>
      </c>
      <c r="BF376" s="2">
        <v>627.12</v>
      </c>
      <c r="BG376" s="5">
        <v>2371.92</v>
      </c>
      <c r="BH376" s="2">
        <v>63853.79</v>
      </c>
      <c r="BI376" s="12">
        <v>57012.31</v>
      </c>
      <c r="BJ376" s="2">
        <v>0</v>
      </c>
      <c r="BK376" s="5">
        <v>5321.15</v>
      </c>
      <c r="BL376" s="1" t="s">
        <v>130</v>
      </c>
    </row>
    <row r="377" spans="1:64" x14ac:dyDescent="0.3">
      <c r="A377" t="s">
        <v>307</v>
      </c>
      <c r="B377" s="1" t="s">
        <v>310</v>
      </c>
      <c r="C377" s="9" t="s">
        <v>311</v>
      </c>
      <c r="D377" s="1" t="s">
        <v>95</v>
      </c>
      <c r="E377" s="1" t="s">
        <v>128</v>
      </c>
      <c r="F377" s="10" t="s">
        <v>309</v>
      </c>
      <c r="G377" s="1">
        <v>3.5000000000000003E-2</v>
      </c>
      <c r="H377" s="1">
        <v>0.05</v>
      </c>
      <c r="I377" s="8">
        <v>44040</v>
      </c>
      <c r="J377" s="6">
        <v>102471</v>
      </c>
      <c r="K377" s="6">
        <v>7443</v>
      </c>
      <c r="L377" s="6">
        <v>4574.5899999999983</v>
      </c>
      <c r="M377" s="6">
        <v>332.28</v>
      </c>
      <c r="N377" s="7">
        <v>981.37999999999965</v>
      </c>
      <c r="O377" s="6">
        <v>-92886.71</v>
      </c>
      <c r="P377" s="6">
        <v>-3596.81</v>
      </c>
      <c r="Q377" s="6">
        <v>-4146.7299999999996</v>
      </c>
      <c r="R377" s="6">
        <v>-160.57</v>
      </c>
      <c r="S377" s="7">
        <v>-861.46</v>
      </c>
      <c r="T377" s="11">
        <v>805.83000000000175</v>
      </c>
      <c r="U377" s="6">
        <v>719.4900000000016</v>
      </c>
      <c r="V377" s="6">
        <v>0</v>
      </c>
      <c r="W377" s="6">
        <v>67.150000000000091</v>
      </c>
      <c r="AI377" s="2">
        <v>424830</v>
      </c>
      <c r="AJ377" s="2">
        <v>31396</v>
      </c>
      <c r="AK377" s="2">
        <v>18965.62</v>
      </c>
      <c r="AL377" s="2">
        <v>1401.61</v>
      </c>
      <c r="AM377" s="5">
        <v>4073.45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27373.56</v>
      </c>
      <c r="AT377" s="12">
        <v>24440.68</v>
      </c>
      <c r="AU377" s="2">
        <v>0</v>
      </c>
      <c r="AV377" s="5">
        <v>2281.13</v>
      </c>
      <c r="AX377" s="2">
        <v>322359</v>
      </c>
      <c r="AY377" s="2">
        <v>23953</v>
      </c>
      <c r="AZ377" s="2">
        <v>14391.03</v>
      </c>
      <c r="BA377" s="2">
        <v>1069.33</v>
      </c>
      <c r="BB377" s="5">
        <v>3092.07</v>
      </c>
      <c r="BC377" s="12">
        <v>92886.71</v>
      </c>
      <c r="BD377" s="2">
        <v>3596.81</v>
      </c>
      <c r="BE377" s="2">
        <v>4146.7299999999996</v>
      </c>
      <c r="BF377" s="2">
        <v>160.57</v>
      </c>
      <c r="BG377" s="5">
        <v>861.46</v>
      </c>
      <c r="BH377" s="2">
        <v>26567.73</v>
      </c>
      <c r="BI377" s="12">
        <v>23721.19</v>
      </c>
      <c r="BJ377" s="2">
        <v>0</v>
      </c>
      <c r="BK377" s="5">
        <v>2213.98</v>
      </c>
      <c r="BL377" s="1" t="s">
        <v>130</v>
      </c>
    </row>
    <row r="378" spans="1:64" x14ac:dyDescent="0.3">
      <c r="A378" t="s">
        <v>323</v>
      </c>
      <c r="B378" s="1" t="s">
        <v>323</v>
      </c>
      <c r="C378" s="9" t="s">
        <v>324</v>
      </c>
      <c r="D378" s="1" t="s">
        <v>95</v>
      </c>
      <c r="E378" s="1" t="s">
        <v>128</v>
      </c>
      <c r="F378" s="10" t="s">
        <v>325</v>
      </c>
      <c r="G378" s="1">
        <v>3.5000000000000003E-2</v>
      </c>
      <c r="H378" s="1">
        <v>0.05</v>
      </c>
      <c r="I378" s="8">
        <v>44424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2422911</v>
      </c>
      <c r="AJ378" s="2">
        <v>159918</v>
      </c>
      <c r="AK378" s="2">
        <v>108165.67</v>
      </c>
      <c r="AL378" s="2">
        <v>7139.2</v>
      </c>
      <c r="AM378" s="5">
        <v>23060.97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154969.74</v>
      </c>
      <c r="AT378" s="12">
        <v>138365.84</v>
      </c>
      <c r="AU378" s="2">
        <v>0</v>
      </c>
      <c r="AV378" s="5">
        <v>12914.14</v>
      </c>
      <c r="AX378" s="2">
        <v>2422911</v>
      </c>
      <c r="AY378" s="2">
        <v>159918</v>
      </c>
      <c r="AZ378" s="2">
        <v>108165.67</v>
      </c>
      <c r="BA378" s="2">
        <v>7139.2</v>
      </c>
      <c r="BB378" s="5">
        <v>23060.97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154969.74</v>
      </c>
      <c r="BI378" s="12">
        <v>138365.84</v>
      </c>
      <c r="BJ378" s="2">
        <v>0</v>
      </c>
      <c r="BK378" s="5">
        <v>12914.14</v>
      </c>
      <c r="BL378" s="1" t="s">
        <v>326</v>
      </c>
    </row>
    <row r="379" spans="1:64" x14ac:dyDescent="0.3">
      <c r="A379" t="s">
        <v>342</v>
      </c>
      <c r="B379" s="1" t="s">
        <v>342</v>
      </c>
      <c r="C379" s="9" t="s">
        <v>343</v>
      </c>
      <c r="D379" s="1" t="s">
        <v>95</v>
      </c>
      <c r="E379" s="1" t="s">
        <v>128</v>
      </c>
      <c r="F379" s="10" t="s">
        <v>147</v>
      </c>
      <c r="G379" s="1">
        <v>0.04</v>
      </c>
      <c r="H379" s="1">
        <v>0.05</v>
      </c>
      <c r="I379" s="8">
        <v>44615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479202</v>
      </c>
      <c r="AJ379" s="2">
        <v>71727</v>
      </c>
      <c r="AK379" s="2">
        <v>21392.95</v>
      </c>
      <c r="AL379" s="2">
        <v>3202.1</v>
      </c>
      <c r="AM379" s="5">
        <v>4919.01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33055.75</v>
      </c>
      <c r="AT379" s="12">
        <v>29514.059999999998</v>
      </c>
      <c r="AU379" s="2">
        <v>0</v>
      </c>
      <c r="AV379" s="5">
        <v>2754.64</v>
      </c>
      <c r="AX379" s="2">
        <v>479202</v>
      </c>
      <c r="AY379" s="2">
        <v>71727</v>
      </c>
      <c r="AZ379" s="2">
        <v>21392.95</v>
      </c>
      <c r="BA379" s="2">
        <v>3202.1</v>
      </c>
      <c r="BB379" s="5">
        <v>4919.01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33055.75</v>
      </c>
      <c r="BI379" s="12">
        <v>29514.059999999998</v>
      </c>
      <c r="BJ379" s="2">
        <v>0</v>
      </c>
      <c r="BK379" s="5">
        <v>2754.64</v>
      </c>
      <c r="BL379" s="1" t="s">
        <v>130</v>
      </c>
    </row>
    <row r="380" spans="1:64" x14ac:dyDescent="0.3">
      <c r="A380" t="s">
        <v>342</v>
      </c>
      <c r="B380" s="1" t="s">
        <v>344</v>
      </c>
      <c r="C380" s="9" t="s">
        <v>345</v>
      </c>
      <c r="D380" s="1" t="s">
        <v>95</v>
      </c>
      <c r="E380" s="1" t="s">
        <v>128</v>
      </c>
      <c r="F380" s="10" t="s">
        <v>147</v>
      </c>
      <c r="G380" s="1">
        <v>0.04</v>
      </c>
      <c r="H380" s="1">
        <v>0.05</v>
      </c>
      <c r="I380" s="8">
        <v>44615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398336</v>
      </c>
      <c r="AJ380" s="2">
        <v>79066</v>
      </c>
      <c r="AK380" s="2">
        <v>17782.86</v>
      </c>
      <c r="AL380" s="2">
        <v>3529.73</v>
      </c>
      <c r="AM380" s="5">
        <v>4262.5200000000004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28644.12</v>
      </c>
      <c r="AT380" s="12">
        <v>25575.11</v>
      </c>
      <c r="AU380" s="2">
        <v>0</v>
      </c>
      <c r="AV380" s="5">
        <v>2387.0100000000002</v>
      </c>
      <c r="AX380" s="2">
        <v>398336</v>
      </c>
      <c r="AY380" s="2">
        <v>79066</v>
      </c>
      <c r="AZ380" s="2">
        <v>17782.86</v>
      </c>
      <c r="BA380" s="2">
        <v>3529.73</v>
      </c>
      <c r="BB380" s="5">
        <v>4262.5200000000004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28644.12</v>
      </c>
      <c r="BI380" s="12">
        <v>25575.11</v>
      </c>
      <c r="BJ380" s="2">
        <v>0</v>
      </c>
      <c r="BK380" s="5">
        <v>2387.0100000000002</v>
      </c>
      <c r="BL380" s="1" t="s">
        <v>130</v>
      </c>
    </row>
    <row r="381" spans="1:64" x14ac:dyDescent="0.3">
      <c r="A381" t="s">
        <v>346</v>
      </c>
      <c r="B381" s="1" t="s">
        <v>346</v>
      </c>
      <c r="C381" s="9" t="s">
        <v>347</v>
      </c>
      <c r="D381" s="1" t="s">
        <v>95</v>
      </c>
      <c r="E381" s="1" t="s">
        <v>135</v>
      </c>
      <c r="F381" s="10" t="s">
        <v>348</v>
      </c>
      <c r="G381" s="1">
        <v>0.04</v>
      </c>
      <c r="H381" s="1">
        <v>0.05</v>
      </c>
      <c r="I381" s="8">
        <v>44630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195519</v>
      </c>
      <c r="AJ381" s="2">
        <v>52913</v>
      </c>
      <c r="AK381" s="2">
        <v>8728.5300000000007</v>
      </c>
      <c r="AL381" s="2">
        <v>2362.19</v>
      </c>
      <c r="AM381" s="5">
        <v>2218.14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14905.92</v>
      </c>
      <c r="AT381" s="12">
        <v>13308.86</v>
      </c>
      <c r="AU381" s="2">
        <v>0</v>
      </c>
      <c r="AV381" s="5">
        <v>1242.1600000000001</v>
      </c>
      <c r="AX381" s="2">
        <v>195519</v>
      </c>
      <c r="AY381" s="2">
        <v>52913</v>
      </c>
      <c r="AZ381" s="2">
        <v>8728.5300000000007</v>
      </c>
      <c r="BA381" s="2">
        <v>2362.19</v>
      </c>
      <c r="BB381" s="5">
        <v>2218.14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14905.92</v>
      </c>
      <c r="BI381" s="12">
        <v>13308.86</v>
      </c>
      <c r="BJ381" s="2">
        <v>0</v>
      </c>
      <c r="BK381" s="5">
        <v>1242.1600000000001</v>
      </c>
      <c r="BL381" s="1" t="s">
        <v>137</v>
      </c>
    </row>
    <row r="382" spans="1:64" x14ac:dyDescent="0.3">
      <c r="A382" t="s">
        <v>346</v>
      </c>
      <c r="B382" s="1" t="s">
        <v>349</v>
      </c>
      <c r="C382" s="9" t="s">
        <v>350</v>
      </c>
      <c r="D382" s="1" t="s">
        <v>95</v>
      </c>
      <c r="E382" s="1" t="s">
        <v>135</v>
      </c>
      <c r="F382" s="10" t="s">
        <v>348</v>
      </c>
      <c r="G382" s="1">
        <v>0</v>
      </c>
      <c r="H382" s="1">
        <v>0.05</v>
      </c>
      <c r="I382" s="8">
        <v>44630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65817</v>
      </c>
      <c r="AJ382" s="2">
        <v>27409</v>
      </c>
      <c r="AK382" s="2">
        <v>2938.26</v>
      </c>
      <c r="AL382" s="2">
        <v>1223.6199999999999</v>
      </c>
      <c r="AM382" s="5">
        <v>832.37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5593.56</v>
      </c>
      <c r="AT382" s="12">
        <v>4994.25</v>
      </c>
      <c r="AU382" s="2">
        <v>0</v>
      </c>
      <c r="AV382" s="5">
        <v>466.13</v>
      </c>
      <c r="AX382" s="2">
        <v>65817</v>
      </c>
      <c r="AY382" s="2">
        <v>27409</v>
      </c>
      <c r="AZ382" s="2">
        <v>2938.26</v>
      </c>
      <c r="BA382" s="2">
        <v>1223.6199999999999</v>
      </c>
      <c r="BB382" s="5">
        <v>832.37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5593.56</v>
      </c>
      <c r="BI382" s="12">
        <v>4994.25</v>
      </c>
      <c r="BJ382" s="2">
        <v>0</v>
      </c>
      <c r="BK382" s="5">
        <v>466.13</v>
      </c>
      <c r="BL382" s="1" t="s">
        <v>137</v>
      </c>
    </row>
    <row r="383" spans="1:64" x14ac:dyDescent="0.3">
      <c r="A383" t="s">
        <v>353</v>
      </c>
      <c r="B383" s="1" t="s">
        <v>353</v>
      </c>
      <c r="C383" s="9" t="s">
        <v>354</v>
      </c>
      <c r="D383" s="1" t="s">
        <v>95</v>
      </c>
      <c r="E383" s="1" t="s">
        <v>128</v>
      </c>
      <c r="F383" s="10" t="s">
        <v>355</v>
      </c>
      <c r="G383" s="1">
        <v>0.04</v>
      </c>
      <c r="H383" s="1">
        <v>0.05</v>
      </c>
      <c r="I383" s="8">
        <v>44679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595479</v>
      </c>
      <c r="AJ383" s="2">
        <v>58100</v>
      </c>
      <c r="AK383" s="2">
        <v>26583.88</v>
      </c>
      <c r="AL383" s="2">
        <v>2593.75</v>
      </c>
      <c r="AM383" s="5">
        <v>5835.53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39214.74</v>
      </c>
      <c r="AT383" s="12">
        <v>35013.160000000003</v>
      </c>
      <c r="AU383" s="2">
        <v>0</v>
      </c>
      <c r="AV383" s="5">
        <v>3267.9</v>
      </c>
      <c r="AX383" s="2">
        <v>595479</v>
      </c>
      <c r="AY383" s="2">
        <v>58100</v>
      </c>
      <c r="AZ383" s="2">
        <v>26583.88</v>
      </c>
      <c r="BA383" s="2">
        <v>2593.75</v>
      </c>
      <c r="BB383" s="5">
        <v>5835.53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39214.74</v>
      </c>
      <c r="BI383" s="12">
        <v>35013.160000000003</v>
      </c>
      <c r="BJ383" s="2">
        <v>0</v>
      </c>
      <c r="BK383" s="5">
        <v>3267.9</v>
      </c>
      <c r="BL383" s="1" t="s">
        <v>130</v>
      </c>
    </row>
    <row r="384" spans="1:64" x14ac:dyDescent="0.3">
      <c r="A384" t="s">
        <v>353</v>
      </c>
      <c r="B384" s="1" t="s">
        <v>356</v>
      </c>
      <c r="C384" s="9" t="s">
        <v>357</v>
      </c>
      <c r="D384" s="1" t="s">
        <v>95</v>
      </c>
      <c r="E384" s="1" t="s">
        <v>128</v>
      </c>
      <c r="F384" s="10" t="s">
        <v>355</v>
      </c>
      <c r="G384" s="1">
        <v>0</v>
      </c>
      <c r="H384" s="1">
        <v>0.05</v>
      </c>
      <c r="I384" s="8">
        <v>45011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1887121</v>
      </c>
      <c r="AJ384" s="2">
        <v>66845</v>
      </c>
      <c r="AK384" s="2">
        <v>84246.47</v>
      </c>
      <c r="AL384" s="2">
        <v>2984.15</v>
      </c>
      <c r="AM384" s="5">
        <v>17446.12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117237.95</v>
      </c>
      <c r="AT384" s="12">
        <v>104676.73999999999</v>
      </c>
      <c r="AU384" s="2">
        <v>0</v>
      </c>
      <c r="AV384" s="5">
        <v>9769.83</v>
      </c>
      <c r="AX384" s="2">
        <v>1887121</v>
      </c>
      <c r="AY384" s="2">
        <v>66845</v>
      </c>
      <c r="AZ384" s="2">
        <v>84246.47</v>
      </c>
      <c r="BA384" s="2">
        <v>2984.15</v>
      </c>
      <c r="BB384" s="5">
        <v>17446.12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117237.95</v>
      </c>
      <c r="BI384" s="12">
        <v>104676.73999999999</v>
      </c>
      <c r="BJ384" s="2">
        <v>0</v>
      </c>
      <c r="BK384" s="5">
        <v>9769.83</v>
      </c>
      <c r="BL384" s="1" t="s">
        <v>130</v>
      </c>
    </row>
    <row r="385" spans="1:64" x14ac:dyDescent="0.3">
      <c r="A385" t="s">
        <v>353</v>
      </c>
      <c r="B385" s="1" t="s">
        <v>358</v>
      </c>
      <c r="C385" s="9" t="s">
        <v>359</v>
      </c>
      <c r="D385" s="1" t="s">
        <v>95</v>
      </c>
      <c r="E385" s="1" t="s">
        <v>128</v>
      </c>
      <c r="F385" s="10" t="s">
        <v>355</v>
      </c>
      <c r="G385" s="1">
        <v>0</v>
      </c>
      <c r="H385" s="1">
        <v>0.05</v>
      </c>
      <c r="I385" s="8">
        <v>45503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584778</v>
      </c>
      <c r="AJ385" s="2">
        <v>33210</v>
      </c>
      <c r="AK385" s="2">
        <v>26106.16</v>
      </c>
      <c r="AL385" s="2">
        <v>1482.59</v>
      </c>
      <c r="AM385" s="5">
        <v>5517.75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37079.279999999999</v>
      </c>
      <c r="AT385" s="12">
        <v>33106.5</v>
      </c>
      <c r="AU385" s="2">
        <v>0</v>
      </c>
      <c r="AV385" s="5">
        <v>3089.94</v>
      </c>
      <c r="AX385" s="2">
        <v>584778</v>
      </c>
      <c r="AY385" s="2">
        <v>33210</v>
      </c>
      <c r="AZ385" s="2">
        <v>26106.16</v>
      </c>
      <c r="BA385" s="2">
        <v>1482.59</v>
      </c>
      <c r="BB385" s="5">
        <v>5517.75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37079.279999999999</v>
      </c>
      <c r="BI385" s="12">
        <v>33106.5</v>
      </c>
      <c r="BJ385" s="2">
        <v>0</v>
      </c>
      <c r="BK385" s="5">
        <v>3089.94</v>
      </c>
      <c r="BL385" s="1" t="s">
        <v>130</v>
      </c>
    </row>
    <row r="386" spans="1:64" x14ac:dyDescent="0.3">
      <c r="A386" t="s">
        <v>360</v>
      </c>
      <c r="B386" s="1" t="s">
        <v>360</v>
      </c>
      <c r="C386" s="9" t="s">
        <v>361</v>
      </c>
      <c r="D386" s="1" t="s">
        <v>95</v>
      </c>
      <c r="E386" s="1" t="s">
        <v>128</v>
      </c>
      <c r="F386" s="10" t="s">
        <v>309</v>
      </c>
      <c r="G386" s="1">
        <v>0.04</v>
      </c>
      <c r="H386" s="1">
        <v>0.05</v>
      </c>
      <c r="I386" s="8">
        <v>44705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341517</v>
      </c>
      <c r="AJ386" s="2">
        <v>49658</v>
      </c>
      <c r="AK386" s="2">
        <v>15246.29</v>
      </c>
      <c r="AL386" s="2">
        <v>2216.88</v>
      </c>
      <c r="AM386" s="5">
        <v>3492.63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23470.5</v>
      </c>
      <c r="AT386" s="12">
        <v>20955.800000000003</v>
      </c>
      <c r="AU386" s="2">
        <v>0</v>
      </c>
      <c r="AV386" s="5">
        <v>1955.88</v>
      </c>
      <c r="AX386" s="2">
        <v>341517</v>
      </c>
      <c r="AY386" s="2">
        <v>49658</v>
      </c>
      <c r="AZ386" s="2">
        <v>15246.29</v>
      </c>
      <c r="BA386" s="2">
        <v>2216.88</v>
      </c>
      <c r="BB386" s="5">
        <v>3492.63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23470.5</v>
      </c>
      <c r="BI386" s="12">
        <v>20955.800000000003</v>
      </c>
      <c r="BJ386" s="2">
        <v>0</v>
      </c>
      <c r="BK386" s="5">
        <v>1955.88</v>
      </c>
      <c r="BL386" s="1" t="s">
        <v>130</v>
      </c>
    </row>
    <row r="387" spans="1:64" x14ac:dyDescent="0.3">
      <c r="A387" t="s">
        <v>362</v>
      </c>
      <c r="B387" s="1" t="s">
        <v>362</v>
      </c>
      <c r="C387" s="9" t="s">
        <v>363</v>
      </c>
      <c r="D387" s="1" t="s">
        <v>95</v>
      </c>
      <c r="E387" s="1" t="s">
        <v>128</v>
      </c>
      <c r="F387" s="10" t="s">
        <v>129</v>
      </c>
      <c r="G387" s="1">
        <v>0.04</v>
      </c>
      <c r="H387" s="1">
        <v>0.05</v>
      </c>
      <c r="I387" s="8">
        <v>44725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385695</v>
      </c>
      <c r="AJ387" s="2">
        <v>30542</v>
      </c>
      <c r="AK387" s="2">
        <v>17218.53</v>
      </c>
      <c r="AL387" s="2">
        <v>1363.48</v>
      </c>
      <c r="AM387" s="5">
        <v>3716.4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24974.22</v>
      </c>
      <c r="AT387" s="12">
        <v>22298.41</v>
      </c>
      <c r="AU387" s="2">
        <v>0</v>
      </c>
      <c r="AV387" s="5">
        <v>2081.1799999999998</v>
      </c>
      <c r="AX387" s="2">
        <v>385695</v>
      </c>
      <c r="AY387" s="2">
        <v>30542</v>
      </c>
      <c r="AZ387" s="2">
        <v>17218.53</v>
      </c>
      <c r="BA387" s="2">
        <v>1363.48</v>
      </c>
      <c r="BB387" s="5">
        <v>3716.4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24974.22</v>
      </c>
      <c r="BI387" s="12">
        <v>22298.41</v>
      </c>
      <c r="BJ387" s="2">
        <v>0</v>
      </c>
      <c r="BK387" s="5">
        <v>2081.1799999999998</v>
      </c>
      <c r="BL387" s="1" t="s">
        <v>326</v>
      </c>
    </row>
    <row r="388" spans="1:64" x14ac:dyDescent="0.3">
      <c r="A388" t="s">
        <v>362</v>
      </c>
      <c r="B388" s="1" t="s">
        <v>364</v>
      </c>
      <c r="C388" s="9" t="s">
        <v>365</v>
      </c>
      <c r="D388" s="1" t="s">
        <v>95</v>
      </c>
      <c r="E388" s="1" t="s">
        <v>128</v>
      </c>
      <c r="F388" s="10" t="s">
        <v>129</v>
      </c>
      <c r="G388" s="1">
        <v>0</v>
      </c>
      <c r="H388" s="1">
        <v>0.05</v>
      </c>
      <c r="I388" s="8">
        <v>44866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216514</v>
      </c>
      <c r="AJ388" s="2">
        <v>2720</v>
      </c>
      <c r="AK388" s="2">
        <v>9665.7999999999993</v>
      </c>
      <c r="AL388" s="2">
        <v>121.43</v>
      </c>
      <c r="AM388" s="5">
        <v>1957.45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13154.04</v>
      </c>
      <c r="AT388" s="12">
        <v>11744.68</v>
      </c>
      <c r="AU388" s="2">
        <v>0</v>
      </c>
      <c r="AV388" s="5">
        <v>1096.17</v>
      </c>
      <c r="AX388" s="2">
        <v>216514</v>
      </c>
      <c r="AY388" s="2">
        <v>2720</v>
      </c>
      <c r="AZ388" s="2">
        <v>9665.7999999999993</v>
      </c>
      <c r="BA388" s="2">
        <v>121.43</v>
      </c>
      <c r="BB388" s="5">
        <v>1957.45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13154.04</v>
      </c>
      <c r="BI388" s="12">
        <v>11744.68</v>
      </c>
      <c r="BJ388" s="2">
        <v>0</v>
      </c>
      <c r="BK388" s="5">
        <v>1096.17</v>
      </c>
      <c r="BL388" s="1" t="s">
        <v>326</v>
      </c>
    </row>
    <row r="389" spans="1:64" x14ac:dyDescent="0.3">
      <c r="A389" t="s">
        <v>366</v>
      </c>
      <c r="B389" s="1" t="s">
        <v>366</v>
      </c>
      <c r="C389" s="9" t="s">
        <v>367</v>
      </c>
      <c r="D389" s="1" t="s">
        <v>95</v>
      </c>
      <c r="E389" s="1" t="s">
        <v>128</v>
      </c>
      <c r="F389" s="10" t="s">
        <v>325</v>
      </c>
      <c r="G389" s="1">
        <v>3.5000000000000003E-2</v>
      </c>
      <c r="H389" s="1">
        <v>0.05</v>
      </c>
      <c r="I389" s="8">
        <v>44741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1770892</v>
      </c>
      <c r="AJ389" s="2">
        <v>237825</v>
      </c>
      <c r="AK389" s="2">
        <v>79057.679999999993</v>
      </c>
      <c r="AL389" s="2">
        <v>10617.19</v>
      </c>
      <c r="AM389" s="5">
        <v>17934.97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120523.02</v>
      </c>
      <c r="AT389" s="12">
        <v>107609.84</v>
      </c>
      <c r="AU389" s="2">
        <v>0</v>
      </c>
      <c r="AV389" s="5">
        <v>10043.59</v>
      </c>
      <c r="AX389" s="2">
        <v>1770892</v>
      </c>
      <c r="AY389" s="2">
        <v>237825</v>
      </c>
      <c r="AZ389" s="2">
        <v>79057.679999999993</v>
      </c>
      <c r="BA389" s="2">
        <v>10617.19</v>
      </c>
      <c r="BB389" s="5">
        <v>17934.97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120523.02</v>
      </c>
      <c r="BI389" s="12">
        <v>107609.84</v>
      </c>
      <c r="BJ389" s="2">
        <v>0</v>
      </c>
      <c r="BK389" s="5">
        <v>10043.59</v>
      </c>
      <c r="BL389" s="1" t="s">
        <v>326</v>
      </c>
    </row>
    <row r="390" spans="1:64" x14ac:dyDescent="0.3">
      <c r="A390" t="s">
        <v>366</v>
      </c>
      <c r="B390" s="1" t="s">
        <v>368</v>
      </c>
      <c r="C390" s="9" t="s">
        <v>369</v>
      </c>
      <c r="D390" s="1" t="s">
        <v>95</v>
      </c>
      <c r="E390" s="1" t="s">
        <v>128</v>
      </c>
      <c r="F390" s="10" t="s">
        <v>325</v>
      </c>
      <c r="G390" s="1">
        <v>3.5000000000000003E-2</v>
      </c>
      <c r="H390" s="1">
        <v>0.05</v>
      </c>
      <c r="I390" s="8">
        <v>44741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1585025</v>
      </c>
      <c r="AJ390" s="2">
        <v>183711</v>
      </c>
      <c r="AK390" s="2">
        <v>70760.039999999994</v>
      </c>
      <c r="AL390" s="2">
        <v>8201.3799999999992</v>
      </c>
      <c r="AM390" s="5">
        <v>15792.29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106124.16</v>
      </c>
      <c r="AT390" s="12">
        <v>94753.709999999992</v>
      </c>
      <c r="AU390" s="2">
        <v>0</v>
      </c>
      <c r="AV390" s="5">
        <v>8843.68</v>
      </c>
      <c r="AX390" s="2">
        <v>1585025</v>
      </c>
      <c r="AY390" s="2">
        <v>183711</v>
      </c>
      <c r="AZ390" s="2">
        <v>70760.039999999994</v>
      </c>
      <c r="BA390" s="2">
        <v>8201.3799999999992</v>
      </c>
      <c r="BB390" s="5">
        <v>15792.29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106124.16</v>
      </c>
      <c r="BI390" s="12">
        <v>94753.709999999992</v>
      </c>
      <c r="BJ390" s="2">
        <v>0</v>
      </c>
      <c r="BK390" s="5">
        <v>8843.68</v>
      </c>
      <c r="BL390" s="1" t="s">
        <v>326</v>
      </c>
    </row>
    <row r="391" spans="1:64" x14ac:dyDescent="0.3">
      <c r="A391" t="s">
        <v>399</v>
      </c>
      <c r="B391" s="1" t="s">
        <v>399</v>
      </c>
      <c r="C391" s="9" t="s">
        <v>400</v>
      </c>
      <c r="D391" s="1" t="s">
        <v>95</v>
      </c>
      <c r="E391" s="1" t="s">
        <v>128</v>
      </c>
      <c r="F391" s="10" t="s">
        <v>401</v>
      </c>
      <c r="G391" s="1">
        <v>4.4999999999999998E-2</v>
      </c>
      <c r="H391" s="1">
        <v>0.05</v>
      </c>
      <c r="I391" s="8">
        <v>45209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731603</v>
      </c>
      <c r="AJ391" s="2">
        <v>50453</v>
      </c>
      <c r="AK391" s="2">
        <v>32660.85</v>
      </c>
      <c r="AL391" s="2">
        <v>2252.37</v>
      </c>
      <c r="AM391" s="5">
        <v>6982.64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46923.360000000001</v>
      </c>
      <c r="AT391" s="12">
        <v>41895.86</v>
      </c>
      <c r="AU391" s="2">
        <v>0</v>
      </c>
      <c r="AV391" s="5">
        <v>3910.28</v>
      </c>
      <c r="AX391" s="2">
        <v>731603</v>
      </c>
      <c r="AY391" s="2">
        <v>50453</v>
      </c>
      <c r="AZ391" s="2">
        <v>32660.85</v>
      </c>
      <c r="BA391" s="2">
        <v>2252.37</v>
      </c>
      <c r="BB391" s="5">
        <v>6982.64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46923.360000000001</v>
      </c>
      <c r="BI391" s="12">
        <v>41895.86</v>
      </c>
      <c r="BJ391" s="2">
        <v>0</v>
      </c>
      <c r="BK391" s="5">
        <v>3910.28</v>
      </c>
      <c r="BL391" s="1" t="s">
        <v>130</v>
      </c>
    </row>
    <row r="392" spans="1:64" x14ac:dyDescent="0.3">
      <c r="A392" t="s">
        <v>399</v>
      </c>
      <c r="B392" s="1" t="s">
        <v>402</v>
      </c>
      <c r="C392" s="9" t="s">
        <v>403</v>
      </c>
      <c r="D392" s="1" t="s">
        <v>95</v>
      </c>
      <c r="E392" s="1" t="s">
        <v>128</v>
      </c>
      <c r="F392" s="10" t="s">
        <v>401</v>
      </c>
      <c r="G392" s="1">
        <v>4.4999999999999998E-2</v>
      </c>
      <c r="H392" s="1">
        <v>0.05</v>
      </c>
      <c r="I392" s="8">
        <v>45209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230640</v>
      </c>
      <c r="AJ392" s="2">
        <v>37147</v>
      </c>
      <c r="AK392" s="2">
        <v>10296.43</v>
      </c>
      <c r="AL392" s="2">
        <v>1658.35</v>
      </c>
      <c r="AM392" s="5">
        <v>2390.96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16067.23</v>
      </c>
      <c r="AT392" s="12">
        <v>14345.740000000002</v>
      </c>
      <c r="AU392" s="2">
        <v>0</v>
      </c>
      <c r="AV392" s="5">
        <v>1338.94</v>
      </c>
      <c r="AX392" s="2">
        <v>230640</v>
      </c>
      <c r="AY392" s="2">
        <v>37147</v>
      </c>
      <c r="AZ392" s="2">
        <v>10296.43</v>
      </c>
      <c r="BA392" s="2">
        <v>1658.35</v>
      </c>
      <c r="BB392" s="5">
        <v>2390.96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16067.23</v>
      </c>
      <c r="BI392" s="12">
        <v>14345.740000000002</v>
      </c>
      <c r="BJ392" s="2">
        <v>0</v>
      </c>
      <c r="BK392" s="5">
        <v>1338.94</v>
      </c>
      <c r="BL392" s="1" t="s">
        <v>130</v>
      </c>
    </row>
    <row r="393" spans="1:64" x14ac:dyDescent="0.3">
      <c r="A393" t="s">
        <v>399</v>
      </c>
      <c r="B393" s="1" t="s">
        <v>404</v>
      </c>
      <c r="C393" s="9" t="s">
        <v>405</v>
      </c>
      <c r="D393" s="1" t="s">
        <v>95</v>
      </c>
      <c r="E393" s="1" t="s">
        <v>128</v>
      </c>
      <c r="F393" s="10" t="s">
        <v>401</v>
      </c>
      <c r="G393" s="1">
        <v>3.5000000000000003E-2</v>
      </c>
      <c r="H393" s="1">
        <v>0.05</v>
      </c>
      <c r="I393" s="8">
        <v>45209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159544</v>
      </c>
      <c r="AJ393" s="2">
        <v>0</v>
      </c>
      <c r="AK393" s="2">
        <v>7122.5</v>
      </c>
      <c r="AL393" s="2">
        <v>0</v>
      </c>
      <c r="AM393" s="5">
        <v>1424.5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9572.64</v>
      </c>
      <c r="AT393" s="12">
        <v>8547</v>
      </c>
      <c r="AU393" s="2">
        <v>0</v>
      </c>
      <c r="AV393" s="5">
        <v>797.72</v>
      </c>
      <c r="AX393" s="2">
        <v>159544</v>
      </c>
      <c r="AY393" s="2">
        <v>0</v>
      </c>
      <c r="AZ393" s="2">
        <v>7122.5</v>
      </c>
      <c r="BA393" s="2">
        <v>0</v>
      </c>
      <c r="BB393" s="5">
        <v>1424.5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9572.64</v>
      </c>
      <c r="BI393" s="12">
        <v>8547</v>
      </c>
      <c r="BJ393" s="2">
        <v>0</v>
      </c>
      <c r="BK393" s="5">
        <v>797.72</v>
      </c>
      <c r="BL393" s="1" t="s">
        <v>130</v>
      </c>
    </row>
    <row r="394" spans="1:64" x14ac:dyDescent="0.3">
      <c r="A394" t="s">
        <v>399</v>
      </c>
      <c r="B394" s="1" t="s">
        <v>406</v>
      </c>
      <c r="C394" s="9" t="s">
        <v>407</v>
      </c>
      <c r="D394" s="1" t="s">
        <v>95</v>
      </c>
      <c r="E394" s="1" t="s">
        <v>128</v>
      </c>
      <c r="F394" s="10" t="s">
        <v>401</v>
      </c>
      <c r="G394" s="1">
        <v>4.4999999999999998E-2</v>
      </c>
      <c r="H394" s="1">
        <v>0.05</v>
      </c>
      <c r="I394" s="8">
        <v>45209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598934</v>
      </c>
      <c r="AJ394" s="2">
        <v>0</v>
      </c>
      <c r="AK394" s="2">
        <v>26738.12</v>
      </c>
      <c r="AL394" s="2">
        <v>0</v>
      </c>
      <c r="AM394" s="5">
        <v>5347.62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35936.03</v>
      </c>
      <c r="AT394" s="12">
        <v>32085.739999999998</v>
      </c>
      <c r="AU394" s="2">
        <v>0</v>
      </c>
      <c r="AV394" s="5">
        <v>2994.67</v>
      </c>
      <c r="AX394" s="2">
        <v>598934</v>
      </c>
      <c r="AY394" s="2">
        <v>0</v>
      </c>
      <c r="AZ394" s="2">
        <v>26738.12</v>
      </c>
      <c r="BA394" s="2">
        <v>0</v>
      </c>
      <c r="BB394" s="5">
        <v>5347.62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35936.03</v>
      </c>
      <c r="BI394" s="12">
        <v>32085.739999999998</v>
      </c>
      <c r="BJ394" s="2">
        <v>0</v>
      </c>
      <c r="BK394" s="5">
        <v>2994.67</v>
      </c>
      <c r="BL394" s="1" t="s">
        <v>130</v>
      </c>
    </row>
    <row r="395" spans="1:64" x14ac:dyDescent="0.3">
      <c r="A395" t="s">
        <v>399</v>
      </c>
      <c r="B395" s="1" t="s">
        <v>408</v>
      </c>
      <c r="C395" s="9" t="s">
        <v>409</v>
      </c>
      <c r="D395" s="1" t="s">
        <v>95</v>
      </c>
      <c r="E395" s="1" t="s">
        <v>128</v>
      </c>
      <c r="F395" s="10" t="s">
        <v>401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0</v>
      </c>
      <c r="AJ395" s="2">
        <v>0</v>
      </c>
      <c r="AK395" s="2">
        <v>0</v>
      </c>
      <c r="AL395" s="2">
        <v>0</v>
      </c>
      <c r="AM395" s="5">
        <v>0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0</v>
      </c>
      <c r="AT395" s="12">
        <v>0</v>
      </c>
      <c r="AU395" s="2">
        <v>0</v>
      </c>
      <c r="AV395" s="5">
        <v>0</v>
      </c>
      <c r="AX395" s="2">
        <v>0</v>
      </c>
      <c r="AY395" s="2">
        <v>0</v>
      </c>
      <c r="AZ395" s="2">
        <v>0</v>
      </c>
      <c r="BA395" s="2">
        <v>0</v>
      </c>
      <c r="BB395" s="5">
        <v>0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0</v>
      </c>
      <c r="BI395" s="12">
        <v>0</v>
      </c>
      <c r="BJ395" s="2">
        <v>0</v>
      </c>
      <c r="BK395" s="5">
        <v>0</v>
      </c>
      <c r="BL395" s="1" t="s">
        <v>130</v>
      </c>
    </row>
    <row r="396" spans="1:64" x14ac:dyDescent="0.3">
      <c r="A396" t="s">
        <v>399</v>
      </c>
      <c r="B396" s="1" t="s">
        <v>410</v>
      </c>
      <c r="C396" s="9" t="s">
        <v>411</v>
      </c>
      <c r="D396" s="1" t="s">
        <v>95</v>
      </c>
      <c r="E396" s="1" t="s">
        <v>128</v>
      </c>
      <c r="F396" s="10" t="s">
        <v>401</v>
      </c>
      <c r="G396" s="1">
        <v>0</v>
      </c>
      <c r="H396" s="1">
        <v>0.05</v>
      </c>
      <c r="I396" s="8">
        <v>45209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178425</v>
      </c>
      <c r="AJ396" s="2">
        <v>0</v>
      </c>
      <c r="AK396" s="2">
        <v>7965.4</v>
      </c>
      <c r="AL396" s="2">
        <v>0</v>
      </c>
      <c r="AM396" s="5">
        <v>1593.08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10705.5</v>
      </c>
      <c r="AT396" s="12">
        <v>9558.48</v>
      </c>
      <c r="AU396" s="2">
        <v>0</v>
      </c>
      <c r="AV396" s="5">
        <v>892.12</v>
      </c>
      <c r="AX396" s="2">
        <v>178425</v>
      </c>
      <c r="AY396" s="2">
        <v>0</v>
      </c>
      <c r="AZ396" s="2">
        <v>7965.4</v>
      </c>
      <c r="BA396" s="2">
        <v>0</v>
      </c>
      <c r="BB396" s="5">
        <v>1593.08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10705.5</v>
      </c>
      <c r="BI396" s="12">
        <v>9558.48</v>
      </c>
      <c r="BJ396" s="2">
        <v>0</v>
      </c>
      <c r="BK396" s="5">
        <v>892.12</v>
      </c>
      <c r="BL396" s="1" t="s">
        <v>130</v>
      </c>
    </row>
    <row r="397" spans="1:64" x14ac:dyDescent="0.3">
      <c r="A397" t="s">
        <v>399</v>
      </c>
      <c r="B397" s="1" t="s">
        <v>412</v>
      </c>
      <c r="C397" s="9" t="s">
        <v>413</v>
      </c>
      <c r="D397" s="1" t="s">
        <v>95</v>
      </c>
      <c r="E397" s="1" t="s">
        <v>128</v>
      </c>
      <c r="F397" s="10" t="s">
        <v>401</v>
      </c>
      <c r="G397" s="1">
        <v>0</v>
      </c>
      <c r="H397" s="1">
        <v>0.05</v>
      </c>
      <c r="I397" s="8">
        <v>45132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263158</v>
      </c>
      <c r="AJ397" s="2">
        <v>0</v>
      </c>
      <c r="AK397" s="2">
        <v>11748.12</v>
      </c>
      <c r="AL397" s="2">
        <v>0</v>
      </c>
      <c r="AM397" s="5">
        <v>2349.62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15789.47</v>
      </c>
      <c r="AT397" s="12">
        <v>14097.740000000002</v>
      </c>
      <c r="AU397" s="2">
        <v>0</v>
      </c>
      <c r="AV397" s="5">
        <v>1315.79</v>
      </c>
      <c r="AX397" s="2">
        <v>263158</v>
      </c>
      <c r="AY397" s="2">
        <v>0</v>
      </c>
      <c r="AZ397" s="2">
        <v>11748.12</v>
      </c>
      <c r="BA397" s="2">
        <v>0</v>
      </c>
      <c r="BB397" s="5">
        <v>2349.62</v>
      </c>
      <c r="BC397" s="12">
        <v>0</v>
      </c>
      <c r="BD397" s="2">
        <v>0</v>
      </c>
      <c r="BE397" s="2">
        <v>0</v>
      </c>
      <c r="BF397" s="2">
        <v>0</v>
      </c>
      <c r="BG397" s="5">
        <v>0</v>
      </c>
      <c r="BH397" s="2">
        <v>15789.47</v>
      </c>
      <c r="BI397" s="12">
        <v>14097.740000000002</v>
      </c>
      <c r="BJ397" s="2">
        <v>0</v>
      </c>
      <c r="BK397" s="5">
        <v>1315.79</v>
      </c>
      <c r="BL397" s="1" t="s">
        <v>130</v>
      </c>
    </row>
    <row r="398" spans="1:64" x14ac:dyDescent="0.3">
      <c r="A398" t="s">
        <v>414</v>
      </c>
      <c r="B398" s="1" t="s">
        <v>414</v>
      </c>
      <c r="C398" s="9" t="s">
        <v>415</v>
      </c>
      <c r="D398" s="1" t="s">
        <v>95</v>
      </c>
      <c r="E398" s="1" t="s">
        <v>128</v>
      </c>
      <c r="F398" s="10" t="s">
        <v>325</v>
      </c>
      <c r="G398" s="1">
        <v>3.5000000000000003E-2</v>
      </c>
      <c r="H398" s="1">
        <v>0.05</v>
      </c>
      <c r="I398" s="8">
        <v>45337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2486389</v>
      </c>
      <c r="AJ398" s="2">
        <v>165112</v>
      </c>
      <c r="AK398" s="2">
        <v>110999.51</v>
      </c>
      <c r="AL398" s="2">
        <v>7371.07</v>
      </c>
      <c r="AM398" s="5">
        <v>23674.12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159090.06</v>
      </c>
      <c r="AT398" s="12">
        <v>142044.69999999998</v>
      </c>
      <c r="AU398" s="2">
        <v>0</v>
      </c>
      <c r="AV398" s="5">
        <v>13257.5</v>
      </c>
      <c r="AX398" s="2">
        <v>2486389</v>
      </c>
      <c r="AY398" s="2">
        <v>165112</v>
      </c>
      <c r="AZ398" s="2">
        <v>110999.51</v>
      </c>
      <c r="BA398" s="2">
        <v>7371.07</v>
      </c>
      <c r="BB398" s="5">
        <v>23674.12</v>
      </c>
      <c r="BC398" s="12">
        <v>0</v>
      </c>
      <c r="BD398" s="2">
        <v>0</v>
      </c>
      <c r="BE398" s="2">
        <v>0</v>
      </c>
      <c r="BF398" s="2">
        <v>0</v>
      </c>
      <c r="BG398" s="5">
        <v>0</v>
      </c>
      <c r="BH398" s="2">
        <v>159090.06</v>
      </c>
      <c r="BI398" s="12">
        <v>142044.69999999998</v>
      </c>
      <c r="BJ398" s="2">
        <v>0</v>
      </c>
      <c r="BK398" s="5">
        <v>13257.5</v>
      </c>
      <c r="BL398" s="1" t="s">
        <v>326</v>
      </c>
    </row>
    <row r="399" spans="1:64" x14ac:dyDescent="0.3">
      <c r="A399" t="s">
        <v>414</v>
      </c>
      <c r="B399" s="1" t="s">
        <v>416</v>
      </c>
      <c r="C399" s="9" t="s">
        <v>417</v>
      </c>
      <c r="D399" s="1" t="s">
        <v>95</v>
      </c>
      <c r="E399" s="1" t="s">
        <v>128</v>
      </c>
      <c r="F399" s="10" t="s">
        <v>325</v>
      </c>
      <c r="G399" s="1">
        <v>3.5000000000000003E-2</v>
      </c>
      <c r="H399" s="1">
        <v>0.05</v>
      </c>
      <c r="I399" s="8">
        <v>45337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358893.54999999993</v>
      </c>
      <c r="AJ399" s="2">
        <v>57642</v>
      </c>
      <c r="AK399" s="2">
        <v>16022.04</v>
      </c>
      <c r="AL399" s="2">
        <v>2573.3000000000002</v>
      </c>
      <c r="AM399" s="5">
        <v>3719.07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24992.14</v>
      </c>
      <c r="AT399" s="12">
        <v>22314.41</v>
      </c>
      <c r="AU399" s="2">
        <v>0</v>
      </c>
      <c r="AV399" s="5">
        <v>2082.6799999999998</v>
      </c>
      <c r="AX399" s="2">
        <v>358893.54999999993</v>
      </c>
      <c r="AY399" s="2">
        <v>57642</v>
      </c>
      <c r="AZ399" s="2">
        <v>16022.04</v>
      </c>
      <c r="BA399" s="2">
        <v>2573.3000000000002</v>
      </c>
      <c r="BB399" s="5">
        <v>3719.07</v>
      </c>
      <c r="BC399" s="12">
        <v>0</v>
      </c>
      <c r="BD399" s="2">
        <v>0</v>
      </c>
      <c r="BE399" s="2">
        <v>0</v>
      </c>
      <c r="BF399" s="2">
        <v>0</v>
      </c>
      <c r="BG399" s="5">
        <v>0</v>
      </c>
      <c r="BH399" s="2">
        <v>24992.14</v>
      </c>
      <c r="BI399" s="12">
        <v>22314.41</v>
      </c>
      <c r="BJ399" s="2">
        <v>0</v>
      </c>
      <c r="BK399" s="5">
        <v>2082.6799999999998</v>
      </c>
      <c r="BL399" s="1" t="s">
        <v>326</v>
      </c>
    </row>
    <row r="400" spans="1:64" x14ac:dyDescent="0.3">
      <c r="A400" t="s">
        <v>422</v>
      </c>
      <c r="B400" s="1" t="s">
        <v>422</v>
      </c>
      <c r="C400" s="9" t="s">
        <v>423</v>
      </c>
      <c r="D400" s="1" t="s">
        <v>95</v>
      </c>
      <c r="E400" s="1" t="s">
        <v>128</v>
      </c>
      <c r="F400" s="10" t="s">
        <v>401</v>
      </c>
      <c r="G400" s="1">
        <v>3.5000000000000003E-2</v>
      </c>
      <c r="H400" s="1">
        <v>0.05</v>
      </c>
      <c r="I400" s="8">
        <v>45555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0</v>
      </c>
      <c r="U400" s="6">
        <v>0</v>
      </c>
      <c r="V400" s="6">
        <v>0</v>
      </c>
      <c r="W400" s="6">
        <v>0</v>
      </c>
      <c r="AI400" s="2">
        <v>667269</v>
      </c>
      <c r="AJ400" s="2">
        <v>66865</v>
      </c>
      <c r="AK400" s="2">
        <v>29788.79</v>
      </c>
      <c r="AL400" s="2">
        <v>2985.04</v>
      </c>
      <c r="AM400" s="5">
        <v>6554.77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44048.03</v>
      </c>
      <c r="AT400" s="12">
        <v>39328.600000000006</v>
      </c>
      <c r="AU400" s="2">
        <v>0</v>
      </c>
      <c r="AV400" s="5">
        <v>3670.67</v>
      </c>
      <c r="AX400" s="2">
        <v>667269</v>
      </c>
      <c r="AY400" s="2">
        <v>66865</v>
      </c>
      <c r="AZ400" s="2">
        <v>29788.79</v>
      </c>
      <c r="BA400" s="2">
        <v>2985.04</v>
      </c>
      <c r="BB400" s="5">
        <v>6554.77</v>
      </c>
      <c r="BC400" s="12">
        <v>0</v>
      </c>
      <c r="BD400" s="2">
        <v>0</v>
      </c>
      <c r="BE400" s="2">
        <v>0</v>
      </c>
      <c r="BF400" s="2">
        <v>0</v>
      </c>
      <c r="BG400" s="5">
        <v>0</v>
      </c>
      <c r="BH400" s="2">
        <v>44048.03</v>
      </c>
      <c r="BI400" s="12">
        <v>39328.600000000006</v>
      </c>
      <c r="BJ400" s="2">
        <v>0</v>
      </c>
      <c r="BK400" s="5">
        <v>3670.67</v>
      </c>
      <c r="BL400" s="1" t="s">
        <v>130</v>
      </c>
    </row>
    <row r="401" spans="1:64" x14ac:dyDescent="0.3">
      <c r="A401" t="s">
        <v>424</v>
      </c>
      <c r="B401" s="1" t="s">
        <v>424</v>
      </c>
      <c r="C401" s="9" t="s">
        <v>425</v>
      </c>
      <c r="D401" s="1" t="s">
        <v>95</v>
      </c>
      <c r="E401" s="1" t="s">
        <v>128</v>
      </c>
      <c r="F401" s="10" t="s">
        <v>401</v>
      </c>
      <c r="G401" s="1">
        <v>3.5000000000000003E-2</v>
      </c>
      <c r="H401" s="1">
        <v>0.05</v>
      </c>
      <c r="I401" s="8">
        <v>45664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0</v>
      </c>
      <c r="U401" s="6">
        <v>0</v>
      </c>
      <c r="V401" s="6">
        <v>0</v>
      </c>
      <c r="W401" s="6">
        <v>0</v>
      </c>
      <c r="AI401" s="2">
        <v>1292755</v>
      </c>
      <c r="AJ401" s="2">
        <v>79128</v>
      </c>
      <c r="AK401" s="2">
        <v>57712.28</v>
      </c>
      <c r="AL401" s="2">
        <v>3532.5</v>
      </c>
      <c r="AM401" s="5">
        <v>12248.96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82312.990000000005</v>
      </c>
      <c r="AT401" s="12">
        <v>73493.739999999991</v>
      </c>
      <c r="AU401" s="2">
        <v>0</v>
      </c>
      <c r="AV401" s="5">
        <v>6859.42</v>
      </c>
      <c r="AX401" s="2">
        <v>1292755</v>
      </c>
      <c r="AY401" s="2">
        <v>79128</v>
      </c>
      <c r="AZ401" s="2">
        <v>57712.28</v>
      </c>
      <c r="BA401" s="2">
        <v>3532.5</v>
      </c>
      <c r="BB401" s="5">
        <v>12248.96</v>
      </c>
      <c r="BC401" s="12">
        <v>0</v>
      </c>
      <c r="BD401" s="2">
        <v>0</v>
      </c>
      <c r="BE401" s="2">
        <v>0</v>
      </c>
      <c r="BF401" s="2">
        <v>0</v>
      </c>
      <c r="BG401" s="5">
        <v>0</v>
      </c>
      <c r="BH401" s="2">
        <v>82312.990000000005</v>
      </c>
      <c r="BI401" s="12">
        <v>73493.739999999991</v>
      </c>
      <c r="BJ401" s="2">
        <v>0</v>
      </c>
      <c r="BK401" s="5">
        <v>6859.42</v>
      </c>
      <c r="BL401" s="1" t="s">
        <v>326</v>
      </c>
    </row>
    <row r="402" spans="1:64" x14ac:dyDescent="0.3">
      <c r="A402" t="s">
        <v>424</v>
      </c>
      <c r="B402" s="1" t="s">
        <v>426</v>
      </c>
      <c r="C402" s="9" t="s">
        <v>427</v>
      </c>
      <c r="D402" s="1" t="s">
        <v>95</v>
      </c>
      <c r="E402" s="1" t="s">
        <v>128</v>
      </c>
      <c r="F402" s="10" t="s">
        <v>401</v>
      </c>
      <c r="G402" s="1">
        <v>3.5000000000000003E-2</v>
      </c>
      <c r="H402" s="1">
        <v>0.05</v>
      </c>
      <c r="I402" s="8">
        <v>45664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0</v>
      </c>
      <c r="U402" s="6">
        <v>0</v>
      </c>
      <c r="V402" s="6">
        <v>0</v>
      </c>
      <c r="W402" s="6">
        <v>0</v>
      </c>
      <c r="AI402" s="2">
        <v>334590</v>
      </c>
      <c r="AJ402" s="2">
        <v>20400</v>
      </c>
      <c r="AK402" s="2">
        <v>14937.05</v>
      </c>
      <c r="AL402" s="2">
        <v>910.71</v>
      </c>
      <c r="AM402" s="5">
        <v>3169.55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21299.39</v>
      </c>
      <c r="AT402" s="12">
        <v>19017.309999999998</v>
      </c>
      <c r="AU402" s="2">
        <v>0</v>
      </c>
      <c r="AV402" s="5">
        <v>1774.95</v>
      </c>
      <c r="AX402" s="2">
        <v>334590</v>
      </c>
      <c r="AY402" s="2">
        <v>20400</v>
      </c>
      <c r="AZ402" s="2">
        <v>14937.05</v>
      </c>
      <c r="BA402" s="2">
        <v>910.71</v>
      </c>
      <c r="BB402" s="5">
        <v>3169.55</v>
      </c>
      <c r="BC402" s="12">
        <v>0</v>
      </c>
      <c r="BD402" s="2">
        <v>0</v>
      </c>
      <c r="BE402" s="2">
        <v>0</v>
      </c>
      <c r="BF402" s="2">
        <v>0</v>
      </c>
      <c r="BG402" s="5">
        <v>0</v>
      </c>
      <c r="BH402" s="2">
        <v>21299.39</v>
      </c>
      <c r="BI402" s="12">
        <v>19017.309999999998</v>
      </c>
      <c r="BJ402" s="2">
        <v>0</v>
      </c>
      <c r="BK402" s="5">
        <v>1774.95</v>
      </c>
      <c r="BL402" s="1" t="s">
        <v>326</v>
      </c>
    </row>
    <row r="403" spans="1:64" x14ac:dyDescent="0.3">
      <c r="A403" t="s">
        <v>424</v>
      </c>
      <c r="B403" s="1" t="s">
        <v>428</v>
      </c>
      <c r="C403" s="9" t="s">
        <v>429</v>
      </c>
      <c r="D403" s="1" t="s">
        <v>95</v>
      </c>
      <c r="E403" s="1" t="s">
        <v>128</v>
      </c>
      <c r="F403" s="10" t="s">
        <v>401</v>
      </c>
      <c r="G403" s="1">
        <v>3.5000000000000003E-2</v>
      </c>
      <c r="H403" s="1">
        <v>0.05</v>
      </c>
      <c r="I403" s="8">
        <v>45664</v>
      </c>
      <c r="J403" s="6">
        <v>0</v>
      </c>
      <c r="K403" s="6">
        <v>0</v>
      </c>
      <c r="L403" s="6">
        <v>0</v>
      </c>
      <c r="M403" s="6">
        <v>0</v>
      </c>
      <c r="N403" s="7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0</v>
      </c>
      <c r="U403" s="6">
        <v>0</v>
      </c>
      <c r="V403" s="6">
        <v>0</v>
      </c>
      <c r="W403" s="6">
        <v>0</v>
      </c>
      <c r="AI403" s="2">
        <v>523986</v>
      </c>
      <c r="AJ403" s="2">
        <v>27610</v>
      </c>
      <c r="AK403" s="2">
        <v>23392.23</v>
      </c>
      <c r="AL403" s="2">
        <v>1232.5899999999999</v>
      </c>
      <c r="AM403" s="5">
        <v>4924.96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33095.75</v>
      </c>
      <c r="AT403" s="12">
        <v>29549.78</v>
      </c>
      <c r="AU403" s="2">
        <v>0</v>
      </c>
      <c r="AV403" s="5">
        <v>2757.98</v>
      </c>
      <c r="AX403" s="2">
        <v>523986</v>
      </c>
      <c r="AY403" s="2">
        <v>27610</v>
      </c>
      <c r="AZ403" s="2">
        <v>23392.23</v>
      </c>
      <c r="BA403" s="2">
        <v>1232.5899999999999</v>
      </c>
      <c r="BB403" s="5">
        <v>4924.96</v>
      </c>
      <c r="BC403" s="12">
        <v>0</v>
      </c>
      <c r="BD403" s="2">
        <v>0</v>
      </c>
      <c r="BE403" s="2">
        <v>0</v>
      </c>
      <c r="BF403" s="2">
        <v>0</v>
      </c>
      <c r="BG403" s="5">
        <v>0</v>
      </c>
      <c r="BH403" s="2">
        <v>33095.75</v>
      </c>
      <c r="BI403" s="12">
        <v>29549.78</v>
      </c>
      <c r="BJ403" s="2">
        <v>0</v>
      </c>
      <c r="BK403" s="5">
        <v>2757.98</v>
      </c>
      <c r="BL403" s="1" t="s">
        <v>326</v>
      </c>
    </row>
    <row r="404" spans="1:64" x14ac:dyDescent="0.3">
      <c r="A404" t="s">
        <v>430</v>
      </c>
      <c r="B404" s="1" t="s">
        <v>430</v>
      </c>
      <c r="C404" s="9" t="s">
        <v>431</v>
      </c>
      <c r="D404" s="1" t="s">
        <v>95</v>
      </c>
      <c r="E404" s="1" t="s">
        <v>88</v>
      </c>
      <c r="F404" s="10" t="s">
        <v>432</v>
      </c>
      <c r="G404" s="1">
        <v>3.5000000000000003E-2</v>
      </c>
      <c r="H404" s="1">
        <v>0.05</v>
      </c>
      <c r="I404" s="8">
        <v>43993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0</v>
      </c>
      <c r="U404" s="6">
        <v>0</v>
      </c>
      <c r="V404" s="6">
        <v>0</v>
      </c>
      <c r="W404" s="6">
        <v>0</v>
      </c>
      <c r="AI404" s="2">
        <v>197401</v>
      </c>
      <c r="AJ404" s="2">
        <v>12684</v>
      </c>
      <c r="AK404" s="2">
        <v>8812.5400000000009</v>
      </c>
      <c r="AL404" s="2">
        <v>566.25</v>
      </c>
      <c r="AM404" s="5">
        <v>1875.76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12605.1</v>
      </c>
      <c r="AT404" s="12">
        <v>11254.550000000001</v>
      </c>
      <c r="AU404" s="2">
        <v>0</v>
      </c>
      <c r="AV404" s="5">
        <v>1050.42</v>
      </c>
      <c r="AX404" s="2">
        <v>197401</v>
      </c>
      <c r="AY404" s="2">
        <v>12684</v>
      </c>
      <c r="AZ404" s="2">
        <v>8812.5400000000009</v>
      </c>
      <c r="BA404" s="2">
        <v>566.25</v>
      </c>
      <c r="BB404" s="5">
        <v>1875.76</v>
      </c>
      <c r="BC404" s="12">
        <v>0</v>
      </c>
      <c r="BD404" s="2">
        <v>0</v>
      </c>
      <c r="BE404" s="2">
        <v>0</v>
      </c>
      <c r="BF404" s="2">
        <v>0</v>
      </c>
      <c r="BG404" s="5">
        <v>0</v>
      </c>
      <c r="BH404" s="2">
        <v>12605.1</v>
      </c>
      <c r="BI404" s="12">
        <v>11254.550000000001</v>
      </c>
      <c r="BJ404" s="2">
        <v>0</v>
      </c>
      <c r="BK404" s="5">
        <v>1050.42</v>
      </c>
      <c r="BL404" s="1" t="s">
        <v>90</v>
      </c>
    </row>
    <row r="405" spans="1:64" x14ac:dyDescent="0.3">
      <c r="A405" t="s">
        <v>433</v>
      </c>
      <c r="B405" s="1" t="s">
        <v>433</v>
      </c>
      <c r="C405" s="9" t="s">
        <v>434</v>
      </c>
      <c r="D405" s="1" t="s">
        <v>95</v>
      </c>
      <c r="E405" s="1" t="s">
        <v>135</v>
      </c>
      <c r="F405" s="10" t="s">
        <v>435</v>
      </c>
      <c r="G405" s="1">
        <v>3.5000000000000003E-2</v>
      </c>
      <c r="H405" s="1">
        <v>0.05</v>
      </c>
      <c r="I405" s="8">
        <v>44000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0</v>
      </c>
      <c r="U405" s="6">
        <v>0</v>
      </c>
      <c r="V405" s="6">
        <v>0</v>
      </c>
      <c r="W405" s="6">
        <v>0</v>
      </c>
      <c r="AI405" s="2">
        <v>532067</v>
      </c>
      <c r="AJ405" s="2">
        <v>51115</v>
      </c>
      <c r="AK405" s="2">
        <v>23752.99</v>
      </c>
      <c r="AL405" s="2">
        <v>2281.92</v>
      </c>
      <c r="AM405" s="5">
        <v>5206.9799999999996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34990.92</v>
      </c>
      <c r="AT405" s="12">
        <v>31241.890000000003</v>
      </c>
      <c r="AU405" s="2">
        <v>0</v>
      </c>
      <c r="AV405" s="5">
        <v>2915.91</v>
      </c>
      <c r="AX405" s="2">
        <v>532067</v>
      </c>
      <c r="AY405" s="2">
        <v>51115</v>
      </c>
      <c r="AZ405" s="2">
        <v>23752.99</v>
      </c>
      <c r="BA405" s="2">
        <v>2281.92</v>
      </c>
      <c r="BB405" s="5">
        <v>5206.9799999999996</v>
      </c>
      <c r="BC405" s="12">
        <v>0</v>
      </c>
      <c r="BD405" s="2">
        <v>0</v>
      </c>
      <c r="BE405" s="2">
        <v>0</v>
      </c>
      <c r="BF405" s="2">
        <v>0</v>
      </c>
      <c r="BG405" s="5">
        <v>0</v>
      </c>
      <c r="BH405" s="2">
        <v>34990.92</v>
      </c>
      <c r="BI405" s="12">
        <v>31241.890000000003</v>
      </c>
      <c r="BJ405" s="2">
        <v>0</v>
      </c>
      <c r="BK405" s="5">
        <v>2915.91</v>
      </c>
      <c r="BL405" s="1" t="s">
        <v>436</v>
      </c>
    </row>
    <row r="406" spans="1:64" x14ac:dyDescent="0.3">
      <c r="A406" t="s">
        <v>437</v>
      </c>
      <c r="B406" s="1" t="s">
        <v>437</v>
      </c>
      <c r="C406" s="9" t="s">
        <v>438</v>
      </c>
      <c r="D406" s="1" t="s">
        <v>95</v>
      </c>
      <c r="E406" s="1" t="s">
        <v>88</v>
      </c>
      <c r="F406" s="10" t="s">
        <v>218</v>
      </c>
      <c r="G406" s="1">
        <v>3.5000000000000003E-2</v>
      </c>
      <c r="H406" s="1">
        <v>0.05</v>
      </c>
      <c r="I406" s="8">
        <v>44062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0</v>
      </c>
      <c r="U406" s="6">
        <v>0</v>
      </c>
      <c r="V406" s="6">
        <v>0</v>
      </c>
      <c r="W406" s="6">
        <v>0</v>
      </c>
      <c r="AI406" s="2">
        <v>1378133</v>
      </c>
      <c r="AJ406" s="2">
        <v>173873</v>
      </c>
      <c r="AK406" s="2">
        <v>61523.79</v>
      </c>
      <c r="AL406" s="2">
        <v>7762.19</v>
      </c>
      <c r="AM406" s="5">
        <v>13857.2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93120.36</v>
      </c>
      <c r="AT406" s="12">
        <v>83143.179999999993</v>
      </c>
      <c r="AU406" s="2">
        <v>0</v>
      </c>
      <c r="AV406" s="5">
        <v>7760.03</v>
      </c>
      <c r="AX406" s="2">
        <v>1378133</v>
      </c>
      <c r="AY406" s="2">
        <v>173873</v>
      </c>
      <c r="AZ406" s="2">
        <v>61523.79</v>
      </c>
      <c r="BA406" s="2">
        <v>7762.19</v>
      </c>
      <c r="BB406" s="5">
        <v>13857.2</v>
      </c>
      <c r="BC406" s="12">
        <v>0</v>
      </c>
      <c r="BD406" s="2">
        <v>0</v>
      </c>
      <c r="BE406" s="2">
        <v>0</v>
      </c>
      <c r="BF406" s="2">
        <v>0</v>
      </c>
      <c r="BG406" s="5">
        <v>0</v>
      </c>
      <c r="BH406" s="2">
        <v>93120.36</v>
      </c>
      <c r="BI406" s="12">
        <v>83143.179999999993</v>
      </c>
      <c r="BJ406" s="2">
        <v>0</v>
      </c>
      <c r="BK406" s="5">
        <v>7760.03</v>
      </c>
      <c r="BL406" s="1" t="s">
        <v>90</v>
      </c>
    </row>
    <row r="407" spans="1:64" x14ac:dyDescent="0.3">
      <c r="A407" t="s">
        <v>439</v>
      </c>
      <c r="B407" s="1" t="s">
        <v>439</v>
      </c>
      <c r="C407" s="9" t="s">
        <v>440</v>
      </c>
      <c r="D407" s="1" t="s">
        <v>95</v>
      </c>
      <c r="E407" s="1" t="s">
        <v>88</v>
      </c>
      <c r="F407" s="10" t="s">
        <v>441</v>
      </c>
      <c r="G407" s="1">
        <v>3.5000000000000003E-2</v>
      </c>
      <c r="H407" s="1">
        <v>0.05</v>
      </c>
      <c r="I407" s="8">
        <v>44774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0</v>
      </c>
      <c r="U407" s="6">
        <v>0</v>
      </c>
      <c r="V407" s="6">
        <v>0</v>
      </c>
      <c r="W407" s="6">
        <v>0</v>
      </c>
      <c r="AI407" s="2">
        <v>206531.9</v>
      </c>
      <c r="AJ407" s="2">
        <v>34108</v>
      </c>
      <c r="AK407" s="2">
        <v>9220.18</v>
      </c>
      <c r="AL407" s="2">
        <v>1522.68</v>
      </c>
      <c r="AM407" s="5">
        <v>2148.5700000000002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14438.4</v>
      </c>
      <c r="AT407" s="12">
        <v>12891.43</v>
      </c>
      <c r="AU407" s="2">
        <v>0</v>
      </c>
      <c r="AV407" s="5">
        <v>1203.2</v>
      </c>
      <c r="AX407" s="2">
        <v>206531.9</v>
      </c>
      <c r="AY407" s="2">
        <v>34108</v>
      </c>
      <c r="AZ407" s="2">
        <v>9220.18</v>
      </c>
      <c r="BA407" s="2">
        <v>1522.68</v>
      </c>
      <c r="BB407" s="5">
        <v>2148.5700000000002</v>
      </c>
      <c r="BC407" s="12">
        <v>0</v>
      </c>
      <c r="BD407" s="2">
        <v>0</v>
      </c>
      <c r="BE407" s="2">
        <v>0</v>
      </c>
      <c r="BF407" s="2">
        <v>0</v>
      </c>
      <c r="BG407" s="5">
        <v>0</v>
      </c>
      <c r="BH407" s="2">
        <v>14438.4</v>
      </c>
      <c r="BI407" s="12">
        <v>12891.43</v>
      </c>
      <c r="BJ407" s="2">
        <v>0</v>
      </c>
      <c r="BK407" s="5">
        <v>1203.2</v>
      </c>
      <c r="BL407" s="1" t="s">
        <v>90</v>
      </c>
    </row>
    <row r="408" spans="1:64" x14ac:dyDescent="0.3">
      <c r="A408" t="s">
        <v>439</v>
      </c>
      <c r="B408" s="1" t="s">
        <v>442</v>
      </c>
      <c r="C408" s="9" t="s">
        <v>443</v>
      </c>
      <c r="D408" s="1" t="s">
        <v>95</v>
      </c>
      <c r="E408" s="1" t="s">
        <v>88</v>
      </c>
      <c r="F408" s="10" t="s">
        <v>441</v>
      </c>
      <c r="G408" s="1">
        <v>0.04</v>
      </c>
      <c r="H408" s="1">
        <v>0.05</v>
      </c>
      <c r="I408" s="8">
        <v>44774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0</v>
      </c>
      <c r="U408" s="6">
        <v>0</v>
      </c>
      <c r="V408" s="6">
        <v>0</v>
      </c>
      <c r="W408" s="6">
        <v>0</v>
      </c>
      <c r="AI408" s="2">
        <v>0</v>
      </c>
      <c r="AJ408" s="2">
        <v>0</v>
      </c>
      <c r="AK408" s="2">
        <v>0</v>
      </c>
      <c r="AL408" s="2">
        <v>0</v>
      </c>
      <c r="AM408" s="5">
        <v>0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0</v>
      </c>
      <c r="AT408" s="12">
        <v>0</v>
      </c>
      <c r="AU408" s="2">
        <v>0</v>
      </c>
      <c r="AV408" s="5">
        <v>0</v>
      </c>
      <c r="AX408" s="2">
        <v>0</v>
      </c>
      <c r="AY408" s="2">
        <v>0</v>
      </c>
      <c r="AZ408" s="2">
        <v>0</v>
      </c>
      <c r="BA408" s="2">
        <v>0</v>
      </c>
      <c r="BB408" s="5">
        <v>0</v>
      </c>
      <c r="BC408" s="12">
        <v>0</v>
      </c>
      <c r="BD408" s="2">
        <v>0</v>
      </c>
      <c r="BE408" s="2">
        <v>0</v>
      </c>
      <c r="BF408" s="2">
        <v>0</v>
      </c>
      <c r="BG408" s="5">
        <v>0</v>
      </c>
      <c r="BH408" s="2">
        <v>0</v>
      </c>
      <c r="BI408" s="12">
        <v>0</v>
      </c>
      <c r="BJ408" s="2">
        <v>0</v>
      </c>
      <c r="BK408" s="5">
        <v>0</v>
      </c>
      <c r="BL408" s="1" t="s">
        <v>90</v>
      </c>
    </row>
    <row r="409" spans="1:64" x14ac:dyDescent="0.3">
      <c r="A409" t="s">
        <v>439</v>
      </c>
      <c r="B409" s="1" t="s">
        <v>444</v>
      </c>
      <c r="C409" s="9" t="s">
        <v>445</v>
      </c>
      <c r="D409" s="1" t="s">
        <v>95</v>
      </c>
      <c r="E409" s="1" t="s">
        <v>88</v>
      </c>
      <c r="F409" s="10" t="s">
        <v>441</v>
      </c>
      <c r="G409" s="1">
        <v>3.5000000000000003E-2</v>
      </c>
      <c r="H409" s="1">
        <v>0.05</v>
      </c>
      <c r="I409" s="8">
        <v>44774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0</v>
      </c>
      <c r="U409" s="6">
        <v>0</v>
      </c>
      <c r="V409" s="6">
        <v>0</v>
      </c>
      <c r="W409" s="6">
        <v>0</v>
      </c>
      <c r="AI409" s="2">
        <v>76444</v>
      </c>
      <c r="AJ409" s="2">
        <v>15912</v>
      </c>
      <c r="AK409" s="2">
        <v>3412.68</v>
      </c>
      <c r="AL409" s="2">
        <v>710.36</v>
      </c>
      <c r="AM409" s="5">
        <v>824.61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5541.37</v>
      </c>
      <c r="AT409" s="12">
        <v>4947.6499999999996</v>
      </c>
      <c r="AU409" s="2">
        <v>0</v>
      </c>
      <c r="AV409" s="5">
        <v>461.78</v>
      </c>
      <c r="AX409" s="2">
        <v>76444</v>
      </c>
      <c r="AY409" s="2">
        <v>15912</v>
      </c>
      <c r="AZ409" s="2">
        <v>3412.68</v>
      </c>
      <c r="BA409" s="2">
        <v>710.36</v>
      </c>
      <c r="BB409" s="5">
        <v>824.61</v>
      </c>
      <c r="BC409" s="12">
        <v>0</v>
      </c>
      <c r="BD409" s="2">
        <v>0</v>
      </c>
      <c r="BE409" s="2">
        <v>0</v>
      </c>
      <c r="BF409" s="2">
        <v>0</v>
      </c>
      <c r="BG409" s="5">
        <v>0</v>
      </c>
      <c r="BH409" s="2">
        <v>5541.37</v>
      </c>
      <c r="BI409" s="12">
        <v>4947.6499999999996</v>
      </c>
      <c r="BJ409" s="2">
        <v>0</v>
      </c>
      <c r="BK409" s="5">
        <v>461.78</v>
      </c>
      <c r="BL409" s="1" t="s">
        <v>90</v>
      </c>
    </row>
    <row r="410" spans="1:64" x14ac:dyDescent="0.3">
      <c r="A410" t="s">
        <v>448</v>
      </c>
      <c r="B410" s="1" t="s">
        <v>448</v>
      </c>
      <c r="C410" s="9" t="s">
        <v>449</v>
      </c>
      <c r="D410" s="1" t="s">
        <v>95</v>
      </c>
      <c r="E410" s="1" t="s">
        <v>128</v>
      </c>
      <c r="F410" s="10" t="s">
        <v>355</v>
      </c>
      <c r="G410" s="1">
        <v>4.4999999999999998E-2</v>
      </c>
      <c r="H410" s="1">
        <v>0.05</v>
      </c>
      <c r="I410" s="8">
        <v>45199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0</v>
      </c>
      <c r="U410" s="6">
        <v>0</v>
      </c>
      <c r="V410" s="6">
        <v>0</v>
      </c>
      <c r="W410" s="6">
        <v>0</v>
      </c>
      <c r="AI410" s="2">
        <v>701940</v>
      </c>
      <c r="AJ410" s="2">
        <v>57187</v>
      </c>
      <c r="AK410" s="2">
        <v>31336.61</v>
      </c>
      <c r="AL410" s="2">
        <v>2552.9899999999998</v>
      </c>
      <c r="AM410" s="5">
        <v>6777.92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45547.62</v>
      </c>
      <c r="AT410" s="12">
        <v>40667.519999999997</v>
      </c>
      <c r="AU410" s="2">
        <v>0</v>
      </c>
      <c r="AV410" s="5">
        <v>3795.64</v>
      </c>
      <c r="AX410" s="2">
        <v>701940</v>
      </c>
      <c r="AY410" s="2">
        <v>57187</v>
      </c>
      <c r="AZ410" s="2">
        <v>31336.61</v>
      </c>
      <c r="BA410" s="2">
        <v>2552.9899999999998</v>
      </c>
      <c r="BB410" s="5">
        <v>6777.92</v>
      </c>
      <c r="BC410" s="12">
        <v>0</v>
      </c>
      <c r="BD410" s="2">
        <v>0</v>
      </c>
      <c r="BE410" s="2">
        <v>0</v>
      </c>
      <c r="BF410" s="2">
        <v>0</v>
      </c>
      <c r="BG410" s="5">
        <v>0</v>
      </c>
      <c r="BH410" s="2">
        <v>45547.62</v>
      </c>
      <c r="BI410" s="12">
        <v>40667.519999999997</v>
      </c>
      <c r="BJ410" s="2">
        <v>0</v>
      </c>
      <c r="BK410" s="5">
        <v>3795.64</v>
      </c>
      <c r="BL410" s="1" t="s">
        <v>130</v>
      </c>
    </row>
    <row r="411" spans="1:64" x14ac:dyDescent="0.3">
      <c r="A411" t="s">
        <v>450</v>
      </c>
      <c r="B411" s="1" t="s">
        <v>450</v>
      </c>
      <c r="C411" s="9" t="s">
        <v>451</v>
      </c>
      <c r="D411" s="1" t="s">
        <v>95</v>
      </c>
      <c r="E411" s="1" t="s">
        <v>135</v>
      </c>
      <c r="F411" s="10" t="s">
        <v>193</v>
      </c>
      <c r="G411" s="1">
        <v>3.5000000000000003E-2</v>
      </c>
      <c r="H411" s="1">
        <v>0.05</v>
      </c>
      <c r="I411" s="8">
        <v>44183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0</v>
      </c>
      <c r="U411" s="6">
        <v>0</v>
      </c>
      <c r="V411" s="6">
        <v>0</v>
      </c>
      <c r="W411" s="6">
        <v>0</v>
      </c>
      <c r="AI411" s="2">
        <v>659120.5</v>
      </c>
      <c r="AJ411" s="2">
        <v>221070</v>
      </c>
      <c r="AK411" s="2">
        <v>29425.02</v>
      </c>
      <c r="AL411" s="2">
        <v>9869.2000000000007</v>
      </c>
      <c r="AM411" s="5">
        <v>7858.85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52811.44</v>
      </c>
      <c r="AT411" s="12">
        <v>47153.07</v>
      </c>
      <c r="AU411" s="2">
        <v>0</v>
      </c>
      <c r="AV411" s="5">
        <v>4400.95</v>
      </c>
      <c r="AX411" s="2">
        <v>659120.5</v>
      </c>
      <c r="AY411" s="2">
        <v>221070</v>
      </c>
      <c r="AZ411" s="2">
        <v>29425.02</v>
      </c>
      <c r="BA411" s="2">
        <v>9869.2000000000007</v>
      </c>
      <c r="BB411" s="5">
        <v>7858.85</v>
      </c>
      <c r="BC411" s="12">
        <v>0</v>
      </c>
      <c r="BD411" s="2">
        <v>0</v>
      </c>
      <c r="BE411" s="2">
        <v>0</v>
      </c>
      <c r="BF411" s="2">
        <v>0</v>
      </c>
      <c r="BG411" s="5">
        <v>0</v>
      </c>
      <c r="BH411" s="2">
        <v>52811.44</v>
      </c>
      <c r="BI411" s="12">
        <v>47153.07</v>
      </c>
      <c r="BJ411" s="2">
        <v>0</v>
      </c>
      <c r="BK411" s="5">
        <v>4400.95</v>
      </c>
      <c r="BL411" s="1" t="s">
        <v>436</v>
      </c>
    </row>
    <row r="412" spans="1:64" x14ac:dyDescent="0.3">
      <c r="A412" t="s">
        <v>450</v>
      </c>
      <c r="B412" s="1" t="s">
        <v>452</v>
      </c>
      <c r="C412" s="9" t="s">
        <v>453</v>
      </c>
      <c r="D412" s="1" t="s">
        <v>95</v>
      </c>
      <c r="E412" s="1" t="s">
        <v>135</v>
      </c>
      <c r="F412" s="10" t="s">
        <v>193</v>
      </c>
      <c r="G412" s="1">
        <v>0</v>
      </c>
      <c r="H412" s="1">
        <v>0.05</v>
      </c>
      <c r="I412" s="8">
        <v>45329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171264</v>
      </c>
      <c r="AJ412" s="2">
        <v>51450</v>
      </c>
      <c r="AK412" s="2">
        <v>7645.71</v>
      </c>
      <c r="AL412" s="2">
        <v>2296.88</v>
      </c>
      <c r="AM412" s="5">
        <v>1988.52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13362.84</v>
      </c>
      <c r="AT412" s="12">
        <v>11931.11</v>
      </c>
      <c r="AU412" s="2">
        <v>0</v>
      </c>
      <c r="AV412" s="5">
        <v>1113.57</v>
      </c>
      <c r="AX412" s="2">
        <v>171264</v>
      </c>
      <c r="AY412" s="2">
        <v>51450</v>
      </c>
      <c r="AZ412" s="2">
        <v>7645.71</v>
      </c>
      <c r="BA412" s="2">
        <v>2296.88</v>
      </c>
      <c r="BB412" s="5">
        <v>1988.52</v>
      </c>
      <c r="BC412" s="12">
        <v>0</v>
      </c>
      <c r="BD412" s="2">
        <v>0</v>
      </c>
      <c r="BE412" s="2">
        <v>0</v>
      </c>
      <c r="BF412" s="2">
        <v>0</v>
      </c>
      <c r="BG412" s="5">
        <v>0</v>
      </c>
      <c r="BH412" s="2">
        <v>13362.84</v>
      </c>
      <c r="BI412" s="12">
        <v>11931.11</v>
      </c>
      <c r="BJ412" s="2">
        <v>0</v>
      </c>
      <c r="BK412" s="5">
        <v>1113.57</v>
      </c>
      <c r="BL412" s="1" t="s">
        <v>137</v>
      </c>
    </row>
    <row r="413" spans="1:64" x14ac:dyDescent="0.3">
      <c r="A413" t="s">
        <v>475</v>
      </c>
      <c r="B413" s="1" t="s">
        <v>475</v>
      </c>
      <c r="C413" s="9" t="s">
        <v>476</v>
      </c>
      <c r="D413" s="1" t="s">
        <v>95</v>
      </c>
      <c r="E413" s="1" t="s">
        <v>88</v>
      </c>
      <c r="F413" s="10" t="s">
        <v>218</v>
      </c>
      <c r="G413" s="1">
        <v>3.5000000000000003E-2</v>
      </c>
      <c r="H413" s="1">
        <v>0.05</v>
      </c>
      <c r="I413" s="8">
        <v>44496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0</v>
      </c>
      <c r="U413" s="6">
        <v>0</v>
      </c>
      <c r="V413" s="6">
        <v>0</v>
      </c>
      <c r="W413" s="6">
        <v>0</v>
      </c>
      <c r="AI413" s="2">
        <v>1404557</v>
      </c>
      <c r="AJ413" s="2">
        <v>597359</v>
      </c>
      <c r="AK413" s="2">
        <v>62703.44</v>
      </c>
      <c r="AL413" s="2">
        <v>26667.81</v>
      </c>
      <c r="AM413" s="5">
        <v>17874.25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120114.96</v>
      </c>
      <c r="AT413" s="12">
        <v>107245.5</v>
      </c>
      <c r="AU413" s="2">
        <v>0</v>
      </c>
      <c r="AV413" s="5">
        <v>10009.58</v>
      </c>
      <c r="AX413" s="2">
        <v>1404557</v>
      </c>
      <c r="AY413" s="2">
        <v>597359</v>
      </c>
      <c r="AZ413" s="2">
        <v>62703.44</v>
      </c>
      <c r="BA413" s="2">
        <v>26667.81</v>
      </c>
      <c r="BB413" s="5">
        <v>17874.25</v>
      </c>
      <c r="BC413" s="12">
        <v>0</v>
      </c>
      <c r="BD413" s="2">
        <v>0</v>
      </c>
      <c r="BE413" s="2">
        <v>0</v>
      </c>
      <c r="BF413" s="2">
        <v>0</v>
      </c>
      <c r="BG413" s="5">
        <v>0</v>
      </c>
      <c r="BH413" s="2">
        <v>120114.96</v>
      </c>
      <c r="BI413" s="12">
        <v>107245.5</v>
      </c>
      <c r="BJ413" s="2">
        <v>0</v>
      </c>
      <c r="BK413" s="5">
        <v>10009.58</v>
      </c>
      <c r="BL413" s="1" t="s">
        <v>90</v>
      </c>
    </row>
    <row r="414" spans="1:64" x14ac:dyDescent="0.3">
      <c r="A414" t="s">
        <v>475</v>
      </c>
      <c r="B414" s="1" t="s">
        <v>477</v>
      </c>
      <c r="C414" s="9" t="s">
        <v>478</v>
      </c>
      <c r="D414" s="1" t="s">
        <v>95</v>
      </c>
      <c r="E414" s="1" t="s">
        <v>88</v>
      </c>
      <c r="F414" s="10" t="s">
        <v>218</v>
      </c>
      <c r="G414" s="1">
        <v>0</v>
      </c>
      <c r="H414" s="1">
        <v>0.05</v>
      </c>
      <c r="I414" s="8">
        <v>45225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  <c r="T414" s="11">
        <v>0</v>
      </c>
      <c r="U414" s="6">
        <v>0</v>
      </c>
      <c r="V414" s="6">
        <v>0</v>
      </c>
      <c r="W414" s="6">
        <v>0</v>
      </c>
      <c r="AI414" s="2">
        <v>235550</v>
      </c>
      <c r="AJ414" s="2">
        <v>123183</v>
      </c>
      <c r="AK414" s="2">
        <v>10515.62</v>
      </c>
      <c r="AL414" s="2">
        <v>5499.24</v>
      </c>
      <c r="AM414" s="5">
        <v>3202.97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21523.97</v>
      </c>
      <c r="AT414" s="12">
        <v>19217.830000000002</v>
      </c>
      <c r="AU414" s="2">
        <v>0</v>
      </c>
      <c r="AV414" s="5">
        <v>1793.66</v>
      </c>
      <c r="AX414" s="2">
        <v>235550</v>
      </c>
      <c r="AY414" s="2">
        <v>123183</v>
      </c>
      <c r="AZ414" s="2">
        <v>10515.62</v>
      </c>
      <c r="BA414" s="2">
        <v>5499.24</v>
      </c>
      <c r="BB414" s="5">
        <v>3202.97</v>
      </c>
      <c r="BC414" s="12">
        <v>0</v>
      </c>
      <c r="BD414" s="2">
        <v>0</v>
      </c>
      <c r="BE414" s="2">
        <v>0</v>
      </c>
      <c r="BF414" s="2">
        <v>0</v>
      </c>
      <c r="BG414" s="5">
        <v>0</v>
      </c>
      <c r="BH414" s="2">
        <v>21523.97</v>
      </c>
      <c r="BI414" s="12">
        <v>19217.830000000002</v>
      </c>
      <c r="BJ414" s="2">
        <v>0</v>
      </c>
      <c r="BK414" s="5">
        <v>1793.66</v>
      </c>
      <c r="BL414" s="1" t="s">
        <v>90</v>
      </c>
    </row>
    <row r="415" spans="1:64" x14ac:dyDescent="0.3">
      <c r="A415" t="s">
        <v>479</v>
      </c>
      <c r="B415" s="1" t="s">
        <v>479</v>
      </c>
      <c r="C415" s="9" t="s">
        <v>480</v>
      </c>
      <c r="D415" s="1" t="s">
        <v>95</v>
      </c>
      <c r="E415" s="1" t="s">
        <v>135</v>
      </c>
      <c r="F415" s="10" t="s">
        <v>136</v>
      </c>
      <c r="G415" s="1">
        <v>0.04</v>
      </c>
      <c r="H415" s="1">
        <v>0.05</v>
      </c>
      <c r="I415" s="8">
        <v>44778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0</v>
      </c>
      <c r="U415" s="6">
        <v>0</v>
      </c>
      <c r="V415" s="6">
        <v>0</v>
      </c>
      <c r="W415" s="6">
        <v>0</v>
      </c>
      <c r="AI415" s="2">
        <v>902275</v>
      </c>
      <c r="AJ415" s="2">
        <v>127789</v>
      </c>
      <c r="AK415" s="2">
        <v>40280.129999999997</v>
      </c>
      <c r="AL415" s="2">
        <v>5704.87</v>
      </c>
      <c r="AM415" s="5">
        <v>9197</v>
      </c>
      <c r="AN415" s="12">
        <v>0</v>
      </c>
      <c r="AO415" s="2">
        <v>0</v>
      </c>
      <c r="AP415" s="2">
        <v>0</v>
      </c>
      <c r="AQ415" s="2">
        <v>0</v>
      </c>
      <c r="AR415" s="5">
        <v>0</v>
      </c>
      <c r="AS415" s="2">
        <v>61803.839999999997</v>
      </c>
      <c r="AT415" s="12">
        <v>55182</v>
      </c>
      <c r="AU415" s="2">
        <v>0</v>
      </c>
      <c r="AV415" s="5">
        <v>5150.32</v>
      </c>
      <c r="AX415" s="2">
        <v>902275</v>
      </c>
      <c r="AY415" s="2">
        <v>127789</v>
      </c>
      <c r="AZ415" s="2">
        <v>40280.129999999997</v>
      </c>
      <c r="BA415" s="2">
        <v>5704.87</v>
      </c>
      <c r="BB415" s="5">
        <v>9197</v>
      </c>
      <c r="BC415" s="12">
        <v>0</v>
      </c>
      <c r="BD415" s="2">
        <v>0</v>
      </c>
      <c r="BE415" s="2">
        <v>0</v>
      </c>
      <c r="BF415" s="2">
        <v>0</v>
      </c>
      <c r="BG415" s="5">
        <v>0</v>
      </c>
      <c r="BH415" s="2">
        <v>61803.839999999997</v>
      </c>
      <c r="BI415" s="12">
        <v>55182</v>
      </c>
      <c r="BJ415" s="2">
        <v>0</v>
      </c>
      <c r="BK415" s="5">
        <v>5150.32</v>
      </c>
      <c r="BL415" s="1" t="s">
        <v>302</v>
      </c>
    </row>
    <row r="416" spans="1:64" x14ac:dyDescent="0.3">
      <c r="A416" t="s">
        <v>479</v>
      </c>
      <c r="B416" s="1" t="s">
        <v>481</v>
      </c>
      <c r="C416" s="9" t="s">
        <v>482</v>
      </c>
      <c r="D416" s="1" t="s">
        <v>95</v>
      </c>
      <c r="E416" s="1" t="s">
        <v>135</v>
      </c>
      <c r="F416" s="10" t="s">
        <v>136</v>
      </c>
      <c r="G416" s="1">
        <v>0</v>
      </c>
      <c r="H416" s="1">
        <v>0.05</v>
      </c>
      <c r="I416" s="8">
        <v>45177</v>
      </c>
      <c r="J416" s="6">
        <v>0</v>
      </c>
      <c r="K416" s="6">
        <v>0</v>
      </c>
      <c r="L416" s="6">
        <v>0</v>
      </c>
      <c r="M416" s="6">
        <v>0</v>
      </c>
      <c r="N416" s="7">
        <v>0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0</v>
      </c>
      <c r="U416" s="6">
        <v>0</v>
      </c>
      <c r="V416" s="6">
        <v>0</v>
      </c>
      <c r="W416" s="6">
        <v>0</v>
      </c>
      <c r="AI416" s="2">
        <v>171051</v>
      </c>
      <c r="AJ416" s="2">
        <v>30612</v>
      </c>
      <c r="AK416" s="2">
        <v>7636.21</v>
      </c>
      <c r="AL416" s="2">
        <v>1366.61</v>
      </c>
      <c r="AM416" s="5">
        <v>1800.56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12099.79</v>
      </c>
      <c r="AT416" s="12">
        <v>10803.38</v>
      </c>
      <c r="AU416" s="2">
        <v>0</v>
      </c>
      <c r="AV416" s="5">
        <v>1008.32</v>
      </c>
      <c r="AX416" s="2">
        <v>171051</v>
      </c>
      <c r="AY416" s="2">
        <v>30612</v>
      </c>
      <c r="AZ416" s="2">
        <v>7636.21</v>
      </c>
      <c r="BA416" s="2">
        <v>1366.61</v>
      </c>
      <c r="BB416" s="5">
        <v>1800.56</v>
      </c>
      <c r="BC416" s="12">
        <v>0</v>
      </c>
      <c r="BD416" s="2">
        <v>0</v>
      </c>
      <c r="BE416" s="2">
        <v>0</v>
      </c>
      <c r="BF416" s="2">
        <v>0</v>
      </c>
      <c r="BG416" s="5">
        <v>0</v>
      </c>
      <c r="BH416" s="2">
        <v>12099.79</v>
      </c>
      <c r="BI416" s="12">
        <v>10803.38</v>
      </c>
      <c r="BJ416" s="2">
        <v>0</v>
      </c>
      <c r="BK416" s="5">
        <v>1008.32</v>
      </c>
      <c r="BL416" s="1" t="s">
        <v>302</v>
      </c>
    </row>
    <row r="417" spans="1:64" x14ac:dyDescent="0.3">
      <c r="A417" t="s">
        <v>483</v>
      </c>
      <c r="B417" s="1" t="s">
        <v>483</v>
      </c>
      <c r="C417" s="9" t="s">
        <v>484</v>
      </c>
      <c r="D417" s="1" t="s">
        <v>95</v>
      </c>
      <c r="E417" s="1" t="s">
        <v>135</v>
      </c>
      <c r="F417" s="10" t="s">
        <v>485</v>
      </c>
      <c r="G417" s="1">
        <v>0.04</v>
      </c>
      <c r="H417" s="1">
        <v>0.05</v>
      </c>
      <c r="I417" s="8">
        <v>44828</v>
      </c>
      <c r="J417" s="6">
        <v>0</v>
      </c>
      <c r="K417" s="6">
        <v>0</v>
      </c>
      <c r="L417" s="6">
        <v>0</v>
      </c>
      <c r="M417" s="6">
        <v>0</v>
      </c>
      <c r="N417" s="7">
        <v>0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0</v>
      </c>
      <c r="U417" s="6">
        <v>0</v>
      </c>
      <c r="V417" s="6">
        <v>0</v>
      </c>
      <c r="W417" s="6">
        <v>0</v>
      </c>
      <c r="AI417" s="2">
        <v>322119</v>
      </c>
      <c r="AJ417" s="2">
        <v>57151</v>
      </c>
      <c r="AK417" s="2">
        <v>14380.31</v>
      </c>
      <c r="AL417" s="2">
        <v>2551.38</v>
      </c>
      <c r="AM417" s="5">
        <v>3386.34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22756.19</v>
      </c>
      <c r="AT417" s="12">
        <v>20318.03</v>
      </c>
      <c r="AU417" s="2">
        <v>0</v>
      </c>
      <c r="AV417" s="5">
        <v>1896.35</v>
      </c>
      <c r="AX417" s="2">
        <v>322119</v>
      </c>
      <c r="AY417" s="2">
        <v>57151</v>
      </c>
      <c r="AZ417" s="2">
        <v>14380.31</v>
      </c>
      <c r="BA417" s="2">
        <v>2551.38</v>
      </c>
      <c r="BB417" s="5">
        <v>3386.34</v>
      </c>
      <c r="BC417" s="12">
        <v>0</v>
      </c>
      <c r="BD417" s="2">
        <v>0</v>
      </c>
      <c r="BE417" s="2">
        <v>0</v>
      </c>
      <c r="BF417" s="2">
        <v>0</v>
      </c>
      <c r="BG417" s="5">
        <v>0</v>
      </c>
      <c r="BH417" s="2">
        <v>22756.19</v>
      </c>
      <c r="BI417" s="12">
        <v>20318.03</v>
      </c>
      <c r="BJ417" s="2">
        <v>0</v>
      </c>
      <c r="BK417" s="5">
        <v>1896.35</v>
      </c>
      <c r="BL417" s="1" t="s">
        <v>302</v>
      </c>
    </row>
    <row r="418" spans="1:64" x14ac:dyDescent="0.3">
      <c r="A418" t="s">
        <v>483</v>
      </c>
      <c r="B418" s="1" t="s">
        <v>486</v>
      </c>
      <c r="C418" s="9" t="s">
        <v>487</v>
      </c>
      <c r="D418" s="1" t="s">
        <v>95</v>
      </c>
      <c r="E418" s="1" t="s">
        <v>135</v>
      </c>
      <c r="F418" s="10" t="s">
        <v>485</v>
      </c>
      <c r="G418" s="1">
        <v>0.04</v>
      </c>
      <c r="H418" s="1">
        <v>0.05</v>
      </c>
      <c r="I418" s="8">
        <v>44828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0</v>
      </c>
      <c r="U418" s="6">
        <v>0</v>
      </c>
      <c r="V418" s="6">
        <v>0</v>
      </c>
      <c r="W418" s="6">
        <v>0</v>
      </c>
      <c r="AI418" s="2">
        <v>273069</v>
      </c>
      <c r="AJ418" s="2">
        <v>63767</v>
      </c>
      <c r="AK418" s="2">
        <v>12190.58</v>
      </c>
      <c r="AL418" s="2">
        <v>2846.74</v>
      </c>
      <c r="AM418" s="5">
        <v>3007.46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20210.150000000001</v>
      </c>
      <c r="AT418" s="12">
        <v>18044.78</v>
      </c>
      <c r="AU418" s="2">
        <v>0</v>
      </c>
      <c r="AV418" s="5">
        <v>1684.18</v>
      </c>
      <c r="AX418" s="2">
        <v>273069</v>
      </c>
      <c r="AY418" s="2">
        <v>63767</v>
      </c>
      <c r="AZ418" s="2">
        <v>12190.58</v>
      </c>
      <c r="BA418" s="2">
        <v>2846.74</v>
      </c>
      <c r="BB418" s="5">
        <v>3007.46</v>
      </c>
      <c r="BC418" s="12">
        <v>0</v>
      </c>
      <c r="BD418" s="2">
        <v>0</v>
      </c>
      <c r="BE418" s="2">
        <v>0</v>
      </c>
      <c r="BF418" s="2">
        <v>0</v>
      </c>
      <c r="BG418" s="5">
        <v>0</v>
      </c>
      <c r="BH418" s="2">
        <v>20210.150000000001</v>
      </c>
      <c r="BI418" s="12">
        <v>18044.78</v>
      </c>
      <c r="BJ418" s="2">
        <v>0</v>
      </c>
      <c r="BK418" s="5">
        <v>1684.18</v>
      </c>
      <c r="BL418" s="1" t="s">
        <v>302</v>
      </c>
    </row>
    <row r="419" spans="1:64" x14ac:dyDescent="0.3">
      <c r="A419" t="s">
        <v>483</v>
      </c>
      <c r="B419" s="1" t="s">
        <v>488</v>
      </c>
      <c r="C419" s="9" t="s">
        <v>489</v>
      </c>
      <c r="D419" s="1" t="s">
        <v>95</v>
      </c>
      <c r="E419" s="1" t="s">
        <v>135</v>
      </c>
      <c r="F419" s="10" t="s">
        <v>485</v>
      </c>
      <c r="G419" s="1">
        <v>0</v>
      </c>
      <c r="H419" s="1">
        <v>0.05</v>
      </c>
      <c r="I419" s="8">
        <v>45463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0</v>
      </c>
      <c r="U419" s="6">
        <v>0</v>
      </c>
      <c r="V419" s="6">
        <v>0</v>
      </c>
      <c r="W419" s="6">
        <v>0</v>
      </c>
      <c r="AI419" s="2">
        <v>361740</v>
      </c>
      <c r="AJ419" s="2">
        <v>0</v>
      </c>
      <c r="AK419" s="2">
        <v>16149.11</v>
      </c>
      <c r="AL419" s="2">
        <v>0</v>
      </c>
      <c r="AM419" s="5">
        <v>3229.82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21704.400000000001</v>
      </c>
      <c r="AT419" s="12">
        <v>19378.93</v>
      </c>
      <c r="AU419" s="2">
        <v>0</v>
      </c>
      <c r="AV419" s="5">
        <v>1808.7</v>
      </c>
      <c r="AX419" s="2">
        <v>361740</v>
      </c>
      <c r="AY419" s="2">
        <v>0</v>
      </c>
      <c r="AZ419" s="2">
        <v>16149.11</v>
      </c>
      <c r="BA419" s="2">
        <v>0</v>
      </c>
      <c r="BB419" s="5">
        <v>3229.82</v>
      </c>
      <c r="BC419" s="12">
        <v>0</v>
      </c>
      <c r="BD419" s="2">
        <v>0</v>
      </c>
      <c r="BE419" s="2">
        <v>0</v>
      </c>
      <c r="BF419" s="2">
        <v>0</v>
      </c>
      <c r="BG419" s="5">
        <v>0</v>
      </c>
      <c r="BH419" s="2">
        <v>21704.400000000001</v>
      </c>
      <c r="BI419" s="12">
        <v>19378.93</v>
      </c>
      <c r="BJ419" s="2">
        <v>0</v>
      </c>
      <c r="BK419" s="5">
        <v>1808.7</v>
      </c>
      <c r="BL419" s="1" t="s">
        <v>302</v>
      </c>
    </row>
    <row r="420" spans="1:64" x14ac:dyDescent="0.3">
      <c r="A420" t="s">
        <v>510</v>
      </c>
      <c r="B420" s="1" t="s">
        <v>510</v>
      </c>
      <c r="C420" s="9" t="s">
        <v>511</v>
      </c>
      <c r="D420" s="1" t="s">
        <v>95</v>
      </c>
      <c r="E420" s="1" t="s">
        <v>88</v>
      </c>
      <c r="F420" s="10" t="s">
        <v>218</v>
      </c>
      <c r="G420" s="1">
        <v>4.4999999999999998E-2</v>
      </c>
      <c r="H420" s="1">
        <v>0.05</v>
      </c>
      <c r="I420" s="8">
        <v>45260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0</v>
      </c>
      <c r="U420" s="6">
        <v>0</v>
      </c>
      <c r="V420" s="6">
        <v>0</v>
      </c>
      <c r="W420" s="6">
        <v>0</v>
      </c>
      <c r="AI420" s="2">
        <v>824334</v>
      </c>
      <c r="AJ420" s="2">
        <v>240893</v>
      </c>
      <c r="AK420" s="2">
        <v>36800.620000000003</v>
      </c>
      <c r="AL420" s="2">
        <v>10754.15</v>
      </c>
      <c r="AM420" s="5">
        <v>9510.9599999999991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63913.62</v>
      </c>
      <c r="AT420" s="12">
        <v>57065.73</v>
      </c>
      <c r="AU420" s="2">
        <v>0</v>
      </c>
      <c r="AV420" s="5">
        <v>5326.14</v>
      </c>
      <c r="AX420" s="2">
        <v>824334</v>
      </c>
      <c r="AY420" s="2">
        <v>240893</v>
      </c>
      <c r="AZ420" s="2">
        <v>36800.620000000003</v>
      </c>
      <c r="BA420" s="2">
        <v>10754.15</v>
      </c>
      <c r="BB420" s="5">
        <v>9510.9599999999991</v>
      </c>
      <c r="BC420" s="12">
        <v>0</v>
      </c>
      <c r="BD420" s="2">
        <v>0</v>
      </c>
      <c r="BE420" s="2">
        <v>0</v>
      </c>
      <c r="BF420" s="2">
        <v>0</v>
      </c>
      <c r="BG420" s="5">
        <v>0</v>
      </c>
      <c r="BH420" s="2">
        <v>63913.62</v>
      </c>
      <c r="BI420" s="12">
        <v>57065.73</v>
      </c>
      <c r="BJ420" s="2">
        <v>0</v>
      </c>
      <c r="BK420" s="5">
        <v>5326.14</v>
      </c>
      <c r="BL420" s="1" t="s">
        <v>90</v>
      </c>
    </row>
    <row r="421" spans="1:64" x14ac:dyDescent="0.3">
      <c r="A421" t="s">
        <v>510</v>
      </c>
      <c r="B421" s="1" t="s">
        <v>512</v>
      </c>
      <c r="C421" s="9" t="s">
        <v>513</v>
      </c>
      <c r="D421" s="1" t="s">
        <v>95</v>
      </c>
      <c r="E421" s="1" t="s">
        <v>88</v>
      </c>
      <c r="F421" s="10" t="s">
        <v>218</v>
      </c>
      <c r="G421" s="1">
        <v>4.4999999999999998E-2</v>
      </c>
      <c r="H421" s="1">
        <v>0.05</v>
      </c>
      <c r="I421" s="8">
        <v>45260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0</v>
      </c>
      <c r="U421" s="6">
        <v>0</v>
      </c>
      <c r="V421" s="6">
        <v>0</v>
      </c>
      <c r="W421" s="6">
        <v>0</v>
      </c>
      <c r="AI421" s="2">
        <v>354027</v>
      </c>
      <c r="AJ421" s="2">
        <v>98360</v>
      </c>
      <c r="AK421" s="2">
        <v>15804.78</v>
      </c>
      <c r="AL421" s="2">
        <v>4391.07</v>
      </c>
      <c r="AM421" s="5">
        <v>4039.17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27143.22</v>
      </c>
      <c r="AT421" s="12">
        <v>24235.019999999997</v>
      </c>
      <c r="AU421" s="2">
        <v>0</v>
      </c>
      <c r="AV421" s="5">
        <v>2261.94</v>
      </c>
      <c r="AX421" s="2">
        <v>354027</v>
      </c>
      <c r="AY421" s="2">
        <v>98360</v>
      </c>
      <c r="AZ421" s="2">
        <v>15804.78</v>
      </c>
      <c r="BA421" s="2">
        <v>4391.07</v>
      </c>
      <c r="BB421" s="5">
        <v>4039.17</v>
      </c>
      <c r="BC421" s="12">
        <v>0</v>
      </c>
      <c r="BD421" s="2">
        <v>0</v>
      </c>
      <c r="BE421" s="2">
        <v>0</v>
      </c>
      <c r="BF421" s="2">
        <v>0</v>
      </c>
      <c r="BG421" s="5">
        <v>0</v>
      </c>
      <c r="BH421" s="2">
        <v>27143.22</v>
      </c>
      <c r="BI421" s="12">
        <v>24235.019999999997</v>
      </c>
      <c r="BJ421" s="2">
        <v>0</v>
      </c>
      <c r="BK421" s="5">
        <v>2261.94</v>
      </c>
      <c r="BL421" s="1" t="s">
        <v>90</v>
      </c>
    </row>
    <row r="422" spans="1:64" x14ac:dyDescent="0.3">
      <c r="A422" t="s">
        <v>510</v>
      </c>
      <c r="B422" s="1" t="s">
        <v>514</v>
      </c>
      <c r="C422" s="9" t="s">
        <v>515</v>
      </c>
      <c r="D422" s="1" t="s">
        <v>95</v>
      </c>
      <c r="E422" s="1" t="s">
        <v>88</v>
      </c>
      <c r="F422" s="10" t="s">
        <v>218</v>
      </c>
      <c r="G422" s="1">
        <v>0</v>
      </c>
      <c r="H422" s="1">
        <v>0.05</v>
      </c>
      <c r="I422" s="8">
        <v>45260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0</v>
      </c>
      <c r="U422" s="6">
        <v>0</v>
      </c>
      <c r="V422" s="6">
        <v>0</v>
      </c>
      <c r="W422" s="6">
        <v>0</v>
      </c>
      <c r="AI422" s="2">
        <v>746500</v>
      </c>
      <c r="AJ422" s="2">
        <v>141051</v>
      </c>
      <c r="AK422" s="2">
        <v>33325.89</v>
      </c>
      <c r="AL422" s="2">
        <v>6296.92</v>
      </c>
      <c r="AM422" s="5">
        <v>7924.56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53253.05</v>
      </c>
      <c r="AT422" s="12">
        <v>47547.369999999995</v>
      </c>
      <c r="AU422" s="2">
        <v>0</v>
      </c>
      <c r="AV422" s="5">
        <v>4437.76</v>
      </c>
      <c r="AX422" s="2">
        <v>746500</v>
      </c>
      <c r="AY422" s="2">
        <v>141051</v>
      </c>
      <c r="AZ422" s="2">
        <v>33325.89</v>
      </c>
      <c r="BA422" s="2">
        <v>6296.92</v>
      </c>
      <c r="BB422" s="5">
        <v>7924.56</v>
      </c>
      <c r="BC422" s="12">
        <v>0</v>
      </c>
      <c r="BD422" s="2">
        <v>0</v>
      </c>
      <c r="BE422" s="2">
        <v>0</v>
      </c>
      <c r="BF422" s="2">
        <v>0</v>
      </c>
      <c r="BG422" s="5">
        <v>0</v>
      </c>
      <c r="BH422" s="2">
        <v>53253.05</v>
      </c>
      <c r="BI422" s="12">
        <v>47547.369999999995</v>
      </c>
      <c r="BJ422" s="2">
        <v>0</v>
      </c>
      <c r="BK422" s="5">
        <v>4437.76</v>
      </c>
      <c r="BL422" s="1" t="s">
        <v>90</v>
      </c>
    </row>
    <row r="423" spans="1:64" x14ac:dyDescent="0.3">
      <c r="A423" t="s">
        <v>516</v>
      </c>
      <c r="B423" s="1" t="s">
        <v>516</v>
      </c>
      <c r="C423" s="9" t="s">
        <v>517</v>
      </c>
      <c r="D423" s="1" t="s">
        <v>95</v>
      </c>
      <c r="E423" s="1" t="s">
        <v>128</v>
      </c>
      <c r="F423" s="10" t="s">
        <v>325</v>
      </c>
      <c r="G423" s="1">
        <v>4.4999999999999998E-2</v>
      </c>
      <c r="H423" s="1">
        <v>0.05</v>
      </c>
      <c r="I423" s="8">
        <v>45270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0</v>
      </c>
      <c r="U423" s="6">
        <v>0</v>
      </c>
      <c r="V423" s="6">
        <v>0</v>
      </c>
      <c r="W423" s="6">
        <v>0</v>
      </c>
      <c r="AI423" s="2">
        <v>580282</v>
      </c>
      <c r="AJ423" s="2">
        <v>125925</v>
      </c>
      <c r="AK423" s="2">
        <v>25905.45</v>
      </c>
      <c r="AL423" s="2">
        <v>5621.65</v>
      </c>
      <c r="AM423" s="5">
        <v>6305.42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42372.42</v>
      </c>
      <c r="AT423" s="12">
        <v>37832.519999999997</v>
      </c>
      <c r="AU423" s="2">
        <v>0</v>
      </c>
      <c r="AV423" s="5">
        <v>3531.04</v>
      </c>
      <c r="AX423" s="2">
        <v>580282</v>
      </c>
      <c r="AY423" s="2">
        <v>125925</v>
      </c>
      <c r="AZ423" s="2">
        <v>25905.45</v>
      </c>
      <c r="BA423" s="2">
        <v>5621.65</v>
      </c>
      <c r="BB423" s="5">
        <v>6305.42</v>
      </c>
      <c r="BC423" s="12">
        <v>0</v>
      </c>
      <c r="BD423" s="2">
        <v>0</v>
      </c>
      <c r="BE423" s="2">
        <v>0</v>
      </c>
      <c r="BF423" s="2">
        <v>0</v>
      </c>
      <c r="BG423" s="5">
        <v>0</v>
      </c>
      <c r="BH423" s="2">
        <v>42372.42</v>
      </c>
      <c r="BI423" s="12">
        <v>37832.519999999997</v>
      </c>
      <c r="BJ423" s="2">
        <v>0</v>
      </c>
      <c r="BK423" s="5">
        <v>3531.04</v>
      </c>
      <c r="BL423" s="1" t="s">
        <v>326</v>
      </c>
    </row>
    <row r="424" spans="1:64" x14ac:dyDescent="0.3">
      <c r="A424" t="s">
        <v>532</v>
      </c>
      <c r="B424" s="1" t="s">
        <v>532</v>
      </c>
      <c r="C424" s="9" t="s">
        <v>533</v>
      </c>
      <c r="D424" s="1" t="s">
        <v>95</v>
      </c>
      <c r="E424" s="1" t="s">
        <v>88</v>
      </c>
      <c r="F424" s="10" t="s">
        <v>534</v>
      </c>
      <c r="G424" s="1">
        <v>3.5000000000000003E-2</v>
      </c>
      <c r="H424" s="1">
        <v>0.05</v>
      </c>
      <c r="I424" s="8">
        <v>45611</v>
      </c>
      <c r="J424" s="6">
        <v>0</v>
      </c>
      <c r="K424" s="6">
        <v>0</v>
      </c>
      <c r="L424" s="6">
        <v>0</v>
      </c>
      <c r="M424" s="6">
        <v>0</v>
      </c>
      <c r="N424" s="7">
        <v>0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0</v>
      </c>
      <c r="U424" s="6">
        <v>0</v>
      </c>
      <c r="V424" s="6">
        <v>0</v>
      </c>
      <c r="W424" s="6">
        <v>0</v>
      </c>
      <c r="AI424" s="2">
        <v>130061</v>
      </c>
      <c r="AJ424" s="2">
        <v>37968</v>
      </c>
      <c r="AK424" s="2">
        <v>5806.29</v>
      </c>
      <c r="AL424" s="2">
        <v>1695</v>
      </c>
      <c r="AM424" s="5">
        <v>1500.26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10081.74</v>
      </c>
      <c r="AT424" s="12">
        <v>9001.5499999999993</v>
      </c>
      <c r="AU424" s="2">
        <v>0</v>
      </c>
      <c r="AV424" s="5">
        <v>840.14</v>
      </c>
      <c r="AX424" s="2">
        <v>130061</v>
      </c>
      <c r="AY424" s="2">
        <v>37968</v>
      </c>
      <c r="AZ424" s="2">
        <v>5806.29</v>
      </c>
      <c r="BA424" s="2">
        <v>1695</v>
      </c>
      <c r="BB424" s="5">
        <v>1500.26</v>
      </c>
      <c r="BC424" s="12">
        <v>0</v>
      </c>
      <c r="BD424" s="2">
        <v>0</v>
      </c>
      <c r="BE424" s="2">
        <v>0</v>
      </c>
      <c r="BF424" s="2">
        <v>0</v>
      </c>
      <c r="BG424" s="5">
        <v>0</v>
      </c>
      <c r="BH424" s="2">
        <v>10081.74</v>
      </c>
      <c r="BI424" s="12">
        <v>9001.5499999999993</v>
      </c>
      <c r="BJ424" s="2">
        <v>0</v>
      </c>
      <c r="BK424" s="5">
        <v>840.14</v>
      </c>
      <c r="BL424" s="1" t="s">
        <v>90</v>
      </c>
    </row>
    <row r="425" spans="1:64" x14ac:dyDescent="0.3">
      <c r="A425" t="s">
        <v>535</v>
      </c>
      <c r="B425" s="1" t="s">
        <v>535</v>
      </c>
      <c r="C425" s="9" t="s">
        <v>536</v>
      </c>
      <c r="D425" s="1" t="s">
        <v>95</v>
      </c>
      <c r="E425" s="1" t="s">
        <v>88</v>
      </c>
      <c r="F425" s="10" t="s">
        <v>432</v>
      </c>
      <c r="G425" s="1">
        <v>3.5000000000000003E-2</v>
      </c>
      <c r="H425" s="1">
        <v>0.05</v>
      </c>
      <c r="I425" s="8">
        <v>45616</v>
      </c>
      <c r="J425" s="6">
        <v>0</v>
      </c>
      <c r="K425" s="6">
        <v>0</v>
      </c>
      <c r="L425" s="6">
        <v>0</v>
      </c>
      <c r="M425" s="6">
        <v>0</v>
      </c>
      <c r="N425" s="7">
        <v>0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0</v>
      </c>
      <c r="U425" s="6">
        <v>0</v>
      </c>
      <c r="V425" s="6">
        <v>0</v>
      </c>
      <c r="W425" s="6">
        <v>0</v>
      </c>
      <c r="AI425" s="2">
        <v>359045</v>
      </c>
      <c r="AJ425" s="2">
        <v>257128</v>
      </c>
      <c r="AK425" s="2">
        <v>16028.79</v>
      </c>
      <c r="AL425" s="2">
        <v>11478.93</v>
      </c>
      <c r="AM425" s="5">
        <v>5501.54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36970.370000000003</v>
      </c>
      <c r="AT425" s="12">
        <v>33009.26</v>
      </c>
      <c r="AU425" s="2">
        <v>0</v>
      </c>
      <c r="AV425" s="5">
        <v>3080.86</v>
      </c>
      <c r="AX425" s="2">
        <v>359045</v>
      </c>
      <c r="AY425" s="2">
        <v>257128</v>
      </c>
      <c r="AZ425" s="2">
        <v>16028.79</v>
      </c>
      <c r="BA425" s="2">
        <v>11478.93</v>
      </c>
      <c r="BB425" s="5">
        <v>5501.54</v>
      </c>
      <c r="BC425" s="12">
        <v>0</v>
      </c>
      <c r="BD425" s="2">
        <v>0</v>
      </c>
      <c r="BE425" s="2">
        <v>0</v>
      </c>
      <c r="BF425" s="2">
        <v>0</v>
      </c>
      <c r="BG425" s="5">
        <v>0</v>
      </c>
      <c r="BH425" s="2">
        <v>36970.370000000003</v>
      </c>
      <c r="BI425" s="12">
        <v>33009.26</v>
      </c>
      <c r="BJ425" s="2">
        <v>0</v>
      </c>
      <c r="BK425" s="5">
        <v>3080.86</v>
      </c>
      <c r="BL425" s="1" t="s">
        <v>90</v>
      </c>
    </row>
    <row r="426" spans="1:64" x14ac:dyDescent="0.3">
      <c r="A426" t="s">
        <v>535</v>
      </c>
      <c r="B426" s="1" t="s">
        <v>537</v>
      </c>
      <c r="C426" s="9" t="s">
        <v>538</v>
      </c>
      <c r="D426" s="1" t="s">
        <v>95</v>
      </c>
      <c r="E426" s="1" t="s">
        <v>88</v>
      </c>
      <c r="F426" s="10" t="s">
        <v>432</v>
      </c>
      <c r="G426" s="1">
        <v>3.5000000000000003E-2</v>
      </c>
      <c r="H426" s="1">
        <v>0.05</v>
      </c>
      <c r="I426" s="8">
        <v>45616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0</v>
      </c>
      <c r="U426" s="6">
        <v>0</v>
      </c>
      <c r="V426" s="6">
        <v>0</v>
      </c>
      <c r="W426" s="6">
        <v>0</v>
      </c>
      <c r="AI426" s="2">
        <v>356240</v>
      </c>
      <c r="AJ426" s="2">
        <v>173657</v>
      </c>
      <c r="AK426" s="2">
        <v>15903.57</v>
      </c>
      <c r="AL426" s="2">
        <v>7752.54</v>
      </c>
      <c r="AM426" s="5">
        <v>4731.22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31793.81</v>
      </c>
      <c r="AT426" s="12">
        <v>28387.33</v>
      </c>
      <c r="AU426" s="2">
        <v>0</v>
      </c>
      <c r="AV426" s="5">
        <v>2649.48</v>
      </c>
      <c r="AX426" s="2">
        <v>356240</v>
      </c>
      <c r="AY426" s="2">
        <v>173657</v>
      </c>
      <c r="AZ426" s="2">
        <v>15903.57</v>
      </c>
      <c r="BA426" s="2">
        <v>7752.54</v>
      </c>
      <c r="BB426" s="5">
        <v>4731.22</v>
      </c>
      <c r="BC426" s="12">
        <v>0</v>
      </c>
      <c r="BD426" s="2">
        <v>0</v>
      </c>
      <c r="BE426" s="2">
        <v>0</v>
      </c>
      <c r="BF426" s="2">
        <v>0</v>
      </c>
      <c r="BG426" s="5">
        <v>0</v>
      </c>
      <c r="BH426" s="2">
        <v>31793.81</v>
      </c>
      <c r="BI426" s="12">
        <v>28387.33</v>
      </c>
      <c r="BJ426" s="2">
        <v>0</v>
      </c>
      <c r="BK426" s="5">
        <v>2649.48</v>
      </c>
      <c r="BL426" s="1" t="s">
        <v>90</v>
      </c>
    </row>
    <row r="427" spans="1:64" x14ac:dyDescent="0.3">
      <c r="A427" t="s">
        <v>539</v>
      </c>
      <c r="B427" s="1" t="s">
        <v>539</v>
      </c>
      <c r="C427" s="9" t="s">
        <v>540</v>
      </c>
      <c r="D427" s="1" t="s">
        <v>95</v>
      </c>
      <c r="E427" s="1" t="s">
        <v>128</v>
      </c>
      <c r="F427" s="10" t="s">
        <v>309</v>
      </c>
      <c r="G427" s="1">
        <v>3.5000000000000003E-2</v>
      </c>
      <c r="H427" s="1">
        <v>0.05</v>
      </c>
      <c r="I427" s="8">
        <v>45627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  <c r="T427" s="11">
        <v>0</v>
      </c>
      <c r="U427" s="6">
        <v>0</v>
      </c>
      <c r="V427" s="6">
        <v>0</v>
      </c>
      <c r="W427" s="6">
        <v>0</v>
      </c>
      <c r="AI427" s="2">
        <v>945225.25</v>
      </c>
      <c r="AJ427" s="2">
        <v>33663</v>
      </c>
      <c r="AK427" s="2">
        <v>42197.55</v>
      </c>
      <c r="AL427" s="2">
        <v>1502.81</v>
      </c>
      <c r="AM427" s="5">
        <v>8740.07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58733.279999999999</v>
      </c>
      <c r="AT427" s="12">
        <v>52440.43</v>
      </c>
      <c r="AU427" s="2">
        <v>0</v>
      </c>
      <c r="AV427" s="5">
        <v>4894.4399999999996</v>
      </c>
      <c r="AX427" s="2">
        <v>945225.25</v>
      </c>
      <c r="AY427" s="2">
        <v>33663</v>
      </c>
      <c r="AZ427" s="2">
        <v>42197.55</v>
      </c>
      <c r="BA427" s="2">
        <v>1502.81</v>
      </c>
      <c r="BB427" s="5">
        <v>8740.07</v>
      </c>
      <c r="BC427" s="12">
        <v>0</v>
      </c>
      <c r="BD427" s="2">
        <v>0</v>
      </c>
      <c r="BE427" s="2">
        <v>0</v>
      </c>
      <c r="BF427" s="2">
        <v>0</v>
      </c>
      <c r="BG427" s="5">
        <v>0</v>
      </c>
      <c r="BH427" s="2">
        <v>58733.279999999999</v>
      </c>
      <c r="BI427" s="12">
        <v>52440.43</v>
      </c>
      <c r="BJ427" s="2">
        <v>0</v>
      </c>
      <c r="BK427" s="5">
        <v>4894.4399999999996</v>
      </c>
      <c r="BL427" s="1" t="s">
        <v>130</v>
      </c>
    </row>
    <row r="428" spans="1:64" x14ac:dyDescent="0.3">
      <c r="A428" t="s">
        <v>539</v>
      </c>
      <c r="B428" s="1" t="s">
        <v>541</v>
      </c>
      <c r="C428" s="9" t="s">
        <v>542</v>
      </c>
      <c r="D428" s="1" t="s">
        <v>95</v>
      </c>
      <c r="E428" s="1" t="s">
        <v>128</v>
      </c>
      <c r="F428" s="10" t="s">
        <v>309</v>
      </c>
      <c r="G428" s="1">
        <v>0</v>
      </c>
      <c r="H428" s="1">
        <v>0.05</v>
      </c>
      <c r="I428" s="8">
        <v>45589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0</v>
      </c>
      <c r="U428" s="6">
        <v>0</v>
      </c>
      <c r="V428" s="6">
        <v>0</v>
      </c>
      <c r="W428" s="6">
        <v>0</v>
      </c>
      <c r="AI428" s="2">
        <v>414231.95</v>
      </c>
      <c r="AJ428" s="2">
        <v>6618</v>
      </c>
      <c r="AK428" s="2">
        <v>18492.5</v>
      </c>
      <c r="AL428" s="2">
        <v>295.45</v>
      </c>
      <c r="AM428" s="5">
        <v>3757.59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25251</v>
      </c>
      <c r="AT428" s="12">
        <v>22545.54</v>
      </c>
      <c r="AU428" s="2">
        <v>0</v>
      </c>
      <c r="AV428" s="5">
        <v>2104.25</v>
      </c>
      <c r="AX428" s="2">
        <v>414231.95</v>
      </c>
      <c r="AY428" s="2">
        <v>6618</v>
      </c>
      <c r="AZ428" s="2">
        <v>18492.5</v>
      </c>
      <c r="BA428" s="2">
        <v>295.45</v>
      </c>
      <c r="BB428" s="5">
        <v>3757.59</v>
      </c>
      <c r="BC428" s="12">
        <v>0</v>
      </c>
      <c r="BD428" s="2">
        <v>0</v>
      </c>
      <c r="BE428" s="2">
        <v>0</v>
      </c>
      <c r="BF428" s="2">
        <v>0</v>
      </c>
      <c r="BG428" s="5">
        <v>0</v>
      </c>
      <c r="BH428" s="2">
        <v>25251</v>
      </c>
      <c r="BI428" s="12">
        <v>22545.54</v>
      </c>
      <c r="BJ428" s="2">
        <v>0</v>
      </c>
      <c r="BK428" s="5">
        <v>2104.25</v>
      </c>
      <c r="BL428" s="1" t="s">
        <v>130</v>
      </c>
    </row>
    <row r="429" spans="1:64" x14ac:dyDescent="0.3">
      <c r="A429" t="s">
        <v>543</v>
      </c>
      <c r="B429" s="1" t="s">
        <v>543</v>
      </c>
      <c r="C429" s="9" t="s">
        <v>544</v>
      </c>
      <c r="D429" s="1" t="s">
        <v>95</v>
      </c>
      <c r="E429" s="1" t="s">
        <v>88</v>
      </c>
      <c r="F429" s="10" t="s">
        <v>545</v>
      </c>
      <c r="G429" s="1">
        <v>3.5000000000000003E-2</v>
      </c>
      <c r="H429" s="1">
        <v>0.05</v>
      </c>
      <c r="I429" s="8">
        <v>45636</v>
      </c>
      <c r="J429" s="6">
        <v>0</v>
      </c>
      <c r="K429" s="6">
        <v>0</v>
      </c>
      <c r="L429" s="6">
        <v>0</v>
      </c>
      <c r="M429" s="6">
        <v>0</v>
      </c>
      <c r="N429" s="7">
        <v>0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0</v>
      </c>
      <c r="U429" s="6">
        <v>0</v>
      </c>
      <c r="V429" s="6">
        <v>0</v>
      </c>
      <c r="W429" s="6">
        <v>0</v>
      </c>
      <c r="AI429" s="2">
        <v>1142995</v>
      </c>
      <c r="AJ429" s="2">
        <v>771392</v>
      </c>
      <c r="AK429" s="2">
        <v>51026.559999999998</v>
      </c>
      <c r="AL429" s="2">
        <v>34437.14</v>
      </c>
      <c r="AM429" s="5">
        <v>17092.740000000002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114863.21</v>
      </c>
      <c r="AT429" s="12">
        <v>102556.44</v>
      </c>
      <c r="AU429" s="2">
        <v>0</v>
      </c>
      <c r="AV429" s="5">
        <v>9571.94</v>
      </c>
      <c r="AX429" s="2">
        <v>1142995</v>
      </c>
      <c r="AY429" s="2">
        <v>771392</v>
      </c>
      <c r="AZ429" s="2">
        <v>51026.559999999998</v>
      </c>
      <c r="BA429" s="2">
        <v>34437.14</v>
      </c>
      <c r="BB429" s="5">
        <v>17092.740000000002</v>
      </c>
      <c r="BC429" s="12">
        <v>0</v>
      </c>
      <c r="BD429" s="2">
        <v>0</v>
      </c>
      <c r="BE429" s="2">
        <v>0</v>
      </c>
      <c r="BF429" s="2">
        <v>0</v>
      </c>
      <c r="BG429" s="5">
        <v>0</v>
      </c>
      <c r="BH429" s="2">
        <v>114863.21</v>
      </c>
      <c r="BI429" s="12">
        <v>102556.44</v>
      </c>
      <c r="BJ429" s="2">
        <v>0</v>
      </c>
      <c r="BK429" s="5">
        <v>9571.94</v>
      </c>
      <c r="BL429" s="1" t="s">
        <v>546</v>
      </c>
    </row>
    <row r="430" spans="1:64" x14ac:dyDescent="0.3">
      <c r="A430" t="s">
        <v>543</v>
      </c>
      <c r="B430" s="1" t="s">
        <v>547</v>
      </c>
      <c r="C430" s="9" t="s">
        <v>548</v>
      </c>
      <c r="D430" s="1" t="s">
        <v>95</v>
      </c>
      <c r="E430" s="1" t="s">
        <v>88</v>
      </c>
      <c r="F430" s="10" t="s">
        <v>545</v>
      </c>
      <c r="G430" s="1">
        <v>3.5000000000000003E-2</v>
      </c>
      <c r="H430" s="1">
        <v>0.05</v>
      </c>
      <c r="I430" s="8">
        <v>45636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0</v>
      </c>
      <c r="U430" s="6">
        <v>0</v>
      </c>
      <c r="V430" s="6">
        <v>0</v>
      </c>
      <c r="W430" s="6">
        <v>0</v>
      </c>
      <c r="AI430" s="2">
        <v>176579</v>
      </c>
      <c r="AJ430" s="2">
        <v>3790</v>
      </c>
      <c r="AK430" s="2">
        <v>7882.99</v>
      </c>
      <c r="AL430" s="2">
        <v>169.2</v>
      </c>
      <c r="AM430" s="5">
        <v>1610.44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10822.15</v>
      </c>
      <c r="AT430" s="12">
        <v>9662.6299999999992</v>
      </c>
      <c r="AU430" s="2">
        <v>0</v>
      </c>
      <c r="AV430" s="5">
        <v>901.84</v>
      </c>
      <c r="AX430" s="2">
        <v>176579</v>
      </c>
      <c r="AY430" s="2">
        <v>3790</v>
      </c>
      <c r="AZ430" s="2">
        <v>7882.99</v>
      </c>
      <c r="BA430" s="2">
        <v>169.2</v>
      </c>
      <c r="BB430" s="5">
        <v>1610.44</v>
      </c>
      <c r="BC430" s="12">
        <v>0</v>
      </c>
      <c r="BD430" s="2">
        <v>0</v>
      </c>
      <c r="BE430" s="2">
        <v>0</v>
      </c>
      <c r="BF430" s="2">
        <v>0</v>
      </c>
      <c r="BG430" s="5">
        <v>0</v>
      </c>
      <c r="BH430" s="2">
        <v>10822.15</v>
      </c>
      <c r="BI430" s="12">
        <v>9662.6299999999992</v>
      </c>
      <c r="BJ430" s="2">
        <v>0</v>
      </c>
      <c r="BK430" s="5">
        <v>901.84</v>
      </c>
      <c r="BL430" s="1" t="s">
        <v>546</v>
      </c>
    </row>
    <row r="431" spans="1:64" x14ac:dyDescent="0.3">
      <c r="A431" t="s">
        <v>543</v>
      </c>
      <c r="B431" s="1" t="s">
        <v>549</v>
      </c>
      <c r="C431" s="9" t="s">
        <v>550</v>
      </c>
      <c r="D431" s="1" t="s">
        <v>95</v>
      </c>
      <c r="E431" s="1" t="s">
        <v>88</v>
      </c>
      <c r="F431" s="10" t="s">
        <v>545</v>
      </c>
      <c r="G431" s="1">
        <v>0</v>
      </c>
      <c r="H431" s="1">
        <v>0.05</v>
      </c>
      <c r="I431" s="8">
        <v>45444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0</v>
      </c>
      <c r="U431" s="6">
        <v>0</v>
      </c>
      <c r="V431" s="6">
        <v>0</v>
      </c>
      <c r="W431" s="6">
        <v>0</v>
      </c>
      <c r="AI431" s="2">
        <v>156645</v>
      </c>
      <c r="AJ431" s="2">
        <v>5165</v>
      </c>
      <c r="AK431" s="2">
        <v>6993.08</v>
      </c>
      <c r="AL431" s="2">
        <v>230.58</v>
      </c>
      <c r="AM431" s="5">
        <v>1444.73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9708.6</v>
      </c>
      <c r="AT431" s="12">
        <v>8668.39</v>
      </c>
      <c r="AU431" s="2">
        <v>0</v>
      </c>
      <c r="AV431" s="5">
        <v>809.05</v>
      </c>
      <c r="AX431" s="2">
        <v>156645</v>
      </c>
      <c r="AY431" s="2">
        <v>5165</v>
      </c>
      <c r="AZ431" s="2">
        <v>6993.08</v>
      </c>
      <c r="BA431" s="2">
        <v>230.58</v>
      </c>
      <c r="BB431" s="5">
        <v>1444.73</v>
      </c>
      <c r="BC431" s="12">
        <v>0</v>
      </c>
      <c r="BD431" s="2">
        <v>0</v>
      </c>
      <c r="BE431" s="2">
        <v>0</v>
      </c>
      <c r="BF431" s="2">
        <v>0</v>
      </c>
      <c r="BG431" s="5">
        <v>0</v>
      </c>
      <c r="BH431" s="2">
        <v>9708.6</v>
      </c>
      <c r="BI431" s="12">
        <v>8668.39</v>
      </c>
      <c r="BJ431" s="2">
        <v>0</v>
      </c>
      <c r="BK431" s="5">
        <v>809.05</v>
      </c>
      <c r="BL431" s="1" t="s">
        <v>546</v>
      </c>
    </row>
    <row r="432" spans="1:64" x14ac:dyDescent="0.3">
      <c r="A432" t="s">
        <v>551</v>
      </c>
      <c r="B432" s="1" t="s">
        <v>551</v>
      </c>
      <c r="C432" s="9" t="s">
        <v>552</v>
      </c>
      <c r="D432" s="1" t="s">
        <v>95</v>
      </c>
      <c r="E432" s="1" t="s">
        <v>135</v>
      </c>
      <c r="F432" s="10" t="s">
        <v>193</v>
      </c>
      <c r="G432" s="1">
        <v>3.5000000000000003E-2</v>
      </c>
      <c r="H432" s="1">
        <v>0.05</v>
      </c>
      <c r="I432" s="8">
        <v>45694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0</v>
      </c>
      <c r="U432" s="6">
        <v>0</v>
      </c>
      <c r="V432" s="6">
        <v>0</v>
      </c>
      <c r="W432" s="6">
        <v>0</v>
      </c>
      <c r="AI432" s="2">
        <v>980818</v>
      </c>
      <c r="AJ432" s="2">
        <v>449747</v>
      </c>
      <c r="AK432" s="2">
        <v>43786.52</v>
      </c>
      <c r="AL432" s="2">
        <v>20077.990000000002</v>
      </c>
      <c r="AM432" s="5">
        <v>12772.9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85833.9</v>
      </c>
      <c r="AT432" s="12">
        <v>76637.409999999989</v>
      </c>
      <c r="AU432" s="2">
        <v>0</v>
      </c>
      <c r="AV432" s="5">
        <v>7152.82</v>
      </c>
      <c r="AX432" s="2">
        <v>980818</v>
      </c>
      <c r="AY432" s="2">
        <v>449747</v>
      </c>
      <c r="AZ432" s="2">
        <v>43786.52</v>
      </c>
      <c r="BA432" s="2">
        <v>20077.990000000002</v>
      </c>
      <c r="BB432" s="5">
        <v>12772.9</v>
      </c>
      <c r="BC432" s="12">
        <v>0</v>
      </c>
      <c r="BD432" s="2">
        <v>0</v>
      </c>
      <c r="BE432" s="2">
        <v>0</v>
      </c>
      <c r="BF432" s="2">
        <v>0</v>
      </c>
      <c r="BG432" s="5">
        <v>0</v>
      </c>
      <c r="BH432" s="2">
        <v>85833.9</v>
      </c>
      <c r="BI432" s="12">
        <v>76637.409999999989</v>
      </c>
      <c r="BJ432" s="2">
        <v>0</v>
      </c>
      <c r="BK432" s="5">
        <v>7152.82</v>
      </c>
      <c r="BL432" s="1" t="s">
        <v>137</v>
      </c>
    </row>
    <row r="433" spans="1:64" x14ac:dyDescent="0.3">
      <c r="A433" t="s">
        <v>551</v>
      </c>
      <c r="B433" s="1" t="s">
        <v>553</v>
      </c>
      <c r="C433" s="9" t="s">
        <v>554</v>
      </c>
      <c r="D433" s="1" t="s">
        <v>95</v>
      </c>
      <c r="E433" s="1" t="s">
        <v>135</v>
      </c>
      <c r="F433" s="10" t="s">
        <v>193</v>
      </c>
      <c r="G433" s="1">
        <v>0.04</v>
      </c>
      <c r="H433" s="1">
        <v>0.05</v>
      </c>
      <c r="I433" s="8">
        <v>45694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0</v>
      </c>
      <c r="U433" s="6">
        <v>0</v>
      </c>
      <c r="V433" s="6">
        <v>0</v>
      </c>
      <c r="W433" s="6">
        <v>0</v>
      </c>
      <c r="AI433" s="2">
        <v>45775</v>
      </c>
      <c r="AJ433" s="2">
        <v>23672</v>
      </c>
      <c r="AK433" s="2">
        <v>2043.53</v>
      </c>
      <c r="AL433" s="2">
        <v>1056.79</v>
      </c>
      <c r="AM433" s="5">
        <v>620.05999999999995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4166.83</v>
      </c>
      <c r="AT433" s="12">
        <v>3720.3799999999997</v>
      </c>
      <c r="AU433" s="2">
        <v>0</v>
      </c>
      <c r="AV433" s="5">
        <v>347.24</v>
      </c>
      <c r="AX433" s="2">
        <v>45775</v>
      </c>
      <c r="AY433" s="2">
        <v>23672</v>
      </c>
      <c r="AZ433" s="2">
        <v>2043.53</v>
      </c>
      <c r="BA433" s="2">
        <v>1056.79</v>
      </c>
      <c r="BB433" s="5">
        <v>620.05999999999995</v>
      </c>
      <c r="BC433" s="12">
        <v>0</v>
      </c>
      <c r="BD433" s="2">
        <v>0</v>
      </c>
      <c r="BE433" s="2">
        <v>0</v>
      </c>
      <c r="BF433" s="2">
        <v>0</v>
      </c>
      <c r="BG433" s="5">
        <v>0</v>
      </c>
      <c r="BH433" s="2">
        <v>4166.83</v>
      </c>
      <c r="BI433" s="12">
        <v>3720.3799999999997</v>
      </c>
      <c r="BJ433" s="2">
        <v>0</v>
      </c>
      <c r="BK433" s="5">
        <v>347.24</v>
      </c>
      <c r="BL433" s="1" t="s">
        <v>436</v>
      </c>
    </row>
    <row r="434" spans="1:64" x14ac:dyDescent="0.3">
      <c r="A434" t="s">
        <v>555</v>
      </c>
      <c r="B434" s="1" t="s">
        <v>555</v>
      </c>
      <c r="C434" s="9" t="s">
        <v>556</v>
      </c>
      <c r="D434" s="1" t="s">
        <v>95</v>
      </c>
      <c r="E434" s="1" t="s">
        <v>88</v>
      </c>
      <c r="F434" s="10" t="s">
        <v>218</v>
      </c>
      <c r="G434" s="1">
        <v>3.5000000000000003E-2</v>
      </c>
      <c r="H434" s="1">
        <v>0.05</v>
      </c>
      <c r="I434" s="8">
        <v>45752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0</v>
      </c>
      <c r="U434" s="6">
        <v>0</v>
      </c>
      <c r="V434" s="6">
        <v>0</v>
      </c>
      <c r="W434" s="6">
        <v>0</v>
      </c>
      <c r="AI434" s="2">
        <v>434860</v>
      </c>
      <c r="AJ434" s="2">
        <v>137639</v>
      </c>
      <c r="AK434" s="2">
        <v>18636.86</v>
      </c>
      <c r="AL434" s="2">
        <v>5898.82</v>
      </c>
      <c r="AM434" s="5">
        <v>5111.6000000000004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33204.949999999997</v>
      </c>
      <c r="AT434" s="12">
        <v>29647.279999999999</v>
      </c>
      <c r="AU434" s="2">
        <v>0</v>
      </c>
      <c r="AV434" s="5">
        <v>2862.5</v>
      </c>
      <c r="AX434" s="2">
        <v>434860</v>
      </c>
      <c r="AY434" s="2">
        <v>137639</v>
      </c>
      <c r="AZ434" s="2">
        <v>18636.86</v>
      </c>
      <c r="BA434" s="2">
        <v>5898.82</v>
      </c>
      <c r="BB434" s="5">
        <v>5111.6000000000004</v>
      </c>
      <c r="BC434" s="12">
        <v>0</v>
      </c>
      <c r="BD434" s="2">
        <v>0</v>
      </c>
      <c r="BE434" s="2">
        <v>0</v>
      </c>
      <c r="BF434" s="2">
        <v>0</v>
      </c>
      <c r="BG434" s="5">
        <v>0</v>
      </c>
      <c r="BH434" s="2">
        <v>33204.949999999997</v>
      </c>
      <c r="BI434" s="12">
        <v>29647.279999999999</v>
      </c>
      <c r="BJ434" s="2">
        <v>0</v>
      </c>
      <c r="BK434" s="5">
        <v>2862.5</v>
      </c>
      <c r="BL434" s="1" t="s">
        <v>90</v>
      </c>
    </row>
    <row r="435" spans="1:64" x14ac:dyDescent="0.3">
      <c r="A435" t="s">
        <v>557</v>
      </c>
      <c r="B435" s="1" t="s">
        <v>557</v>
      </c>
      <c r="C435" s="9" t="s">
        <v>558</v>
      </c>
      <c r="D435" s="1" t="s">
        <v>95</v>
      </c>
      <c r="E435" s="1" t="s">
        <v>135</v>
      </c>
      <c r="F435" s="10" t="s">
        <v>485</v>
      </c>
      <c r="G435" s="1">
        <v>3.5000000000000003E-2</v>
      </c>
      <c r="H435" s="1">
        <v>0.05</v>
      </c>
      <c r="I435" s="8">
        <v>43929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0</v>
      </c>
      <c r="U435" s="6">
        <v>0</v>
      </c>
      <c r="V435" s="6">
        <v>0</v>
      </c>
      <c r="W435" s="6">
        <v>0</v>
      </c>
      <c r="AI435" s="2">
        <v>121358</v>
      </c>
      <c r="AJ435" s="2">
        <v>16791</v>
      </c>
      <c r="AK435" s="2">
        <v>5417.77</v>
      </c>
      <c r="AL435" s="2">
        <v>749.6</v>
      </c>
      <c r="AM435" s="5">
        <v>1233.47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8288.94</v>
      </c>
      <c r="AT435" s="12">
        <v>7400.8400000000011</v>
      </c>
      <c r="AU435" s="2">
        <v>0</v>
      </c>
      <c r="AV435" s="5">
        <v>690.74</v>
      </c>
      <c r="AX435" s="2">
        <v>121358</v>
      </c>
      <c r="AY435" s="2">
        <v>16791</v>
      </c>
      <c r="AZ435" s="2">
        <v>5417.77</v>
      </c>
      <c r="BA435" s="2">
        <v>749.6</v>
      </c>
      <c r="BB435" s="5">
        <v>1233.47</v>
      </c>
      <c r="BC435" s="12">
        <v>0</v>
      </c>
      <c r="BD435" s="2">
        <v>0</v>
      </c>
      <c r="BE435" s="2">
        <v>0</v>
      </c>
      <c r="BF435" s="2">
        <v>0</v>
      </c>
      <c r="BG435" s="5">
        <v>0</v>
      </c>
      <c r="BH435" s="2">
        <v>8288.94</v>
      </c>
      <c r="BI435" s="12">
        <v>7400.8400000000011</v>
      </c>
      <c r="BJ435" s="2">
        <v>0</v>
      </c>
      <c r="BK435" s="5">
        <v>690.74</v>
      </c>
      <c r="BL435" s="1" t="s">
        <v>302</v>
      </c>
    </row>
    <row r="436" spans="1:64" x14ac:dyDescent="0.3">
      <c r="A436" t="s">
        <v>571</v>
      </c>
      <c r="B436" s="1" t="s">
        <v>571</v>
      </c>
      <c r="C436" s="9" t="s">
        <v>572</v>
      </c>
      <c r="D436" s="1" t="s">
        <v>95</v>
      </c>
      <c r="E436" s="1" t="s">
        <v>128</v>
      </c>
      <c r="F436" s="10" t="s">
        <v>401</v>
      </c>
      <c r="G436" s="1">
        <v>3.5000000000000003E-2</v>
      </c>
      <c r="H436" s="1">
        <v>0.05</v>
      </c>
      <c r="I436" s="8">
        <v>44256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0</v>
      </c>
      <c r="U436" s="6">
        <v>0</v>
      </c>
      <c r="V436" s="6">
        <v>0</v>
      </c>
      <c r="W436" s="6">
        <v>0</v>
      </c>
      <c r="AI436" s="2">
        <v>258200</v>
      </c>
      <c r="AJ436" s="2">
        <v>11596</v>
      </c>
      <c r="AK436" s="2">
        <v>11526.79</v>
      </c>
      <c r="AL436" s="2">
        <v>517.67999999999995</v>
      </c>
      <c r="AM436" s="5">
        <v>2408.89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16187.76</v>
      </c>
      <c r="AT436" s="12">
        <v>14453.36</v>
      </c>
      <c r="AU436" s="2">
        <v>0</v>
      </c>
      <c r="AV436" s="5">
        <v>1348.98</v>
      </c>
      <c r="AX436" s="2">
        <v>258200</v>
      </c>
      <c r="AY436" s="2">
        <v>11596</v>
      </c>
      <c r="AZ436" s="2">
        <v>11526.79</v>
      </c>
      <c r="BA436" s="2">
        <v>517.67999999999995</v>
      </c>
      <c r="BB436" s="5">
        <v>2408.89</v>
      </c>
      <c r="BC436" s="12">
        <v>0</v>
      </c>
      <c r="BD436" s="2">
        <v>0</v>
      </c>
      <c r="BE436" s="2">
        <v>0</v>
      </c>
      <c r="BF436" s="2">
        <v>0</v>
      </c>
      <c r="BG436" s="5">
        <v>0</v>
      </c>
      <c r="BH436" s="2">
        <v>16187.76</v>
      </c>
      <c r="BI436" s="12">
        <v>14453.36</v>
      </c>
      <c r="BJ436" s="2">
        <v>0</v>
      </c>
      <c r="BK436" s="5">
        <v>1348.98</v>
      </c>
      <c r="BL436" s="1" t="s">
        <v>130</v>
      </c>
    </row>
    <row r="437" spans="1:64" x14ac:dyDescent="0.3">
      <c r="A437" t="s">
        <v>571</v>
      </c>
      <c r="B437" s="1" t="s">
        <v>573</v>
      </c>
      <c r="C437" s="9" t="s">
        <v>574</v>
      </c>
      <c r="D437" s="1" t="s">
        <v>95</v>
      </c>
      <c r="E437" s="1" t="s">
        <v>128</v>
      </c>
      <c r="F437" s="10" t="s">
        <v>401</v>
      </c>
      <c r="G437" s="1">
        <v>3.5000000000000003E-2</v>
      </c>
      <c r="H437" s="1">
        <v>0.05</v>
      </c>
      <c r="I437" s="8">
        <v>44256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0</v>
      </c>
      <c r="U437" s="6">
        <v>0</v>
      </c>
      <c r="V437" s="6">
        <v>0</v>
      </c>
      <c r="W437" s="6">
        <v>0</v>
      </c>
      <c r="AI437" s="2">
        <v>378113</v>
      </c>
      <c r="AJ437" s="2">
        <v>15186</v>
      </c>
      <c r="AK437" s="2">
        <v>16880.04</v>
      </c>
      <c r="AL437" s="2">
        <v>677.95</v>
      </c>
      <c r="AM437" s="5">
        <v>3511.6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23597.94</v>
      </c>
      <c r="AT437" s="12">
        <v>21069.59</v>
      </c>
      <c r="AU437" s="2">
        <v>0</v>
      </c>
      <c r="AV437" s="5">
        <v>1966.5</v>
      </c>
      <c r="AX437" s="2">
        <v>378113</v>
      </c>
      <c r="AY437" s="2">
        <v>15186</v>
      </c>
      <c r="AZ437" s="2">
        <v>16880.04</v>
      </c>
      <c r="BA437" s="2">
        <v>677.95</v>
      </c>
      <c r="BB437" s="5">
        <v>3511.6</v>
      </c>
      <c r="BC437" s="12">
        <v>0</v>
      </c>
      <c r="BD437" s="2">
        <v>0</v>
      </c>
      <c r="BE437" s="2">
        <v>0</v>
      </c>
      <c r="BF437" s="2">
        <v>0</v>
      </c>
      <c r="BG437" s="5">
        <v>0</v>
      </c>
      <c r="BH437" s="2">
        <v>23597.94</v>
      </c>
      <c r="BI437" s="12">
        <v>21069.59</v>
      </c>
      <c r="BJ437" s="2">
        <v>0</v>
      </c>
      <c r="BK437" s="5">
        <v>1966.5</v>
      </c>
      <c r="BL437" s="1" t="s">
        <v>130</v>
      </c>
    </row>
    <row r="438" spans="1:64" x14ac:dyDescent="0.3">
      <c r="A438" t="s">
        <v>575</v>
      </c>
      <c r="B438" s="1" t="s">
        <v>575</v>
      </c>
      <c r="C438" s="9" t="s">
        <v>576</v>
      </c>
      <c r="D438" s="1" t="s">
        <v>95</v>
      </c>
      <c r="E438" s="1" t="s">
        <v>135</v>
      </c>
      <c r="F438" s="10" t="s">
        <v>435</v>
      </c>
      <c r="G438" s="1">
        <v>3.5000000000000003E-2</v>
      </c>
      <c r="H438" s="1">
        <v>0.05</v>
      </c>
      <c r="I438" s="8">
        <v>44273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0</v>
      </c>
      <c r="U438" s="6">
        <v>0</v>
      </c>
      <c r="V438" s="6">
        <v>0</v>
      </c>
      <c r="W438" s="6">
        <v>0</v>
      </c>
      <c r="AI438" s="2">
        <v>574451</v>
      </c>
      <c r="AJ438" s="2">
        <v>191575</v>
      </c>
      <c r="AK438" s="2">
        <v>25645.13</v>
      </c>
      <c r="AL438" s="2">
        <v>8552.4599999999991</v>
      </c>
      <c r="AM438" s="5">
        <v>6839.52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45961.56</v>
      </c>
      <c r="AT438" s="12">
        <v>41037.11</v>
      </c>
      <c r="AU438" s="2">
        <v>0</v>
      </c>
      <c r="AV438" s="5">
        <v>3830.13</v>
      </c>
      <c r="AX438" s="2">
        <v>574451</v>
      </c>
      <c r="AY438" s="2">
        <v>191575</v>
      </c>
      <c r="AZ438" s="2">
        <v>25645.13</v>
      </c>
      <c r="BA438" s="2">
        <v>8552.4599999999991</v>
      </c>
      <c r="BB438" s="5">
        <v>6839.52</v>
      </c>
      <c r="BC438" s="12">
        <v>0</v>
      </c>
      <c r="BD438" s="2">
        <v>0</v>
      </c>
      <c r="BE438" s="2">
        <v>0</v>
      </c>
      <c r="BF438" s="2">
        <v>0</v>
      </c>
      <c r="BG438" s="5">
        <v>0</v>
      </c>
      <c r="BH438" s="2">
        <v>45961.56</v>
      </c>
      <c r="BI438" s="12">
        <v>41037.11</v>
      </c>
      <c r="BJ438" s="2">
        <v>0</v>
      </c>
      <c r="BK438" s="5">
        <v>3830.13</v>
      </c>
      <c r="BL438" s="1" t="s">
        <v>436</v>
      </c>
    </row>
    <row r="439" spans="1:64" x14ac:dyDescent="0.3">
      <c r="A439" t="s">
        <v>584</v>
      </c>
      <c r="B439" s="1" t="s">
        <v>584</v>
      </c>
      <c r="C439" s="9" t="s">
        <v>585</v>
      </c>
      <c r="D439" s="1" t="s">
        <v>95</v>
      </c>
      <c r="E439" s="1" t="s">
        <v>135</v>
      </c>
      <c r="F439" s="10" t="s">
        <v>435</v>
      </c>
      <c r="G439" s="1">
        <v>3.5000000000000003E-2</v>
      </c>
      <c r="H439" s="1">
        <v>0.05</v>
      </c>
      <c r="I439" s="8">
        <v>44420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0</v>
      </c>
      <c r="U439" s="6">
        <v>0</v>
      </c>
      <c r="V439" s="6">
        <v>0</v>
      </c>
      <c r="W439" s="6">
        <v>0</v>
      </c>
      <c r="AI439" s="2">
        <v>545308</v>
      </c>
      <c r="AJ439" s="2">
        <v>84135</v>
      </c>
      <c r="AK439" s="2">
        <v>24344.11</v>
      </c>
      <c r="AL439" s="2">
        <v>3756.03</v>
      </c>
      <c r="AM439" s="5">
        <v>5620.03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37766.589999999997</v>
      </c>
      <c r="AT439" s="12">
        <v>33720.17</v>
      </c>
      <c r="AU439" s="2">
        <v>0</v>
      </c>
      <c r="AV439" s="5">
        <v>3147.22</v>
      </c>
      <c r="AX439" s="2">
        <v>545308</v>
      </c>
      <c r="AY439" s="2">
        <v>84135</v>
      </c>
      <c r="AZ439" s="2">
        <v>24344.11</v>
      </c>
      <c r="BA439" s="2">
        <v>3756.03</v>
      </c>
      <c r="BB439" s="5">
        <v>5620.03</v>
      </c>
      <c r="BC439" s="12">
        <v>0</v>
      </c>
      <c r="BD439" s="2">
        <v>0</v>
      </c>
      <c r="BE439" s="2">
        <v>0</v>
      </c>
      <c r="BF439" s="2">
        <v>0</v>
      </c>
      <c r="BG439" s="5">
        <v>0</v>
      </c>
      <c r="BH439" s="2">
        <v>37766.589999999997</v>
      </c>
      <c r="BI439" s="12">
        <v>33720.17</v>
      </c>
      <c r="BJ439" s="2">
        <v>0</v>
      </c>
      <c r="BK439" s="5">
        <v>3147.22</v>
      </c>
      <c r="BL439" s="1" t="s">
        <v>137</v>
      </c>
    </row>
    <row r="440" spans="1:64" x14ac:dyDescent="0.3">
      <c r="A440" t="s">
        <v>588</v>
      </c>
      <c r="B440" s="1" t="s">
        <v>588</v>
      </c>
      <c r="C440" s="9" t="s">
        <v>589</v>
      </c>
      <c r="D440" s="1" t="s">
        <v>95</v>
      </c>
      <c r="E440" s="1" t="s">
        <v>135</v>
      </c>
      <c r="F440" s="10" t="s">
        <v>435</v>
      </c>
      <c r="G440" s="1">
        <v>3.5000000000000003E-2</v>
      </c>
      <c r="H440" s="1">
        <v>0.05</v>
      </c>
      <c r="I440" s="8">
        <v>44544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0</v>
      </c>
      <c r="U440" s="6">
        <v>0</v>
      </c>
      <c r="V440" s="6">
        <v>0</v>
      </c>
      <c r="W440" s="6">
        <v>0</v>
      </c>
      <c r="AI440" s="2">
        <v>777822</v>
      </c>
      <c r="AJ440" s="2">
        <v>211126</v>
      </c>
      <c r="AK440" s="2">
        <v>34724.199999999997</v>
      </c>
      <c r="AL440" s="2">
        <v>9425.27</v>
      </c>
      <c r="AM440" s="5">
        <v>8829.89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59336.88</v>
      </c>
      <c r="AT440" s="12">
        <v>52979.360000000001</v>
      </c>
      <c r="AU440" s="2">
        <v>0</v>
      </c>
      <c r="AV440" s="5">
        <v>4944.74</v>
      </c>
      <c r="AX440" s="2">
        <v>777822</v>
      </c>
      <c r="AY440" s="2">
        <v>211126</v>
      </c>
      <c r="AZ440" s="2">
        <v>34724.199999999997</v>
      </c>
      <c r="BA440" s="2">
        <v>9425.27</v>
      </c>
      <c r="BB440" s="5">
        <v>8829.89</v>
      </c>
      <c r="BC440" s="12">
        <v>0</v>
      </c>
      <c r="BD440" s="2">
        <v>0</v>
      </c>
      <c r="BE440" s="2">
        <v>0</v>
      </c>
      <c r="BF440" s="2">
        <v>0</v>
      </c>
      <c r="BG440" s="5">
        <v>0</v>
      </c>
      <c r="BH440" s="2">
        <v>59336.88</v>
      </c>
      <c r="BI440" s="12">
        <v>52979.360000000001</v>
      </c>
      <c r="BJ440" s="2">
        <v>0</v>
      </c>
      <c r="BK440" s="5">
        <v>4944.74</v>
      </c>
      <c r="BL440" s="1" t="s">
        <v>137</v>
      </c>
    </row>
    <row r="441" spans="1:64" x14ac:dyDescent="0.3">
      <c r="A441" t="s">
        <v>588</v>
      </c>
      <c r="B441" s="1" t="s">
        <v>590</v>
      </c>
      <c r="C441" s="9" t="s">
        <v>591</v>
      </c>
      <c r="D441" s="1" t="s">
        <v>95</v>
      </c>
      <c r="E441" s="1" t="s">
        <v>135</v>
      </c>
      <c r="F441" s="10" t="s">
        <v>435</v>
      </c>
      <c r="G441" s="1">
        <v>0</v>
      </c>
      <c r="H441" s="1">
        <v>0.05</v>
      </c>
      <c r="I441" s="8">
        <v>44544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0</v>
      </c>
      <c r="AJ441" s="2">
        <v>0</v>
      </c>
      <c r="AK441" s="2">
        <v>0</v>
      </c>
      <c r="AL441" s="2">
        <v>0</v>
      </c>
      <c r="AM441" s="5">
        <v>0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0</v>
      </c>
      <c r="AT441" s="12">
        <v>0</v>
      </c>
      <c r="AU441" s="2">
        <v>0</v>
      </c>
      <c r="AV441" s="5">
        <v>0</v>
      </c>
      <c r="AX441" s="2">
        <v>0</v>
      </c>
      <c r="AY441" s="2">
        <v>0</v>
      </c>
      <c r="AZ441" s="2">
        <v>0</v>
      </c>
      <c r="BA441" s="2">
        <v>0</v>
      </c>
      <c r="BB441" s="5">
        <v>0</v>
      </c>
      <c r="BC441" s="12">
        <v>0</v>
      </c>
      <c r="BD441" s="2">
        <v>0</v>
      </c>
      <c r="BE441" s="2">
        <v>0</v>
      </c>
      <c r="BF441" s="2">
        <v>0</v>
      </c>
      <c r="BG441" s="5">
        <v>0</v>
      </c>
      <c r="BH441" s="2">
        <v>0</v>
      </c>
      <c r="BI441" s="12">
        <v>0</v>
      </c>
      <c r="BJ441" s="2">
        <v>0</v>
      </c>
      <c r="BK441" s="5">
        <v>0</v>
      </c>
      <c r="BL441" s="1" t="s">
        <v>137</v>
      </c>
    </row>
    <row r="442" spans="1:64" x14ac:dyDescent="0.3">
      <c r="A442" t="s">
        <v>592</v>
      </c>
      <c r="B442" s="1" t="s">
        <v>592</v>
      </c>
      <c r="C442" s="9" t="s">
        <v>593</v>
      </c>
      <c r="D442" s="1" t="s">
        <v>95</v>
      </c>
      <c r="E442" s="1" t="s">
        <v>88</v>
      </c>
      <c r="F442" s="10" t="s">
        <v>545</v>
      </c>
      <c r="G442" s="1">
        <v>3.5000000000000003E-2</v>
      </c>
      <c r="H442" s="1">
        <v>0.05</v>
      </c>
      <c r="I442" s="8">
        <v>44518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0</v>
      </c>
      <c r="U442" s="6">
        <v>0</v>
      </c>
      <c r="V442" s="6">
        <v>0</v>
      </c>
      <c r="W442" s="6">
        <v>0</v>
      </c>
      <c r="AI442" s="2">
        <v>190936</v>
      </c>
      <c r="AJ442" s="2">
        <v>19727</v>
      </c>
      <c r="AK442" s="2">
        <v>8523.93</v>
      </c>
      <c r="AL442" s="2">
        <v>880.67</v>
      </c>
      <c r="AM442" s="5">
        <v>1880.92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12639.78</v>
      </c>
      <c r="AT442" s="12">
        <v>11285.52</v>
      </c>
      <c r="AU442" s="2">
        <v>0</v>
      </c>
      <c r="AV442" s="5">
        <v>1053.32</v>
      </c>
      <c r="AX442" s="2">
        <v>190936</v>
      </c>
      <c r="AY442" s="2">
        <v>19727</v>
      </c>
      <c r="AZ442" s="2">
        <v>8523.93</v>
      </c>
      <c r="BA442" s="2">
        <v>880.67</v>
      </c>
      <c r="BB442" s="5">
        <v>1880.92</v>
      </c>
      <c r="BC442" s="12">
        <v>0</v>
      </c>
      <c r="BD442" s="2">
        <v>0</v>
      </c>
      <c r="BE442" s="2">
        <v>0</v>
      </c>
      <c r="BF442" s="2">
        <v>0</v>
      </c>
      <c r="BG442" s="5">
        <v>0</v>
      </c>
      <c r="BH442" s="2">
        <v>12639.78</v>
      </c>
      <c r="BI442" s="12">
        <v>11285.52</v>
      </c>
      <c r="BJ442" s="2">
        <v>0</v>
      </c>
      <c r="BK442" s="5">
        <v>1053.32</v>
      </c>
      <c r="BL442" s="1" t="s">
        <v>546</v>
      </c>
    </row>
    <row r="443" spans="1:64" x14ac:dyDescent="0.3">
      <c r="A443" t="s">
        <v>602</v>
      </c>
      <c r="B443" s="1" t="s">
        <v>603</v>
      </c>
      <c r="C443" s="9" t="s">
        <v>604</v>
      </c>
      <c r="D443" s="1" t="s">
        <v>95</v>
      </c>
      <c r="E443" s="1" t="s">
        <v>135</v>
      </c>
      <c r="F443" s="10" t="s">
        <v>435</v>
      </c>
      <c r="G443" s="1">
        <v>4.4999999999999998E-2</v>
      </c>
      <c r="H443" s="1">
        <v>0.05</v>
      </c>
      <c r="I443" s="8">
        <v>45186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0</v>
      </c>
      <c r="U443" s="6">
        <v>0</v>
      </c>
      <c r="V443" s="6">
        <v>0</v>
      </c>
      <c r="W443" s="6">
        <v>0</v>
      </c>
      <c r="AI443" s="2">
        <v>67914</v>
      </c>
      <c r="AJ443" s="2">
        <v>33750</v>
      </c>
      <c r="AK443" s="2">
        <v>3031.87</v>
      </c>
      <c r="AL443" s="2">
        <v>1506.7</v>
      </c>
      <c r="AM443" s="5">
        <v>907.71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6099.83</v>
      </c>
      <c r="AT443" s="12">
        <v>5446.28</v>
      </c>
      <c r="AU443" s="2">
        <v>0</v>
      </c>
      <c r="AV443" s="5">
        <v>508.32</v>
      </c>
      <c r="AX443" s="2">
        <v>67914</v>
      </c>
      <c r="AY443" s="2">
        <v>33750</v>
      </c>
      <c r="AZ443" s="2">
        <v>3031.87</v>
      </c>
      <c r="BA443" s="2">
        <v>1506.7</v>
      </c>
      <c r="BB443" s="5">
        <v>907.71</v>
      </c>
      <c r="BC443" s="12">
        <v>0</v>
      </c>
      <c r="BD443" s="2">
        <v>0</v>
      </c>
      <c r="BE443" s="2">
        <v>0</v>
      </c>
      <c r="BF443" s="2">
        <v>0</v>
      </c>
      <c r="BG443" s="5">
        <v>0</v>
      </c>
      <c r="BH443" s="2">
        <v>6099.83</v>
      </c>
      <c r="BI443" s="12">
        <v>5446.28</v>
      </c>
      <c r="BJ443" s="2">
        <v>0</v>
      </c>
      <c r="BK443" s="5">
        <v>508.32</v>
      </c>
      <c r="BL443" s="1" t="s">
        <v>436</v>
      </c>
    </row>
    <row r="444" spans="1:64" x14ac:dyDescent="0.3">
      <c r="A444" t="s">
        <v>602</v>
      </c>
      <c r="B444" s="1" t="s">
        <v>602</v>
      </c>
      <c r="C444" s="9" t="s">
        <v>605</v>
      </c>
      <c r="D444" s="1" t="s">
        <v>95</v>
      </c>
      <c r="E444" s="1" t="s">
        <v>135</v>
      </c>
      <c r="F444" s="10" t="s">
        <v>435</v>
      </c>
      <c r="G444" s="1">
        <v>0.04</v>
      </c>
      <c r="H444" s="1">
        <v>0.05</v>
      </c>
      <c r="I444" s="8">
        <v>45186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0</v>
      </c>
      <c r="U444" s="6">
        <v>0</v>
      </c>
      <c r="V444" s="6">
        <v>0</v>
      </c>
      <c r="W444" s="6">
        <v>0</v>
      </c>
      <c r="AI444" s="2">
        <v>495197</v>
      </c>
      <c r="AJ444" s="2">
        <v>164665.5</v>
      </c>
      <c r="AK444" s="2">
        <v>22107.01</v>
      </c>
      <c r="AL444" s="2">
        <v>7351.14</v>
      </c>
      <c r="AM444" s="5">
        <v>5891.62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39591.74</v>
      </c>
      <c r="AT444" s="12">
        <v>35349.769999999997</v>
      </c>
      <c r="AU444" s="2">
        <v>0</v>
      </c>
      <c r="AV444" s="5">
        <v>3299.31</v>
      </c>
      <c r="AX444" s="2">
        <v>495197</v>
      </c>
      <c r="AY444" s="2">
        <v>164665.5</v>
      </c>
      <c r="AZ444" s="2">
        <v>22107.01</v>
      </c>
      <c r="BA444" s="2">
        <v>7351.14</v>
      </c>
      <c r="BB444" s="5">
        <v>5891.62</v>
      </c>
      <c r="BC444" s="12">
        <v>0</v>
      </c>
      <c r="BD444" s="2">
        <v>0</v>
      </c>
      <c r="BE444" s="2">
        <v>0</v>
      </c>
      <c r="BF444" s="2">
        <v>0</v>
      </c>
      <c r="BG444" s="5">
        <v>0</v>
      </c>
      <c r="BH444" s="2">
        <v>39591.74</v>
      </c>
      <c r="BI444" s="12">
        <v>35349.769999999997</v>
      </c>
      <c r="BJ444" s="2">
        <v>0</v>
      </c>
      <c r="BK444" s="5">
        <v>3299.31</v>
      </c>
      <c r="BL444" s="1" t="s">
        <v>137</v>
      </c>
    </row>
    <row r="445" spans="1:64" x14ac:dyDescent="0.3">
      <c r="A445" t="s">
        <v>602</v>
      </c>
      <c r="B445" s="1" t="s">
        <v>606</v>
      </c>
      <c r="C445" s="9" t="s">
        <v>607</v>
      </c>
      <c r="D445" s="1" t="s">
        <v>95</v>
      </c>
      <c r="E445" s="1" t="s">
        <v>135</v>
      </c>
      <c r="F445" s="10" t="s">
        <v>435</v>
      </c>
      <c r="G445" s="1">
        <v>3.5000000000000003E-2</v>
      </c>
      <c r="H445" s="1">
        <v>0.05</v>
      </c>
      <c r="I445" s="8">
        <v>45186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79826</v>
      </c>
      <c r="AJ445" s="2">
        <v>31390</v>
      </c>
      <c r="AK445" s="2">
        <v>3563.66</v>
      </c>
      <c r="AL445" s="2">
        <v>1401.34</v>
      </c>
      <c r="AM445" s="5">
        <v>993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6672.96</v>
      </c>
      <c r="AT445" s="12">
        <v>5958</v>
      </c>
      <c r="AU445" s="2">
        <v>0</v>
      </c>
      <c r="AV445" s="5">
        <v>556.08000000000004</v>
      </c>
      <c r="AX445" s="2">
        <v>79826</v>
      </c>
      <c r="AY445" s="2">
        <v>31390</v>
      </c>
      <c r="AZ445" s="2">
        <v>3563.66</v>
      </c>
      <c r="BA445" s="2">
        <v>1401.34</v>
      </c>
      <c r="BB445" s="5">
        <v>993</v>
      </c>
      <c r="BC445" s="12">
        <v>0</v>
      </c>
      <c r="BD445" s="2">
        <v>0</v>
      </c>
      <c r="BE445" s="2">
        <v>0</v>
      </c>
      <c r="BF445" s="2">
        <v>0</v>
      </c>
      <c r="BG445" s="5">
        <v>0</v>
      </c>
      <c r="BH445" s="2">
        <v>6672.96</v>
      </c>
      <c r="BI445" s="12">
        <v>5958</v>
      </c>
      <c r="BJ445" s="2">
        <v>0</v>
      </c>
      <c r="BK445" s="5">
        <v>556.08000000000004</v>
      </c>
      <c r="BL445" s="1" t="s">
        <v>137</v>
      </c>
    </row>
    <row r="446" spans="1:64" x14ac:dyDescent="0.3">
      <c r="A446" t="s">
        <v>608</v>
      </c>
      <c r="B446" s="1" t="s">
        <v>608</v>
      </c>
      <c r="C446" s="9" t="s">
        <v>609</v>
      </c>
      <c r="D446" s="1" t="s">
        <v>95</v>
      </c>
      <c r="E446" s="1" t="s">
        <v>135</v>
      </c>
      <c r="F446" s="10" t="s">
        <v>435</v>
      </c>
      <c r="G446" s="1">
        <v>3.5000000000000003E-2</v>
      </c>
      <c r="H446" s="1">
        <v>0.05</v>
      </c>
      <c r="I446" s="8">
        <v>44898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0</v>
      </c>
      <c r="U446" s="6">
        <v>0</v>
      </c>
      <c r="V446" s="6">
        <v>0</v>
      </c>
      <c r="W446" s="6">
        <v>0</v>
      </c>
      <c r="AI446" s="2">
        <v>522958</v>
      </c>
      <c r="AJ446" s="2">
        <v>81480</v>
      </c>
      <c r="AK446" s="2">
        <v>23346.34</v>
      </c>
      <c r="AL446" s="2">
        <v>3637.5</v>
      </c>
      <c r="AM446" s="5">
        <v>5396.77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36266.28</v>
      </c>
      <c r="AT446" s="12">
        <v>32380.61</v>
      </c>
      <c r="AU446" s="2">
        <v>0</v>
      </c>
      <c r="AV446" s="5">
        <v>3022.19</v>
      </c>
      <c r="AX446" s="2">
        <v>522958</v>
      </c>
      <c r="AY446" s="2">
        <v>81480</v>
      </c>
      <c r="AZ446" s="2">
        <v>23346.34</v>
      </c>
      <c r="BA446" s="2">
        <v>3637.5</v>
      </c>
      <c r="BB446" s="5">
        <v>5396.77</v>
      </c>
      <c r="BC446" s="12">
        <v>0</v>
      </c>
      <c r="BD446" s="2">
        <v>0</v>
      </c>
      <c r="BE446" s="2">
        <v>0</v>
      </c>
      <c r="BF446" s="2">
        <v>0</v>
      </c>
      <c r="BG446" s="5">
        <v>0</v>
      </c>
      <c r="BH446" s="2">
        <v>36266.28</v>
      </c>
      <c r="BI446" s="12">
        <v>32380.61</v>
      </c>
      <c r="BJ446" s="2">
        <v>0</v>
      </c>
      <c r="BK446" s="5">
        <v>3022.19</v>
      </c>
      <c r="BL446" s="1" t="s">
        <v>137</v>
      </c>
    </row>
    <row r="447" spans="1:64" x14ac:dyDescent="0.3">
      <c r="A447" t="s">
        <v>608</v>
      </c>
      <c r="B447" s="1" t="s">
        <v>610</v>
      </c>
      <c r="C447" s="9" t="s">
        <v>611</v>
      </c>
      <c r="D447" s="1" t="s">
        <v>95</v>
      </c>
      <c r="E447" s="1" t="s">
        <v>135</v>
      </c>
      <c r="F447" s="10" t="s">
        <v>435</v>
      </c>
      <c r="G447" s="1">
        <v>0</v>
      </c>
      <c r="H447" s="1">
        <v>0.05</v>
      </c>
      <c r="I447" s="8">
        <v>44898</v>
      </c>
      <c r="J447" s="6">
        <v>0</v>
      </c>
      <c r="K447" s="6">
        <v>0</v>
      </c>
      <c r="L447" s="6">
        <v>0</v>
      </c>
      <c r="M447" s="6">
        <v>0</v>
      </c>
      <c r="N447" s="7">
        <v>0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0</v>
      </c>
      <c r="U447" s="6">
        <v>0</v>
      </c>
      <c r="V447" s="6">
        <v>0</v>
      </c>
      <c r="W447" s="6">
        <v>0</v>
      </c>
      <c r="AI447" s="2">
        <v>493041</v>
      </c>
      <c r="AJ447" s="2">
        <v>101810</v>
      </c>
      <c r="AK447" s="2">
        <v>22010.76</v>
      </c>
      <c r="AL447" s="2">
        <v>4545.09</v>
      </c>
      <c r="AM447" s="5">
        <v>5311.17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35691.06</v>
      </c>
      <c r="AT447" s="12">
        <v>31867.019999999997</v>
      </c>
      <c r="AU447" s="2">
        <v>0</v>
      </c>
      <c r="AV447" s="5">
        <v>2974.26</v>
      </c>
      <c r="AX447" s="2">
        <v>493041</v>
      </c>
      <c r="AY447" s="2">
        <v>101810</v>
      </c>
      <c r="AZ447" s="2">
        <v>22010.76</v>
      </c>
      <c r="BA447" s="2">
        <v>4545.09</v>
      </c>
      <c r="BB447" s="5">
        <v>5311.17</v>
      </c>
      <c r="BC447" s="12">
        <v>0</v>
      </c>
      <c r="BD447" s="2">
        <v>0</v>
      </c>
      <c r="BE447" s="2">
        <v>0</v>
      </c>
      <c r="BF447" s="2">
        <v>0</v>
      </c>
      <c r="BG447" s="5">
        <v>0</v>
      </c>
      <c r="BH447" s="2">
        <v>35691.06</v>
      </c>
      <c r="BI447" s="12">
        <v>31867.019999999997</v>
      </c>
      <c r="BJ447" s="2">
        <v>0</v>
      </c>
      <c r="BK447" s="5">
        <v>2974.26</v>
      </c>
      <c r="BL447" s="1" t="s">
        <v>137</v>
      </c>
    </row>
    <row r="448" spans="1:64" x14ac:dyDescent="0.3">
      <c r="A448" t="s">
        <v>612</v>
      </c>
      <c r="B448" s="1" t="s">
        <v>612</v>
      </c>
      <c r="C448" s="9" t="s">
        <v>613</v>
      </c>
      <c r="D448" s="1" t="s">
        <v>95</v>
      </c>
      <c r="E448" s="1" t="s">
        <v>128</v>
      </c>
      <c r="F448" s="10" t="s">
        <v>129</v>
      </c>
      <c r="G448" s="1">
        <v>4.4999999999999998E-2</v>
      </c>
      <c r="H448" s="1">
        <v>0.05</v>
      </c>
      <c r="I448" s="8">
        <v>44964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0</v>
      </c>
      <c r="U448" s="6">
        <v>0</v>
      </c>
      <c r="V448" s="6">
        <v>0</v>
      </c>
      <c r="W448" s="6">
        <v>0</v>
      </c>
      <c r="AI448" s="2">
        <v>299313</v>
      </c>
      <c r="AJ448" s="2">
        <v>39500</v>
      </c>
      <c r="AK448" s="2">
        <v>13362.19</v>
      </c>
      <c r="AL448" s="2">
        <v>1763.39</v>
      </c>
      <c r="AM448" s="5">
        <v>3025.12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20328.78</v>
      </c>
      <c r="AT448" s="12">
        <v>18150.7</v>
      </c>
      <c r="AU448" s="2">
        <v>0</v>
      </c>
      <c r="AV448" s="5">
        <v>1694.06</v>
      </c>
      <c r="AX448" s="2">
        <v>299313</v>
      </c>
      <c r="AY448" s="2">
        <v>39500</v>
      </c>
      <c r="AZ448" s="2">
        <v>13362.19</v>
      </c>
      <c r="BA448" s="2">
        <v>1763.39</v>
      </c>
      <c r="BB448" s="5">
        <v>3025.12</v>
      </c>
      <c r="BC448" s="12">
        <v>0</v>
      </c>
      <c r="BD448" s="2">
        <v>0</v>
      </c>
      <c r="BE448" s="2">
        <v>0</v>
      </c>
      <c r="BF448" s="2">
        <v>0</v>
      </c>
      <c r="BG448" s="5">
        <v>0</v>
      </c>
      <c r="BH448" s="2">
        <v>20328.78</v>
      </c>
      <c r="BI448" s="12">
        <v>18150.7</v>
      </c>
      <c r="BJ448" s="2">
        <v>0</v>
      </c>
      <c r="BK448" s="5">
        <v>1694.06</v>
      </c>
      <c r="BL448" s="1" t="s">
        <v>130</v>
      </c>
    </row>
    <row r="449" spans="1:64" x14ac:dyDescent="0.3">
      <c r="A449" t="s">
        <v>612</v>
      </c>
      <c r="B449" s="1" t="s">
        <v>614</v>
      </c>
      <c r="C449" s="9" t="s">
        <v>615</v>
      </c>
      <c r="D449" s="1" t="s">
        <v>95</v>
      </c>
      <c r="E449" s="1" t="s">
        <v>128</v>
      </c>
      <c r="F449" s="10" t="s">
        <v>129</v>
      </c>
      <c r="G449" s="1">
        <v>0</v>
      </c>
      <c r="H449" s="1">
        <v>0.05</v>
      </c>
      <c r="I449" s="8">
        <v>44964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0</v>
      </c>
      <c r="U449" s="6">
        <v>0</v>
      </c>
      <c r="V449" s="6">
        <v>0</v>
      </c>
      <c r="W449" s="6">
        <v>0</v>
      </c>
      <c r="AI449" s="2">
        <v>277445</v>
      </c>
      <c r="AJ449" s="2">
        <v>0</v>
      </c>
      <c r="AK449" s="2">
        <v>12385.94</v>
      </c>
      <c r="AL449" s="2">
        <v>0</v>
      </c>
      <c r="AM449" s="5">
        <v>2477.19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16646.71</v>
      </c>
      <c r="AT449" s="12">
        <v>14863.130000000001</v>
      </c>
      <c r="AU449" s="2">
        <v>0</v>
      </c>
      <c r="AV449" s="5">
        <v>1387.22</v>
      </c>
      <c r="AX449" s="2">
        <v>277445</v>
      </c>
      <c r="AY449" s="2">
        <v>0</v>
      </c>
      <c r="AZ449" s="2">
        <v>12385.94</v>
      </c>
      <c r="BA449" s="2">
        <v>0</v>
      </c>
      <c r="BB449" s="5">
        <v>2477.19</v>
      </c>
      <c r="BC449" s="12">
        <v>0</v>
      </c>
      <c r="BD449" s="2">
        <v>0</v>
      </c>
      <c r="BE449" s="2">
        <v>0</v>
      </c>
      <c r="BF449" s="2">
        <v>0</v>
      </c>
      <c r="BG449" s="5">
        <v>0</v>
      </c>
      <c r="BH449" s="2">
        <v>16646.71</v>
      </c>
      <c r="BI449" s="12">
        <v>14863.130000000001</v>
      </c>
      <c r="BJ449" s="2">
        <v>0</v>
      </c>
      <c r="BK449" s="5">
        <v>1387.22</v>
      </c>
      <c r="BL449" s="1" t="s">
        <v>130</v>
      </c>
    </row>
    <row r="450" spans="1:64" x14ac:dyDescent="0.3">
      <c r="A450" t="s">
        <v>612</v>
      </c>
      <c r="B450" s="1" t="s">
        <v>616</v>
      </c>
      <c r="C450" s="9" t="s">
        <v>617</v>
      </c>
      <c r="D450" s="1" t="s">
        <v>95</v>
      </c>
      <c r="E450" s="1" t="s">
        <v>128</v>
      </c>
      <c r="F450" s="10" t="s">
        <v>129</v>
      </c>
      <c r="G450" s="1">
        <v>4.4999999999999998E-2</v>
      </c>
      <c r="H450" s="1">
        <v>0.05</v>
      </c>
      <c r="I450" s="8">
        <v>44964</v>
      </c>
      <c r="J450" s="6">
        <v>0</v>
      </c>
      <c r="K450" s="6">
        <v>0</v>
      </c>
      <c r="L450" s="6">
        <v>0</v>
      </c>
      <c r="M450" s="6">
        <v>0</v>
      </c>
      <c r="N450" s="7">
        <v>0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0</v>
      </c>
      <c r="U450" s="6">
        <v>0</v>
      </c>
      <c r="V450" s="6">
        <v>0</v>
      </c>
      <c r="W450" s="6">
        <v>0</v>
      </c>
      <c r="AI450" s="2">
        <v>159112</v>
      </c>
      <c r="AJ450" s="2">
        <v>0</v>
      </c>
      <c r="AK450" s="2">
        <v>7103.21</v>
      </c>
      <c r="AL450" s="2">
        <v>0</v>
      </c>
      <c r="AM450" s="5">
        <v>1420.64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9546.7099999999991</v>
      </c>
      <c r="AT450" s="12">
        <v>8523.85</v>
      </c>
      <c r="AU450" s="2">
        <v>0</v>
      </c>
      <c r="AV450" s="5">
        <v>795.56</v>
      </c>
      <c r="AX450" s="2">
        <v>159112</v>
      </c>
      <c r="AY450" s="2">
        <v>0</v>
      </c>
      <c r="AZ450" s="2">
        <v>7103.21</v>
      </c>
      <c r="BA450" s="2">
        <v>0</v>
      </c>
      <c r="BB450" s="5">
        <v>1420.64</v>
      </c>
      <c r="BC450" s="12">
        <v>0</v>
      </c>
      <c r="BD450" s="2">
        <v>0</v>
      </c>
      <c r="BE450" s="2">
        <v>0</v>
      </c>
      <c r="BF450" s="2">
        <v>0</v>
      </c>
      <c r="BG450" s="5">
        <v>0</v>
      </c>
      <c r="BH450" s="2">
        <v>9546.7099999999991</v>
      </c>
      <c r="BI450" s="12">
        <v>8523.85</v>
      </c>
      <c r="BJ450" s="2">
        <v>0</v>
      </c>
      <c r="BK450" s="5">
        <v>795.56</v>
      </c>
      <c r="BL450" s="1" t="s">
        <v>130</v>
      </c>
    </row>
    <row r="451" spans="1:64" x14ac:dyDescent="0.3">
      <c r="A451" t="s">
        <v>612</v>
      </c>
      <c r="B451" s="1" t="s">
        <v>618</v>
      </c>
      <c r="C451" s="9" t="s">
        <v>619</v>
      </c>
      <c r="D451" s="1" t="s">
        <v>95</v>
      </c>
      <c r="E451" s="1" t="s">
        <v>128</v>
      </c>
      <c r="F451" s="10" t="s">
        <v>129</v>
      </c>
      <c r="G451" s="1">
        <v>4.4999999999999998E-2</v>
      </c>
      <c r="H451" s="1">
        <v>0.05</v>
      </c>
      <c r="I451" s="8">
        <v>44964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0</v>
      </c>
      <c r="P451" s="6">
        <v>0</v>
      </c>
      <c r="Q451" s="6">
        <v>0</v>
      </c>
      <c r="R451" s="6">
        <v>0</v>
      </c>
      <c r="S451" s="7">
        <v>0</v>
      </c>
      <c r="T451" s="11">
        <v>0</v>
      </c>
      <c r="U451" s="6">
        <v>0</v>
      </c>
      <c r="V451" s="6">
        <v>0</v>
      </c>
      <c r="W451" s="6">
        <v>0</v>
      </c>
      <c r="AI451" s="2">
        <v>339516</v>
      </c>
      <c r="AJ451" s="2">
        <v>18920</v>
      </c>
      <c r="AK451" s="2">
        <v>15156.96</v>
      </c>
      <c r="AL451" s="2">
        <v>844.64</v>
      </c>
      <c r="AM451" s="5">
        <v>3200.32</v>
      </c>
      <c r="AN451" s="12">
        <v>0</v>
      </c>
      <c r="AO451" s="2">
        <v>0</v>
      </c>
      <c r="AP451" s="2">
        <v>0</v>
      </c>
      <c r="AQ451" s="2">
        <v>0</v>
      </c>
      <c r="AR451" s="5">
        <v>0</v>
      </c>
      <c r="AS451" s="2">
        <v>21506.15</v>
      </c>
      <c r="AT451" s="12">
        <v>19201.919999999998</v>
      </c>
      <c r="AU451" s="2">
        <v>0</v>
      </c>
      <c r="AV451" s="5">
        <v>1792.18</v>
      </c>
      <c r="AX451" s="2">
        <v>339516</v>
      </c>
      <c r="AY451" s="2">
        <v>18920</v>
      </c>
      <c r="AZ451" s="2">
        <v>15156.96</v>
      </c>
      <c r="BA451" s="2">
        <v>844.64</v>
      </c>
      <c r="BB451" s="5">
        <v>3200.32</v>
      </c>
      <c r="BC451" s="12">
        <v>0</v>
      </c>
      <c r="BD451" s="2">
        <v>0</v>
      </c>
      <c r="BE451" s="2">
        <v>0</v>
      </c>
      <c r="BF451" s="2">
        <v>0</v>
      </c>
      <c r="BG451" s="5">
        <v>0</v>
      </c>
      <c r="BH451" s="2">
        <v>21506.15</v>
      </c>
      <c r="BI451" s="12">
        <v>19201.919999999998</v>
      </c>
      <c r="BJ451" s="2">
        <v>0</v>
      </c>
      <c r="BK451" s="5">
        <v>1792.18</v>
      </c>
      <c r="BL451" s="1" t="s">
        <v>130</v>
      </c>
    </row>
    <row r="452" spans="1:64" x14ac:dyDescent="0.3">
      <c r="A452" t="s">
        <v>612</v>
      </c>
      <c r="B452" s="1" t="s">
        <v>620</v>
      </c>
      <c r="C452" s="9" t="s">
        <v>621</v>
      </c>
      <c r="D452" s="1" t="s">
        <v>95</v>
      </c>
      <c r="E452" s="1" t="s">
        <v>128</v>
      </c>
      <c r="F452" s="10" t="s">
        <v>129</v>
      </c>
      <c r="G452" s="1">
        <v>0</v>
      </c>
      <c r="H452" s="1">
        <v>0.05</v>
      </c>
      <c r="I452" s="8">
        <v>45569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0</v>
      </c>
      <c r="P452" s="6">
        <v>0</v>
      </c>
      <c r="Q452" s="6">
        <v>0</v>
      </c>
      <c r="R452" s="6">
        <v>0</v>
      </c>
      <c r="S452" s="7">
        <v>0</v>
      </c>
      <c r="T452" s="11">
        <v>0</v>
      </c>
      <c r="U452" s="6">
        <v>0</v>
      </c>
      <c r="V452" s="6">
        <v>0</v>
      </c>
      <c r="W452" s="6">
        <v>0</v>
      </c>
      <c r="AI452" s="2">
        <v>232987</v>
      </c>
      <c r="AJ452" s="2">
        <v>2620</v>
      </c>
      <c r="AK452" s="2">
        <v>10401.209999999999</v>
      </c>
      <c r="AL452" s="2">
        <v>116.96</v>
      </c>
      <c r="AM452" s="5">
        <v>2103.63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14136.42</v>
      </c>
      <c r="AT452" s="12">
        <v>12621.8</v>
      </c>
      <c r="AU452" s="2">
        <v>0</v>
      </c>
      <c r="AV452" s="5">
        <v>1178.04</v>
      </c>
      <c r="AX452" s="2">
        <v>232987</v>
      </c>
      <c r="AY452" s="2">
        <v>2620</v>
      </c>
      <c r="AZ452" s="2">
        <v>10401.209999999999</v>
      </c>
      <c r="BA452" s="2">
        <v>116.96</v>
      </c>
      <c r="BB452" s="5">
        <v>2103.63</v>
      </c>
      <c r="BC452" s="12">
        <v>0</v>
      </c>
      <c r="BD452" s="2">
        <v>0</v>
      </c>
      <c r="BE452" s="2">
        <v>0</v>
      </c>
      <c r="BF452" s="2">
        <v>0</v>
      </c>
      <c r="BG452" s="5">
        <v>0</v>
      </c>
      <c r="BH452" s="2">
        <v>14136.42</v>
      </c>
      <c r="BI452" s="12">
        <v>12621.8</v>
      </c>
      <c r="BJ452" s="2">
        <v>0</v>
      </c>
      <c r="BK452" s="5">
        <v>1178.04</v>
      </c>
      <c r="BL452" s="1" t="s">
        <v>130</v>
      </c>
    </row>
    <row r="453" spans="1:64" x14ac:dyDescent="0.3">
      <c r="A453" t="s">
        <v>635</v>
      </c>
      <c r="B453" s="1" t="s">
        <v>635</v>
      </c>
      <c r="C453" s="9" t="s">
        <v>636</v>
      </c>
      <c r="D453" s="1" t="s">
        <v>95</v>
      </c>
      <c r="E453" s="1" t="s">
        <v>135</v>
      </c>
      <c r="F453" s="10" t="s">
        <v>485</v>
      </c>
      <c r="G453" s="1">
        <v>4.4999999999999998E-2</v>
      </c>
      <c r="H453" s="1">
        <v>0.05</v>
      </c>
      <c r="I453" s="8">
        <v>45124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0</v>
      </c>
      <c r="P453" s="6">
        <v>0</v>
      </c>
      <c r="Q453" s="6">
        <v>0</v>
      </c>
      <c r="R453" s="6">
        <v>0</v>
      </c>
      <c r="S453" s="7">
        <v>0</v>
      </c>
      <c r="T453" s="11">
        <v>0</v>
      </c>
      <c r="U453" s="6">
        <v>0</v>
      </c>
      <c r="V453" s="6">
        <v>0</v>
      </c>
      <c r="W453" s="6">
        <v>0</v>
      </c>
      <c r="AI453" s="2">
        <v>663191</v>
      </c>
      <c r="AJ453" s="2">
        <v>93226</v>
      </c>
      <c r="AK453" s="2">
        <v>29606.74</v>
      </c>
      <c r="AL453" s="2">
        <v>4161.88</v>
      </c>
      <c r="AM453" s="5">
        <v>6753.72</v>
      </c>
      <c r="AN453" s="12">
        <v>0</v>
      </c>
      <c r="AO453" s="2">
        <v>0</v>
      </c>
      <c r="AP453" s="2">
        <v>0</v>
      </c>
      <c r="AQ453" s="2">
        <v>0</v>
      </c>
      <c r="AR453" s="5">
        <v>0</v>
      </c>
      <c r="AS453" s="2">
        <v>45385.02</v>
      </c>
      <c r="AT453" s="12">
        <v>40522.340000000004</v>
      </c>
      <c r="AU453" s="2">
        <v>0</v>
      </c>
      <c r="AV453" s="5">
        <v>3782.08</v>
      </c>
      <c r="AX453" s="2">
        <v>663191</v>
      </c>
      <c r="AY453" s="2">
        <v>93226</v>
      </c>
      <c r="AZ453" s="2">
        <v>29606.74</v>
      </c>
      <c r="BA453" s="2">
        <v>4161.88</v>
      </c>
      <c r="BB453" s="5">
        <v>6753.72</v>
      </c>
      <c r="BC453" s="12">
        <v>0</v>
      </c>
      <c r="BD453" s="2">
        <v>0</v>
      </c>
      <c r="BE453" s="2">
        <v>0</v>
      </c>
      <c r="BF453" s="2">
        <v>0</v>
      </c>
      <c r="BG453" s="5">
        <v>0</v>
      </c>
      <c r="BH453" s="2">
        <v>45385.02</v>
      </c>
      <c r="BI453" s="12">
        <v>40522.340000000004</v>
      </c>
      <c r="BJ453" s="2">
        <v>0</v>
      </c>
      <c r="BK453" s="5">
        <v>3782.08</v>
      </c>
      <c r="BL453" s="1" t="s">
        <v>302</v>
      </c>
    </row>
    <row r="454" spans="1:64" x14ac:dyDescent="0.3">
      <c r="A454" t="s">
        <v>650</v>
      </c>
      <c r="B454" s="1" t="s">
        <v>650</v>
      </c>
      <c r="C454" s="9" t="s">
        <v>651</v>
      </c>
      <c r="D454" s="1" t="s">
        <v>95</v>
      </c>
      <c r="E454" s="1" t="s">
        <v>88</v>
      </c>
      <c r="F454" s="10" t="s">
        <v>432</v>
      </c>
      <c r="G454" s="1">
        <v>4.4999999999999998E-2</v>
      </c>
      <c r="H454" s="1">
        <v>0.05</v>
      </c>
      <c r="I454" s="8">
        <v>45287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6">
        <v>0</v>
      </c>
      <c r="P454" s="6">
        <v>0</v>
      </c>
      <c r="Q454" s="6">
        <v>0</v>
      </c>
      <c r="R454" s="6">
        <v>0</v>
      </c>
      <c r="S454" s="7">
        <v>0</v>
      </c>
      <c r="T454" s="11">
        <v>0</v>
      </c>
      <c r="U454" s="6">
        <v>0</v>
      </c>
      <c r="V454" s="6">
        <v>0</v>
      </c>
      <c r="W454" s="6">
        <v>0</v>
      </c>
      <c r="AI454" s="2">
        <v>425954</v>
      </c>
      <c r="AJ454" s="2">
        <v>390107</v>
      </c>
      <c r="AK454" s="2">
        <v>19015.8</v>
      </c>
      <c r="AL454" s="2">
        <v>17415.490000000002</v>
      </c>
      <c r="AM454" s="5">
        <v>7286.26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48963.66</v>
      </c>
      <c r="AT454" s="12">
        <v>43717.55</v>
      </c>
      <c r="AU454" s="2">
        <v>0</v>
      </c>
      <c r="AV454" s="5">
        <v>4080.3</v>
      </c>
      <c r="AX454" s="2">
        <v>425954</v>
      </c>
      <c r="AY454" s="2">
        <v>390107</v>
      </c>
      <c r="AZ454" s="2">
        <v>19015.8</v>
      </c>
      <c r="BA454" s="2">
        <v>17415.490000000002</v>
      </c>
      <c r="BB454" s="5">
        <v>7286.26</v>
      </c>
      <c r="BC454" s="12">
        <v>0</v>
      </c>
      <c r="BD454" s="2">
        <v>0</v>
      </c>
      <c r="BE454" s="2">
        <v>0</v>
      </c>
      <c r="BF454" s="2">
        <v>0</v>
      </c>
      <c r="BG454" s="5">
        <v>0</v>
      </c>
      <c r="BH454" s="2">
        <v>48963.66</v>
      </c>
      <c r="BI454" s="12">
        <v>43717.55</v>
      </c>
      <c r="BJ454" s="2">
        <v>0</v>
      </c>
      <c r="BK454" s="5">
        <v>4080.3</v>
      </c>
      <c r="BL454" s="1" t="s">
        <v>90</v>
      </c>
    </row>
    <row r="455" spans="1:64" x14ac:dyDescent="0.3">
      <c r="A455" t="s">
        <v>650</v>
      </c>
      <c r="B455" s="1" t="s">
        <v>652</v>
      </c>
      <c r="C455" s="9" t="s">
        <v>653</v>
      </c>
      <c r="D455" s="1" t="s">
        <v>95</v>
      </c>
      <c r="E455" s="1" t="s">
        <v>88</v>
      </c>
      <c r="F455" s="10" t="s">
        <v>432</v>
      </c>
      <c r="G455" s="1">
        <v>4.4999999999999998E-2</v>
      </c>
      <c r="H455" s="1">
        <v>0.05</v>
      </c>
      <c r="I455" s="8">
        <v>45287</v>
      </c>
      <c r="J455" s="6">
        <v>0</v>
      </c>
      <c r="K455" s="6">
        <v>0</v>
      </c>
      <c r="L455" s="6">
        <v>0</v>
      </c>
      <c r="M455" s="6">
        <v>0</v>
      </c>
      <c r="N455" s="7">
        <v>0</v>
      </c>
      <c r="O455" s="6">
        <v>0</v>
      </c>
      <c r="P455" s="6">
        <v>0</v>
      </c>
      <c r="Q455" s="6">
        <v>0</v>
      </c>
      <c r="R455" s="6">
        <v>0</v>
      </c>
      <c r="S455" s="7">
        <v>0</v>
      </c>
      <c r="T455" s="11">
        <v>0</v>
      </c>
      <c r="U455" s="6">
        <v>0</v>
      </c>
      <c r="V455" s="6">
        <v>0</v>
      </c>
      <c r="W455" s="6">
        <v>0</v>
      </c>
      <c r="AI455" s="2">
        <v>24825</v>
      </c>
      <c r="AJ455" s="2">
        <v>58887</v>
      </c>
      <c r="AK455" s="2">
        <v>1108.26</v>
      </c>
      <c r="AL455" s="2">
        <v>2628.88</v>
      </c>
      <c r="AM455" s="5">
        <v>747.43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5022.72</v>
      </c>
      <c r="AT455" s="12">
        <v>4484.5700000000006</v>
      </c>
      <c r="AU455" s="2">
        <v>0</v>
      </c>
      <c r="AV455" s="5">
        <v>418.56</v>
      </c>
      <c r="AX455" s="2">
        <v>24825</v>
      </c>
      <c r="AY455" s="2">
        <v>58887</v>
      </c>
      <c r="AZ455" s="2">
        <v>1108.26</v>
      </c>
      <c r="BA455" s="2">
        <v>2628.88</v>
      </c>
      <c r="BB455" s="5">
        <v>747.43</v>
      </c>
      <c r="BC455" s="12">
        <v>0</v>
      </c>
      <c r="BD455" s="2">
        <v>0</v>
      </c>
      <c r="BE455" s="2">
        <v>0</v>
      </c>
      <c r="BF455" s="2">
        <v>0</v>
      </c>
      <c r="BG455" s="5">
        <v>0</v>
      </c>
      <c r="BH455" s="2">
        <v>5022.72</v>
      </c>
      <c r="BI455" s="12">
        <v>4484.5700000000006</v>
      </c>
      <c r="BJ455" s="2">
        <v>0</v>
      </c>
      <c r="BK455" s="5">
        <v>418.56</v>
      </c>
      <c r="BL455" s="1" t="s">
        <v>90</v>
      </c>
    </row>
    <row r="456" spans="1:64" x14ac:dyDescent="0.3">
      <c r="A456" t="s">
        <v>650</v>
      </c>
      <c r="B456" s="1" t="s">
        <v>654</v>
      </c>
      <c r="C456" s="9" t="s">
        <v>655</v>
      </c>
      <c r="D456" s="1" t="s">
        <v>95</v>
      </c>
      <c r="E456" s="1" t="s">
        <v>88</v>
      </c>
      <c r="F456" s="10" t="s">
        <v>432</v>
      </c>
      <c r="G456" s="1">
        <v>0</v>
      </c>
      <c r="H456" s="1">
        <v>0.05</v>
      </c>
      <c r="I456" s="8">
        <v>45287</v>
      </c>
      <c r="J456" s="6">
        <v>0</v>
      </c>
      <c r="K456" s="6">
        <v>0</v>
      </c>
      <c r="L456" s="6">
        <v>0</v>
      </c>
      <c r="M456" s="6">
        <v>0</v>
      </c>
      <c r="N456" s="7">
        <v>0</v>
      </c>
      <c r="O456" s="6">
        <v>0</v>
      </c>
      <c r="P456" s="6">
        <v>0</v>
      </c>
      <c r="Q456" s="6">
        <v>0</v>
      </c>
      <c r="R456" s="6">
        <v>0</v>
      </c>
      <c r="S456" s="7">
        <v>0</v>
      </c>
      <c r="T456" s="11">
        <v>0</v>
      </c>
      <c r="U456" s="6">
        <v>0</v>
      </c>
      <c r="V456" s="6">
        <v>0</v>
      </c>
      <c r="W456" s="6">
        <v>0</v>
      </c>
      <c r="AI456" s="2">
        <v>218295</v>
      </c>
      <c r="AJ456" s="2">
        <v>143303</v>
      </c>
      <c r="AK456" s="2">
        <v>9745.31</v>
      </c>
      <c r="AL456" s="2">
        <v>6397.46</v>
      </c>
      <c r="AM456" s="5">
        <v>3228.55</v>
      </c>
      <c r="AN456" s="12">
        <v>0</v>
      </c>
      <c r="AO456" s="2">
        <v>0</v>
      </c>
      <c r="AP456" s="2">
        <v>0</v>
      </c>
      <c r="AQ456" s="2">
        <v>0</v>
      </c>
      <c r="AR456" s="5">
        <v>0</v>
      </c>
      <c r="AS456" s="2">
        <v>21695.88</v>
      </c>
      <c r="AT456" s="12">
        <v>19371.32</v>
      </c>
      <c r="AU456" s="2">
        <v>0</v>
      </c>
      <c r="AV456" s="5">
        <v>1807.99</v>
      </c>
      <c r="AX456" s="2">
        <v>218295</v>
      </c>
      <c r="AY456" s="2">
        <v>143303</v>
      </c>
      <c r="AZ456" s="2">
        <v>9745.31</v>
      </c>
      <c r="BA456" s="2">
        <v>6397.46</v>
      </c>
      <c r="BB456" s="5">
        <v>3228.55</v>
      </c>
      <c r="BC456" s="12">
        <v>0</v>
      </c>
      <c r="BD456" s="2">
        <v>0</v>
      </c>
      <c r="BE456" s="2">
        <v>0</v>
      </c>
      <c r="BF456" s="2">
        <v>0</v>
      </c>
      <c r="BG456" s="5">
        <v>0</v>
      </c>
      <c r="BH456" s="2">
        <v>21695.88</v>
      </c>
      <c r="BI456" s="12">
        <v>19371.32</v>
      </c>
      <c r="BJ456" s="2">
        <v>0</v>
      </c>
      <c r="BK456" s="5">
        <v>1807.99</v>
      </c>
      <c r="BL456" s="1" t="s">
        <v>90</v>
      </c>
    </row>
    <row r="457" spans="1:64" x14ac:dyDescent="0.3">
      <c r="A457" t="s">
        <v>674</v>
      </c>
      <c r="B457" s="1" t="s">
        <v>674</v>
      </c>
      <c r="C457" s="9" t="s">
        <v>675</v>
      </c>
      <c r="D457" s="1" t="s">
        <v>95</v>
      </c>
      <c r="E457" s="1" t="s">
        <v>88</v>
      </c>
      <c r="F457" s="10" t="s">
        <v>432</v>
      </c>
      <c r="G457" s="1">
        <v>3.5000000000000003E-2</v>
      </c>
      <c r="H457" s="1">
        <v>0.05</v>
      </c>
      <c r="I457" s="8">
        <v>45567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0</v>
      </c>
      <c r="U457" s="6">
        <v>0</v>
      </c>
      <c r="V457" s="6">
        <v>0</v>
      </c>
      <c r="W457" s="6">
        <v>0</v>
      </c>
      <c r="AI457" s="2">
        <v>864689</v>
      </c>
      <c r="AJ457" s="2">
        <v>144916</v>
      </c>
      <c r="AK457" s="2">
        <v>38602.19</v>
      </c>
      <c r="AL457" s="2">
        <v>6469.46</v>
      </c>
      <c r="AM457" s="5">
        <v>9014.33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60576.3</v>
      </c>
      <c r="AT457" s="12">
        <v>54085.98</v>
      </c>
      <c r="AU457" s="2">
        <v>0</v>
      </c>
      <c r="AV457" s="5">
        <v>5048.03</v>
      </c>
      <c r="AX457" s="2">
        <v>864689</v>
      </c>
      <c r="AY457" s="2">
        <v>144916</v>
      </c>
      <c r="AZ457" s="2">
        <v>38602.19</v>
      </c>
      <c r="BA457" s="2">
        <v>6469.46</v>
      </c>
      <c r="BB457" s="5">
        <v>9014.33</v>
      </c>
      <c r="BC457" s="12">
        <v>0</v>
      </c>
      <c r="BD457" s="2">
        <v>0</v>
      </c>
      <c r="BE457" s="2">
        <v>0</v>
      </c>
      <c r="BF457" s="2">
        <v>0</v>
      </c>
      <c r="BG457" s="5">
        <v>0</v>
      </c>
      <c r="BH457" s="2">
        <v>60576.3</v>
      </c>
      <c r="BI457" s="12">
        <v>54085.98</v>
      </c>
      <c r="BJ457" s="2">
        <v>0</v>
      </c>
      <c r="BK457" s="5">
        <v>5048.03</v>
      </c>
      <c r="BL457" s="1" t="s">
        <v>90</v>
      </c>
    </row>
    <row r="458" spans="1:64" x14ac:dyDescent="0.3">
      <c r="A458" t="s">
        <v>678</v>
      </c>
      <c r="B458" s="1" t="s">
        <v>678</v>
      </c>
      <c r="C458" s="9" t="s">
        <v>679</v>
      </c>
      <c r="D458" s="1" t="s">
        <v>95</v>
      </c>
      <c r="E458" s="1" t="s">
        <v>128</v>
      </c>
      <c r="F458" s="10" t="s">
        <v>309</v>
      </c>
      <c r="G458" s="1">
        <v>3.5000000000000003E-2</v>
      </c>
      <c r="H458" s="1">
        <v>0.05</v>
      </c>
      <c r="I458" s="8">
        <v>45719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0</v>
      </c>
      <c r="U458" s="6">
        <v>0</v>
      </c>
      <c r="V458" s="6">
        <v>0</v>
      </c>
      <c r="W458" s="6">
        <v>0</v>
      </c>
      <c r="AI458" s="2">
        <v>567317</v>
      </c>
      <c r="AJ458" s="2">
        <v>26532</v>
      </c>
      <c r="AK458" s="2">
        <v>25326.65</v>
      </c>
      <c r="AL458" s="2">
        <v>1184.46</v>
      </c>
      <c r="AM458" s="5">
        <v>5302.22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35630.93</v>
      </c>
      <c r="AT458" s="12">
        <v>31813.33</v>
      </c>
      <c r="AU458" s="2">
        <v>0</v>
      </c>
      <c r="AV458" s="5">
        <v>2969.24</v>
      </c>
      <c r="AX458" s="2">
        <v>567317</v>
      </c>
      <c r="AY458" s="2">
        <v>26532</v>
      </c>
      <c r="AZ458" s="2">
        <v>25326.65</v>
      </c>
      <c r="BA458" s="2">
        <v>1184.46</v>
      </c>
      <c r="BB458" s="5">
        <v>5302.22</v>
      </c>
      <c r="BC458" s="12">
        <v>0</v>
      </c>
      <c r="BD458" s="2">
        <v>0</v>
      </c>
      <c r="BE458" s="2">
        <v>0</v>
      </c>
      <c r="BF458" s="2">
        <v>0</v>
      </c>
      <c r="BG458" s="5">
        <v>0</v>
      </c>
      <c r="BH458" s="2">
        <v>35630.93</v>
      </c>
      <c r="BI458" s="12">
        <v>31813.33</v>
      </c>
      <c r="BJ458" s="2">
        <v>0</v>
      </c>
      <c r="BK458" s="5">
        <v>2969.24</v>
      </c>
      <c r="BL458" s="1" t="s">
        <v>130</v>
      </c>
    </row>
    <row r="459" spans="1:64" x14ac:dyDescent="0.3">
      <c r="A459" t="s">
        <v>678</v>
      </c>
      <c r="B459" s="1" t="s">
        <v>680</v>
      </c>
      <c r="C459" s="9" t="s">
        <v>681</v>
      </c>
      <c r="D459" s="1" t="s">
        <v>95</v>
      </c>
      <c r="E459" s="1" t="s">
        <v>128</v>
      </c>
      <c r="F459" s="10" t="s">
        <v>309</v>
      </c>
      <c r="G459" s="1">
        <v>0</v>
      </c>
      <c r="H459" s="1">
        <v>0.05</v>
      </c>
      <c r="I459" s="8">
        <v>45719</v>
      </c>
      <c r="J459" s="6">
        <v>0</v>
      </c>
      <c r="K459" s="6">
        <v>0</v>
      </c>
      <c r="L459" s="6">
        <v>0</v>
      </c>
      <c r="M459" s="6">
        <v>0</v>
      </c>
      <c r="N459" s="7">
        <v>0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0</v>
      </c>
      <c r="U459" s="6">
        <v>0</v>
      </c>
      <c r="V459" s="6">
        <v>0</v>
      </c>
      <c r="W459" s="6">
        <v>0</v>
      </c>
      <c r="AI459" s="2">
        <v>135662</v>
      </c>
      <c r="AJ459" s="2">
        <v>0</v>
      </c>
      <c r="AK459" s="2">
        <v>6056.34</v>
      </c>
      <c r="AL459" s="2">
        <v>0</v>
      </c>
      <c r="AM459" s="5">
        <v>1211.27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8139.72</v>
      </c>
      <c r="AT459" s="12">
        <v>7267.6100000000006</v>
      </c>
      <c r="AU459" s="2">
        <v>0</v>
      </c>
      <c r="AV459" s="5">
        <v>678.31</v>
      </c>
      <c r="AX459" s="2">
        <v>135662</v>
      </c>
      <c r="AY459" s="2">
        <v>0</v>
      </c>
      <c r="AZ459" s="2">
        <v>6056.34</v>
      </c>
      <c r="BA459" s="2">
        <v>0</v>
      </c>
      <c r="BB459" s="5">
        <v>1211.27</v>
      </c>
      <c r="BC459" s="12">
        <v>0</v>
      </c>
      <c r="BD459" s="2">
        <v>0</v>
      </c>
      <c r="BE459" s="2">
        <v>0</v>
      </c>
      <c r="BF459" s="2">
        <v>0</v>
      </c>
      <c r="BG459" s="5">
        <v>0</v>
      </c>
      <c r="BH459" s="2">
        <v>8139.72</v>
      </c>
      <c r="BI459" s="12">
        <v>7267.6100000000006</v>
      </c>
      <c r="BJ459" s="2">
        <v>0</v>
      </c>
      <c r="BK459" s="5">
        <v>678.31</v>
      </c>
      <c r="BL459" s="1" t="s">
        <v>130</v>
      </c>
    </row>
    <row r="460" spans="1:64" x14ac:dyDescent="0.3">
      <c r="A460" t="s">
        <v>678</v>
      </c>
      <c r="B460" s="1" t="s">
        <v>682</v>
      </c>
      <c r="C460" s="9" t="s">
        <v>683</v>
      </c>
      <c r="D460" s="1" t="s">
        <v>95</v>
      </c>
      <c r="E460" s="1" t="s">
        <v>128</v>
      </c>
      <c r="F460" s="10" t="s">
        <v>129</v>
      </c>
      <c r="G460" s="1">
        <v>0</v>
      </c>
      <c r="H460" s="1">
        <v>0.05</v>
      </c>
      <c r="I460" s="8">
        <v>45719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0</v>
      </c>
      <c r="U460" s="6">
        <v>0</v>
      </c>
      <c r="V460" s="6">
        <v>0</v>
      </c>
      <c r="W460" s="6">
        <v>0</v>
      </c>
      <c r="AI460" s="2">
        <v>233666</v>
      </c>
      <c r="AJ460" s="2">
        <v>15224</v>
      </c>
      <c r="AK460" s="2">
        <v>10431.52</v>
      </c>
      <c r="AL460" s="2">
        <v>679.64</v>
      </c>
      <c r="AM460" s="5">
        <v>2222.23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14933.4</v>
      </c>
      <c r="AT460" s="12">
        <v>13333.39</v>
      </c>
      <c r="AU460" s="2">
        <v>0</v>
      </c>
      <c r="AV460" s="5">
        <v>1244.45</v>
      </c>
      <c r="AX460" s="2">
        <v>233666</v>
      </c>
      <c r="AY460" s="2">
        <v>15224</v>
      </c>
      <c r="AZ460" s="2">
        <v>10431.52</v>
      </c>
      <c r="BA460" s="2">
        <v>679.64</v>
      </c>
      <c r="BB460" s="5">
        <v>2222.23</v>
      </c>
      <c r="BC460" s="12">
        <v>0</v>
      </c>
      <c r="BD460" s="2">
        <v>0</v>
      </c>
      <c r="BE460" s="2">
        <v>0</v>
      </c>
      <c r="BF460" s="2">
        <v>0</v>
      </c>
      <c r="BG460" s="5">
        <v>0</v>
      </c>
      <c r="BH460" s="2">
        <v>14933.4</v>
      </c>
      <c r="BI460" s="12">
        <v>13333.39</v>
      </c>
      <c r="BJ460" s="2">
        <v>0</v>
      </c>
      <c r="BK460" s="5">
        <v>1244.45</v>
      </c>
      <c r="BL460" s="1" t="s">
        <v>130</v>
      </c>
    </row>
    <row r="461" spans="1:64" x14ac:dyDescent="0.3">
      <c r="A461" t="s">
        <v>686</v>
      </c>
      <c r="B461" s="1" t="s">
        <v>686</v>
      </c>
      <c r="C461" s="9" t="s">
        <v>687</v>
      </c>
      <c r="D461" s="1" t="s">
        <v>95</v>
      </c>
      <c r="E461" s="1" t="s">
        <v>135</v>
      </c>
      <c r="F461" s="10" t="s">
        <v>348</v>
      </c>
      <c r="G461" s="1">
        <v>3.5000000000000003E-2</v>
      </c>
      <c r="H461" s="1">
        <v>0.05</v>
      </c>
      <c r="I461" s="8">
        <v>44538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0</v>
      </c>
      <c r="U461" s="6">
        <v>0</v>
      </c>
      <c r="V461" s="6">
        <v>0</v>
      </c>
      <c r="W461" s="6">
        <v>0</v>
      </c>
      <c r="AI461" s="2">
        <v>403509</v>
      </c>
      <c r="AJ461" s="2">
        <v>97034</v>
      </c>
      <c r="AK461" s="2">
        <v>18013.79</v>
      </c>
      <c r="AL461" s="2">
        <v>4331.87</v>
      </c>
      <c r="AM461" s="5">
        <v>4469.13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30032.560000000001</v>
      </c>
      <c r="AT461" s="12">
        <v>26814.79</v>
      </c>
      <c r="AU461" s="2">
        <v>0</v>
      </c>
      <c r="AV461" s="5">
        <v>2502.7199999999998</v>
      </c>
      <c r="AX461" s="2">
        <v>403509</v>
      </c>
      <c r="AY461" s="2">
        <v>97034</v>
      </c>
      <c r="AZ461" s="2">
        <v>18013.79</v>
      </c>
      <c r="BA461" s="2">
        <v>4331.87</v>
      </c>
      <c r="BB461" s="5">
        <v>4469.13</v>
      </c>
      <c r="BC461" s="12">
        <v>0</v>
      </c>
      <c r="BD461" s="2">
        <v>0</v>
      </c>
      <c r="BE461" s="2">
        <v>0</v>
      </c>
      <c r="BF461" s="2">
        <v>0</v>
      </c>
      <c r="BG461" s="5">
        <v>0</v>
      </c>
      <c r="BH461" s="2">
        <v>30032.560000000001</v>
      </c>
      <c r="BI461" s="12">
        <v>26814.79</v>
      </c>
      <c r="BJ461" s="2">
        <v>0</v>
      </c>
      <c r="BK461" s="5">
        <v>2502.7199999999998</v>
      </c>
      <c r="BL461" s="1" t="s">
        <v>137</v>
      </c>
    </row>
    <row r="462" spans="1:64" x14ac:dyDescent="0.3">
      <c r="A462" t="s">
        <v>688</v>
      </c>
      <c r="B462" s="1" t="s">
        <v>688</v>
      </c>
      <c r="C462" s="9" t="s">
        <v>689</v>
      </c>
      <c r="D462" s="1" t="s">
        <v>95</v>
      </c>
      <c r="E462" s="1" t="s">
        <v>128</v>
      </c>
      <c r="F462" s="10" t="s">
        <v>325</v>
      </c>
      <c r="G462" s="1">
        <v>3.5000000000000003E-2</v>
      </c>
      <c r="H462" s="1">
        <v>0.05</v>
      </c>
      <c r="I462" s="8">
        <v>45667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0</v>
      </c>
      <c r="U462" s="6">
        <v>0</v>
      </c>
      <c r="V462" s="6">
        <v>0</v>
      </c>
      <c r="W462" s="6">
        <v>0</v>
      </c>
      <c r="AI462" s="2">
        <v>2132201</v>
      </c>
      <c r="AJ462" s="2">
        <v>97694</v>
      </c>
      <c r="AK462" s="2">
        <v>95187.54</v>
      </c>
      <c r="AL462" s="2">
        <v>4361.34</v>
      </c>
      <c r="AM462" s="5">
        <v>19909.78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133793.70000000001</v>
      </c>
      <c r="AT462" s="12">
        <v>119458.65999999999</v>
      </c>
      <c r="AU462" s="2">
        <v>0</v>
      </c>
      <c r="AV462" s="5">
        <v>11149.48</v>
      </c>
      <c r="AX462" s="2">
        <v>2132201</v>
      </c>
      <c r="AY462" s="2">
        <v>97694</v>
      </c>
      <c r="AZ462" s="2">
        <v>95187.54</v>
      </c>
      <c r="BA462" s="2">
        <v>4361.34</v>
      </c>
      <c r="BB462" s="5">
        <v>19909.78</v>
      </c>
      <c r="BC462" s="12">
        <v>0</v>
      </c>
      <c r="BD462" s="2">
        <v>0</v>
      </c>
      <c r="BE462" s="2">
        <v>0</v>
      </c>
      <c r="BF462" s="2">
        <v>0</v>
      </c>
      <c r="BG462" s="5">
        <v>0</v>
      </c>
      <c r="BH462" s="2">
        <v>133793.70000000001</v>
      </c>
      <c r="BI462" s="12">
        <v>119458.65999999999</v>
      </c>
      <c r="BJ462" s="2">
        <v>0</v>
      </c>
      <c r="BK462" s="5">
        <v>11149.48</v>
      </c>
      <c r="BL462" s="1" t="s">
        <v>326</v>
      </c>
    </row>
    <row r="463" spans="1:64" x14ac:dyDescent="0.3">
      <c r="A463" t="s">
        <v>704</v>
      </c>
      <c r="B463" s="1" t="s">
        <v>704</v>
      </c>
      <c r="C463" s="9" t="s">
        <v>705</v>
      </c>
      <c r="D463" s="1" t="s">
        <v>95</v>
      </c>
      <c r="E463" s="1" t="s">
        <v>135</v>
      </c>
      <c r="F463" s="10" t="s">
        <v>435</v>
      </c>
      <c r="G463" s="1">
        <v>3.5000000000000003E-2</v>
      </c>
      <c r="H463" s="1">
        <v>0.05</v>
      </c>
      <c r="I463" s="8">
        <v>44482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0</v>
      </c>
      <c r="U463" s="6">
        <v>0</v>
      </c>
      <c r="V463" s="6">
        <v>0</v>
      </c>
      <c r="W463" s="6">
        <v>0</v>
      </c>
      <c r="AI463" s="2">
        <v>200311</v>
      </c>
      <c r="AJ463" s="2">
        <v>50790</v>
      </c>
      <c r="AK463" s="2">
        <v>8942.4599999999991</v>
      </c>
      <c r="AL463" s="2">
        <v>2267.41</v>
      </c>
      <c r="AM463" s="5">
        <v>2241.9699999999998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15066.06</v>
      </c>
      <c r="AT463" s="12">
        <v>13451.839999999998</v>
      </c>
      <c r="AU463" s="2">
        <v>0</v>
      </c>
      <c r="AV463" s="5">
        <v>1255.51</v>
      </c>
      <c r="AX463" s="2">
        <v>200311</v>
      </c>
      <c r="AY463" s="2">
        <v>50790</v>
      </c>
      <c r="AZ463" s="2">
        <v>8942.4599999999991</v>
      </c>
      <c r="BA463" s="2">
        <v>2267.41</v>
      </c>
      <c r="BB463" s="5">
        <v>2241.9699999999998</v>
      </c>
      <c r="BC463" s="12">
        <v>0</v>
      </c>
      <c r="BD463" s="2">
        <v>0</v>
      </c>
      <c r="BE463" s="2">
        <v>0</v>
      </c>
      <c r="BF463" s="2">
        <v>0</v>
      </c>
      <c r="BG463" s="5">
        <v>0</v>
      </c>
      <c r="BH463" s="2">
        <v>15066.06</v>
      </c>
      <c r="BI463" s="12">
        <v>13451.839999999998</v>
      </c>
      <c r="BJ463" s="2">
        <v>0</v>
      </c>
      <c r="BK463" s="5">
        <v>1255.51</v>
      </c>
      <c r="BL463" s="1" t="s">
        <v>137</v>
      </c>
    </row>
    <row r="464" spans="1:64" x14ac:dyDescent="0.3">
      <c r="A464" t="s">
        <v>706</v>
      </c>
      <c r="B464" s="1" t="s">
        <v>706</v>
      </c>
      <c r="C464" s="9" t="s">
        <v>707</v>
      </c>
      <c r="D464" s="1" t="s">
        <v>95</v>
      </c>
      <c r="E464" s="1" t="s">
        <v>88</v>
      </c>
      <c r="F464" s="10" t="s">
        <v>218</v>
      </c>
      <c r="G464" s="1">
        <v>3.5000000000000003E-2</v>
      </c>
      <c r="H464" s="1">
        <v>0.05</v>
      </c>
      <c r="I464" s="8">
        <v>44044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0</v>
      </c>
      <c r="U464" s="6">
        <v>0</v>
      </c>
      <c r="V464" s="6">
        <v>0</v>
      </c>
      <c r="W464" s="6">
        <v>0</v>
      </c>
      <c r="AI464" s="2">
        <v>171451</v>
      </c>
      <c r="AJ464" s="2">
        <v>48115</v>
      </c>
      <c r="AK464" s="2">
        <v>7654.06</v>
      </c>
      <c r="AL464" s="2">
        <v>2147.9899999999998</v>
      </c>
      <c r="AM464" s="5">
        <v>1960.41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13173.96</v>
      </c>
      <c r="AT464" s="12">
        <v>11762.46</v>
      </c>
      <c r="AU464" s="2">
        <v>0</v>
      </c>
      <c r="AV464" s="5">
        <v>1097.83</v>
      </c>
      <c r="AX464" s="2">
        <v>171451</v>
      </c>
      <c r="AY464" s="2">
        <v>48115</v>
      </c>
      <c r="AZ464" s="2">
        <v>7654.06</v>
      </c>
      <c r="BA464" s="2">
        <v>2147.9899999999998</v>
      </c>
      <c r="BB464" s="5">
        <v>1960.41</v>
      </c>
      <c r="BC464" s="12">
        <v>0</v>
      </c>
      <c r="BD464" s="2">
        <v>0</v>
      </c>
      <c r="BE464" s="2">
        <v>0</v>
      </c>
      <c r="BF464" s="2">
        <v>0</v>
      </c>
      <c r="BG464" s="5">
        <v>0</v>
      </c>
      <c r="BH464" s="2">
        <v>13173.96</v>
      </c>
      <c r="BI464" s="12">
        <v>11762.46</v>
      </c>
      <c r="BJ464" s="2">
        <v>0</v>
      </c>
      <c r="BK464" s="5">
        <v>1097.83</v>
      </c>
      <c r="BL464" s="1" t="s">
        <v>90</v>
      </c>
    </row>
    <row r="465" spans="1:64" x14ac:dyDescent="0.3">
      <c r="A465" t="s">
        <v>706</v>
      </c>
      <c r="B465" s="1" t="s">
        <v>708</v>
      </c>
      <c r="C465" s="9" t="s">
        <v>709</v>
      </c>
      <c r="D465" s="1" t="s">
        <v>95</v>
      </c>
      <c r="E465" s="1" t="s">
        <v>88</v>
      </c>
      <c r="F465" s="10" t="s">
        <v>218</v>
      </c>
      <c r="G465" s="1">
        <v>0.04</v>
      </c>
      <c r="H465" s="1">
        <v>0.05</v>
      </c>
      <c r="I465" s="8">
        <v>44044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0</v>
      </c>
      <c r="U465" s="6">
        <v>0</v>
      </c>
      <c r="V465" s="6">
        <v>0</v>
      </c>
      <c r="W465" s="6">
        <v>0</v>
      </c>
      <c r="AI465" s="2">
        <v>133960</v>
      </c>
      <c r="AJ465" s="2">
        <v>42535</v>
      </c>
      <c r="AK465" s="2">
        <v>5980.36</v>
      </c>
      <c r="AL465" s="2">
        <v>1898.88</v>
      </c>
      <c r="AM465" s="5">
        <v>1575.85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10589.7</v>
      </c>
      <c r="AT465" s="12">
        <v>9455.09</v>
      </c>
      <c r="AU465" s="2">
        <v>0</v>
      </c>
      <c r="AV465" s="5">
        <v>882.48</v>
      </c>
      <c r="AX465" s="2">
        <v>133960</v>
      </c>
      <c r="AY465" s="2">
        <v>42535</v>
      </c>
      <c r="AZ465" s="2">
        <v>5980.36</v>
      </c>
      <c r="BA465" s="2">
        <v>1898.88</v>
      </c>
      <c r="BB465" s="5">
        <v>1575.85</v>
      </c>
      <c r="BC465" s="12">
        <v>0</v>
      </c>
      <c r="BD465" s="2">
        <v>0</v>
      </c>
      <c r="BE465" s="2">
        <v>0</v>
      </c>
      <c r="BF465" s="2">
        <v>0</v>
      </c>
      <c r="BG465" s="5">
        <v>0</v>
      </c>
      <c r="BH465" s="2">
        <v>10589.7</v>
      </c>
      <c r="BI465" s="12">
        <v>9455.09</v>
      </c>
      <c r="BJ465" s="2">
        <v>0</v>
      </c>
      <c r="BK465" s="5">
        <v>882.48</v>
      </c>
      <c r="BL465" s="1" t="s">
        <v>90</v>
      </c>
    </row>
    <row r="466" spans="1:64" x14ac:dyDescent="0.3">
      <c r="A466" t="s">
        <v>710</v>
      </c>
      <c r="B466" s="1" t="s">
        <v>710</v>
      </c>
      <c r="C466" s="9" t="s">
        <v>711</v>
      </c>
      <c r="D466" s="1" t="s">
        <v>95</v>
      </c>
      <c r="E466" s="1" t="s">
        <v>88</v>
      </c>
      <c r="F466" s="10" t="s">
        <v>545</v>
      </c>
      <c r="G466" s="1">
        <v>3.5000000000000003E-2</v>
      </c>
      <c r="H466" s="1">
        <v>0.05</v>
      </c>
      <c r="I466" s="8">
        <v>44130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0</v>
      </c>
      <c r="AJ466" s="2">
        <v>0</v>
      </c>
      <c r="AK466" s="2">
        <v>0</v>
      </c>
      <c r="AL466" s="2">
        <v>0</v>
      </c>
      <c r="AM466" s="5">
        <v>0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0</v>
      </c>
      <c r="AT466" s="12">
        <v>0</v>
      </c>
      <c r="AU466" s="2">
        <v>0</v>
      </c>
      <c r="AV466" s="5">
        <v>0</v>
      </c>
      <c r="AX466" s="2">
        <v>0</v>
      </c>
      <c r="AY466" s="2">
        <v>0</v>
      </c>
      <c r="AZ466" s="2">
        <v>0</v>
      </c>
      <c r="BA466" s="2">
        <v>0</v>
      </c>
      <c r="BB466" s="5">
        <v>0</v>
      </c>
      <c r="BC466" s="12">
        <v>0</v>
      </c>
      <c r="BD466" s="2">
        <v>0</v>
      </c>
      <c r="BE466" s="2">
        <v>0</v>
      </c>
      <c r="BF466" s="2">
        <v>0</v>
      </c>
      <c r="BG466" s="5">
        <v>0</v>
      </c>
      <c r="BH466" s="2">
        <v>0</v>
      </c>
      <c r="BI466" s="12">
        <v>0</v>
      </c>
      <c r="BJ466" s="2">
        <v>0</v>
      </c>
      <c r="BK466" s="5">
        <v>0</v>
      </c>
      <c r="BL466" s="1" t="s">
        <v>546</v>
      </c>
    </row>
    <row r="467" spans="1:64" x14ac:dyDescent="0.3">
      <c r="A467" t="s">
        <v>712</v>
      </c>
      <c r="B467" s="1" t="s">
        <v>712</v>
      </c>
      <c r="C467" s="9" t="s">
        <v>713</v>
      </c>
      <c r="D467" s="1" t="s">
        <v>95</v>
      </c>
      <c r="E467" s="1" t="s">
        <v>135</v>
      </c>
      <c r="F467" s="10" t="s">
        <v>193</v>
      </c>
      <c r="G467" s="1">
        <v>3.5000000000000003E-2</v>
      </c>
      <c r="H467" s="1">
        <v>0.05</v>
      </c>
      <c r="I467" s="8">
        <v>44113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  <c r="T467" s="11">
        <v>0</v>
      </c>
      <c r="U467" s="6">
        <v>0</v>
      </c>
      <c r="V467" s="6">
        <v>0</v>
      </c>
      <c r="W467" s="6">
        <v>0</v>
      </c>
      <c r="AI467" s="2">
        <v>432090</v>
      </c>
      <c r="AJ467" s="2">
        <v>34790</v>
      </c>
      <c r="AK467" s="2">
        <v>19289.73</v>
      </c>
      <c r="AL467" s="2">
        <v>1553.12</v>
      </c>
      <c r="AM467" s="5">
        <v>4168.57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28012.79</v>
      </c>
      <c r="AT467" s="12">
        <v>25011.42</v>
      </c>
      <c r="AU467" s="2">
        <v>0</v>
      </c>
      <c r="AV467" s="5">
        <v>2334.4</v>
      </c>
      <c r="AX467" s="2">
        <v>432090</v>
      </c>
      <c r="AY467" s="2">
        <v>34790</v>
      </c>
      <c r="AZ467" s="2">
        <v>19289.73</v>
      </c>
      <c r="BA467" s="2">
        <v>1553.12</v>
      </c>
      <c r="BB467" s="5">
        <v>4168.57</v>
      </c>
      <c r="BC467" s="12">
        <v>0</v>
      </c>
      <c r="BD467" s="2">
        <v>0</v>
      </c>
      <c r="BE467" s="2">
        <v>0</v>
      </c>
      <c r="BF467" s="2">
        <v>0</v>
      </c>
      <c r="BG467" s="5">
        <v>0</v>
      </c>
      <c r="BH467" s="2">
        <v>28012.79</v>
      </c>
      <c r="BI467" s="12">
        <v>25011.42</v>
      </c>
      <c r="BJ467" s="2">
        <v>0</v>
      </c>
      <c r="BK467" s="5">
        <v>2334.4</v>
      </c>
      <c r="BL467" s="1" t="s">
        <v>137</v>
      </c>
    </row>
    <row r="468" spans="1:64" x14ac:dyDescent="0.3">
      <c r="A468" t="s">
        <v>712</v>
      </c>
      <c r="B468" s="1" t="s">
        <v>714</v>
      </c>
      <c r="C468" s="9" t="s">
        <v>715</v>
      </c>
      <c r="D468" s="1" t="s">
        <v>95</v>
      </c>
      <c r="E468" s="1" t="s">
        <v>135</v>
      </c>
      <c r="F468" s="10" t="s">
        <v>193</v>
      </c>
      <c r="G468" s="1">
        <v>4.4999999999999998E-2</v>
      </c>
      <c r="H468" s="1">
        <v>0.05</v>
      </c>
      <c r="I468" s="8">
        <v>44113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0</v>
      </c>
      <c r="P468" s="6">
        <v>0</v>
      </c>
      <c r="Q468" s="6">
        <v>0</v>
      </c>
      <c r="R468" s="6">
        <v>0</v>
      </c>
      <c r="S468" s="7">
        <v>0</v>
      </c>
      <c r="T468" s="11">
        <v>0</v>
      </c>
      <c r="U468" s="6">
        <v>0</v>
      </c>
      <c r="V468" s="6">
        <v>0</v>
      </c>
      <c r="W468" s="6">
        <v>0</v>
      </c>
      <c r="AI468" s="2">
        <v>714507</v>
      </c>
      <c r="AJ468" s="2">
        <v>30990</v>
      </c>
      <c r="AK468" s="2">
        <v>31897.63</v>
      </c>
      <c r="AL468" s="2">
        <v>1383.48</v>
      </c>
      <c r="AM468" s="5">
        <v>6656.22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44729.81</v>
      </c>
      <c r="AT468" s="12">
        <v>39937.33</v>
      </c>
      <c r="AU468" s="2">
        <v>0</v>
      </c>
      <c r="AV468" s="5">
        <v>3727.48</v>
      </c>
      <c r="AX468" s="2">
        <v>714507</v>
      </c>
      <c r="AY468" s="2">
        <v>30990</v>
      </c>
      <c r="AZ468" s="2">
        <v>31897.63</v>
      </c>
      <c r="BA468" s="2">
        <v>1383.48</v>
      </c>
      <c r="BB468" s="5">
        <v>6656.22</v>
      </c>
      <c r="BC468" s="12">
        <v>0</v>
      </c>
      <c r="BD468" s="2">
        <v>0</v>
      </c>
      <c r="BE468" s="2">
        <v>0</v>
      </c>
      <c r="BF468" s="2">
        <v>0</v>
      </c>
      <c r="BG468" s="5">
        <v>0</v>
      </c>
      <c r="BH468" s="2">
        <v>44729.81</v>
      </c>
      <c r="BI468" s="12">
        <v>39937.33</v>
      </c>
      <c r="BJ468" s="2">
        <v>0</v>
      </c>
      <c r="BK468" s="5">
        <v>3727.48</v>
      </c>
      <c r="BL468" s="1" t="s">
        <v>137</v>
      </c>
    </row>
    <row r="469" spans="1:64" x14ac:dyDescent="0.3">
      <c r="A469" t="s">
        <v>716</v>
      </c>
      <c r="B469" s="1" t="s">
        <v>716</v>
      </c>
      <c r="C469" s="9" t="s">
        <v>717</v>
      </c>
      <c r="D469" s="1" t="s">
        <v>95</v>
      </c>
      <c r="E469" s="1" t="s">
        <v>88</v>
      </c>
      <c r="F469" s="10" t="s">
        <v>96</v>
      </c>
      <c r="G469" s="1">
        <v>0.04</v>
      </c>
      <c r="H469" s="1">
        <v>0.05</v>
      </c>
      <c r="I469" s="8">
        <v>44232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0</v>
      </c>
      <c r="P469" s="6">
        <v>0</v>
      </c>
      <c r="Q469" s="6">
        <v>0</v>
      </c>
      <c r="R469" s="6">
        <v>0</v>
      </c>
      <c r="S469" s="7">
        <v>0</v>
      </c>
      <c r="T469" s="11">
        <v>0</v>
      </c>
      <c r="U469" s="6">
        <v>0</v>
      </c>
      <c r="V469" s="6">
        <v>0</v>
      </c>
      <c r="W469" s="6">
        <v>0</v>
      </c>
      <c r="AI469" s="2">
        <v>677022.09</v>
      </c>
      <c r="AJ469" s="2">
        <v>84353</v>
      </c>
      <c r="AK469" s="2">
        <v>30224.2</v>
      </c>
      <c r="AL469" s="2">
        <v>3765.76</v>
      </c>
      <c r="AM469" s="5">
        <v>6797.99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45682.5</v>
      </c>
      <c r="AT469" s="12">
        <v>40787.949999999997</v>
      </c>
      <c r="AU469" s="2">
        <v>0</v>
      </c>
      <c r="AV469" s="5">
        <v>3806.88</v>
      </c>
      <c r="AX469" s="2">
        <v>677022.09</v>
      </c>
      <c r="AY469" s="2">
        <v>84353</v>
      </c>
      <c r="AZ469" s="2">
        <v>30224.2</v>
      </c>
      <c r="BA469" s="2">
        <v>3765.76</v>
      </c>
      <c r="BB469" s="5">
        <v>6797.99</v>
      </c>
      <c r="BC469" s="12">
        <v>0</v>
      </c>
      <c r="BD469" s="2">
        <v>0</v>
      </c>
      <c r="BE469" s="2">
        <v>0</v>
      </c>
      <c r="BF469" s="2">
        <v>0</v>
      </c>
      <c r="BG469" s="5">
        <v>0</v>
      </c>
      <c r="BH469" s="2">
        <v>45682.5</v>
      </c>
      <c r="BI469" s="12">
        <v>40787.949999999997</v>
      </c>
      <c r="BJ469" s="2">
        <v>0</v>
      </c>
      <c r="BK469" s="5">
        <v>3806.88</v>
      </c>
      <c r="BL469" s="1" t="s">
        <v>90</v>
      </c>
    </row>
    <row r="470" spans="1:64" x14ac:dyDescent="0.3">
      <c r="A470" t="s">
        <v>718</v>
      </c>
      <c r="B470" s="1" t="s">
        <v>718</v>
      </c>
      <c r="C470" s="9" t="s">
        <v>719</v>
      </c>
      <c r="D470" s="1" t="s">
        <v>95</v>
      </c>
      <c r="E470" s="1" t="s">
        <v>135</v>
      </c>
      <c r="F470" s="10" t="s">
        <v>435</v>
      </c>
      <c r="G470" s="1">
        <v>3.5000000000000003E-2</v>
      </c>
      <c r="H470" s="1">
        <v>0.05</v>
      </c>
      <c r="I470" s="8">
        <v>44328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541218</v>
      </c>
      <c r="AJ470" s="2">
        <v>89865</v>
      </c>
      <c r="AK470" s="2">
        <v>24161.52</v>
      </c>
      <c r="AL470" s="2">
        <v>4011.83</v>
      </c>
      <c r="AM470" s="5">
        <v>5634.67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37864.980000000003</v>
      </c>
      <c r="AT470" s="12">
        <v>33808.019999999997</v>
      </c>
      <c r="AU470" s="2">
        <v>0</v>
      </c>
      <c r="AV470" s="5">
        <v>3155.42</v>
      </c>
      <c r="AX470" s="2">
        <v>541218</v>
      </c>
      <c r="AY470" s="2">
        <v>89865</v>
      </c>
      <c r="AZ470" s="2">
        <v>24161.52</v>
      </c>
      <c r="BA470" s="2">
        <v>4011.83</v>
      </c>
      <c r="BB470" s="5">
        <v>5634.67</v>
      </c>
      <c r="BC470" s="12">
        <v>0</v>
      </c>
      <c r="BD470" s="2">
        <v>0</v>
      </c>
      <c r="BE470" s="2">
        <v>0</v>
      </c>
      <c r="BF470" s="2">
        <v>0</v>
      </c>
      <c r="BG470" s="5">
        <v>0</v>
      </c>
      <c r="BH470" s="2">
        <v>37864.980000000003</v>
      </c>
      <c r="BI470" s="12">
        <v>33808.019999999997</v>
      </c>
      <c r="BJ470" s="2">
        <v>0</v>
      </c>
      <c r="BK470" s="5">
        <v>3155.42</v>
      </c>
      <c r="BL470" s="1" t="s">
        <v>137</v>
      </c>
    </row>
    <row r="471" spans="1:64" x14ac:dyDescent="0.3">
      <c r="A471" t="s">
        <v>720</v>
      </c>
      <c r="B471" s="1" t="s">
        <v>720</v>
      </c>
      <c r="C471" s="9" t="s">
        <v>721</v>
      </c>
      <c r="D471" s="1" t="s">
        <v>95</v>
      </c>
      <c r="E471" s="1" t="s">
        <v>88</v>
      </c>
      <c r="F471" s="10" t="s">
        <v>534</v>
      </c>
      <c r="G471" s="1">
        <v>0.04</v>
      </c>
      <c r="H471" s="1">
        <v>0.05</v>
      </c>
      <c r="I471" s="8">
        <v>44313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0</v>
      </c>
      <c r="U471" s="6">
        <v>0</v>
      </c>
      <c r="V471" s="6">
        <v>0</v>
      </c>
      <c r="W471" s="6">
        <v>0</v>
      </c>
      <c r="AI471" s="2">
        <v>549505</v>
      </c>
      <c r="AJ471" s="2">
        <v>66913</v>
      </c>
      <c r="AK471" s="2">
        <v>24531.47</v>
      </c>
      <c r="AL471" s="2">
        <v>2987.19</v>
      </c>
      <c r="AM471" s="5">
        <v>5503.73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36985.08</v>
      </c>
      <c r="AT471" s="12">
        <v>33022.39</v>
      </c>
      <c r="AU471" s="2">
        <v>0</v>
      </c>
      <c r="AV471" s="5">
        <v>3082.09</v>
      </c>
      <c r="AX471" s="2">
        <v>549505</v>
      </c>
      <c r="AY471" s="2">
        <v>66913</v>
      </c>
      <c r="AZ471" s="2">
        <v>24531.47</v>
      </c>
      <c r="BA471" s="2">
        <v>2987.19</v>
      </c>
      <c r="BB471" s="5">
        <v>5503.73</v>
      </c>
      <c r="BC471" s="12">
        <v>0</v>
      </c>
      <c r="BD471" s="2">
        <v>0</v>
      </c>
      <c r="BE471" s="2">
        <v>0</v>
      </c>
      <c r="BF471" s="2">
        <v>0</v>
      </c>
      <c r="BG471" s="5">
        <v>0</v>
      </c>
      <c r="BH471" s="2">
        <v>36985.08</v>
      </c>
      <c r="BI471" s="12">
        <v>33022.39</v>
      </c>
      <c r="BJ471" s="2">
        <v>0</v>
      </c>
      <c r="BK471" s="5">
        <v>3082.09</v>
      </c>
      <c r="BL471" s="1" t="s">
        <v>90</v>
      </c>
    </row>
    <row r="472" spans="1:64" x14ac:dyDescent="0.3">
      <c r="A472" t="s">
        <v>720</v>
      </c>
      <c r="B472" s="1" t="s">
        <v>722</v>
      </c>
      <c r="C472" s="9" t="s">
        <v>723</v>
      </c>
      <c r="D472" s="1" t="s">
        <v>95</v>
      </c>
      <c r="E472" s="1" t="s">
        <v>88</v>
      </c>
      <c r="F472" s="10" t="s">
        <v>534</v>
      </c>
      <c r="G472" s="1">
        <v>0.04</v>
      </c>
      <c r="H472" s="1">
        <v>0.05</v>
      </c>
      <c r="I472" s="8">
        <v>44313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0</v>
      </c>
      <c r="U472" s="6">
        <v>0</v>
      </c>
      <c r="V472" s="6">
        <v>0</v>
      </c>
      <c r="W472" s="6">
        <v>0</v>
      </c>
      <c r="AI472" s="2">
        <v>552802</v>
      </c>
      <c r="AJ472" s="2">
        <v>48191</v>
      </c>
      <c r="AK472" s="2">
        <v>24678.66</v>
      </c>
      <c r="AL472" s="2">
        <v>2151.38</v>
      </c>
      <c r="AM472" s="5">
        <v>5366.01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36059.58</v>
      </c>
      <c r="AT472" s="12">
        <v>32196.050000000003</v>
      </c>
      <c r="AU472" s="2">
        <v>0</v>
      </c>
      <c r="AV472" s="5">
        <v>3004.96</v>
      </c>
      <c r="AX472" s="2">
        <v>552802</v>
      </c>
      <c r="AY472" s="2">
        <v>48191</v>
      </c>
      <c r="AZ472" s="2">
        <v>24678.66</v>
      </c>
      <c r="BA472" s="2">
        <v>2151.38</v>
      </c>
      <c r="BB472" s="5">
        <v>5366.01</v>
      </c>
      <c r="BC472" s="12">
        <v>0</v>
      </c>
      <c r="BD472" s="2">
        <v>0</v>
      </c>
      <c r="BE472" s="2">
        <v>0</v>
      </c>
      <c r="BF472" s="2">
        <v>0</v>
      </c>
      <c r="BG472" s="5">
        <v>0</v>
      </c>
      <c r="BH472" s="2">
        <v>36059.58</v>
      </c>
      <c r="BI472" s="12">
        <v>32196.050000000003</v>
      </c>
      <c r="BJ472" s="2">
        <v>0</v>
      </c>
      <c r="BK472" s="5">
        <v>3004.96</v>
      </c>
      <c r="BL472" s="1" t="s">
        <v>90</v>
      </c>
    </row>
    <row r="473" spans="1:64" x14ac:dyDescent="0.3">
      <c r="A473" t="s">
        <v>720</v>
      </c>
      <c r="B473" s="1" t="s">
        <v>724</v>
      </c>
      <c r="C473" s="9" t="s">
        <v>725</v>
      </c>
      <c r="D473" s="1" t="s">
        <v>95</v>
      </c>
      <c r="E473" s="1" t="s">
        <v>88</v>
      </c>
      <c r="F473" s="10" t="s">
        <v>534</v>
      </c>
      <c r="G473" s="1">
        <v>0</v>
      </c>
      <c r="H473" s="1">
        <v>0.05</v>
      </c>
      <c r="I473" s="8">
        <v>45047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0</v>
      </c>
      <c r="U473" s="6">
        <v>0</v>
      </c>
      <c r="V473" s="6">
        <v>0</v>
      </c>
      <c r="W473" s="6">
        <v>0</v>
      </c>
      <c r="AI473" s="2">
        <v>110223</v>
      </c>
      <c r="AJ473" s="2">
        <v>10055</v>
      </c>
      <c r="AK473" s="2">
        <v>4920.67</v>
      </c>
      <c r="AL473" s="2">
        <v>448.88</v>
      </c>
      <c r="AM473" s="5">
        <v>1073.9100000000001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7216.68</v>
      </c>
      <c r="AT473" s="12">
        <v>6443.46</v>
      </c>
      <c r="AU473" s="2">
        <v>0</v>
      </c>
      <c r="AV473" s="5">
        <v>601.39</v>
      </c>
      <c r="AX473" s="2">
        <v>110223</v>
      </c>
      <c r="AY473" s="2">
        <v>10055</v>
      </c>
      <c r="AZ473" s="2">
        <v>4920.67</v>
      </c>
      <c r="BA473" s="2">
        <v>448.88</v>
      </c>
      <c r="BB473" s="5">
        <v>1073.9100000000001</v>
      </c>
      <c r="BC473" s="12">
        <v>0</v>
      </c>
      <c r="BD473" s="2">
        <v>0</v>
      </c>
      <c r="BE473" s="2">
        <v>0</v>
      </c>
      <c r="BF473" s="2">
        <v>0</v>
      </c>
      <c r="BG473" s="5">
        <v>0</v>
      </c>
      <c r="BH473" s="2">
        <v>7216.68</v>
      </c>
      <c r="BI473" s="12">
        <v>6443.46</v>
      </c>
      <c r="BJ473" s="2">
        <v>0</v>
      </c>
      <c r="BK473" s="5">
        <v>601.39</v>
      </c>
      <c r="BL473" s="1" t="s">
        <v>90</v>
      </c>
    </row>
    <row r="474" spans="1:64" x14ac:dyDescent="0.3">
      <c r="A474" t="s">
        <v>720</v>
      </c>
      <c r="B474" s="1" t="s">
        <v>726</v>
      </c>
      <c r="C474" s="9" t="s">
        <v>727</v>
      </c>
      <c r="D474" s="1" t="s">
        <v>95</v>
      </c>
      <c r="E474" s="1" t="s">
        <v>88</v>
      </c>
      <c r="F474" s="10" t="s">
        <v>534</v>
      </c>
      <c r="G474" s="1">
        <v>0</v>
      </c>
      <c r="H474" s="1">
        <v>0.05</v>
      </c>
      <c r="I474" s="8">
        <v>45047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0</v>
      </c>
      <c r="U474" s="6">
        <v>0</v>
      </c>
      <c r="V474" s="6">
        <v>0</v>
      </c>
      <c r="W474" s="6">
        <v>0</v>
      </c>
      <c r="AI474" s="2">
        <v>138825</v>
      </c>
      <c r="AJ474" s="2">
        <v>24540</v>
      </c>
      <c r="AK474" s="2">
        <v>6197.54</v>
      </c>
      <c r="AL474" s="2">
        <v>1095.54</v>
      </c>
      <c r="AM474" s="5">
        <v>1458.62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9801.9</v>
      </c>
      <c r="AT474" s="12">
        <v>8751.7000000000007</v>
      </c>
      <c r="AU474" s="2">
        <v>0</v>
      </c>
      <c r="AV474" s="5">
        <v>816.82</v>
      </c>
      <c r="AX474" s="2">
        <v>138825</v>
      </c>
      <c r="AY474" s="2">
        <v>24540</v>
      </c>
      <c r="AZ474" s="2">
        <v>6197.54</v>
      </c>
      <c r="BA474" s="2">
        <v>1095.54</v>
      </c>
      <c r="BB474" s="5">
        <v>1458.62</v>
      </c>
      <c r="BC474" s="12">
        <v>0</v>
      </c>
      <c r="BD474" s="2">
        <v>0</v>
      </c>
      <c r="BE474" s="2">
        <v>0</v>
      </c>
      <c r="BF474" s="2">
        <v>0</v>
      </c>
      <c r="BG474" s="5">
        <v>0</v>
      </c>
      <c r="BH474" s="2">
        <v>9801.9</v>
      </c>
      <c r="BI474" s="12">
        <v>8751.7000000000007</v>
      </c>
      <c r="BJ474" s="2">
        <v>0</v>
      </c>
      <c r="BK474" s="5">
        <v>816.82</v>
      </c>
      <c r="BL474" s="1" t="s">
        <v>90</v>
      </c>
    </row>
    <row r="475" spans="1:64" x14ac:dyDescent="0.3">
      <c r="A475" t="s">
        <v>720</v>
      </c>
      <c r="B475" s="1" t="s">
        <v>728</v>
      </c>
      <c r="C475" s="9" t="s">
        <v>729</v>
      </c>
      <c r="D475" s="1" t="s">
        <v>95</v>
      </c>
      <c r="E475" s="1" t="s">
        <v>88</v>
      </c>
      <c r="F475" s="10" t="s">
        <v>534</v>
      </c>
      <c r="G475" s="1">
        <v>0</v>
      </c>
      <c r="H475" s="1">
        <v>0.05</v>
      </c>
      <c r="I475" s="8">
        <v>45275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0</v>
      </c>
      <c r="U475" s="6">
        <v>0</v>
      </c>
      <c r="V475" s="6">
        <v>0</v>
      </c>
      <c r="W475" s="6">
        <v>0</v>
      </c>
      <c r="AI475" s="2">
        <v>221937</v>
      </c>
      <c r="AJ475" s="2">
        <v>38248</v>
      </c>
      <c r="AK475" s="2">
        <v>9907.9</v>
      </c>
      <c r="AL475" s="2">
        <v>1707.5</v>
      </c>
      <c r="AM475" s="5">
        <v>2323.08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15611.1</v>
      </c>
      <c r="AT475" s="12">
        <v>13938.48</v>
      </c>
      <c r="AU475" s="2">
        <v>0</v>
      </c>
      <c r="AV475" s="5">
        <v>1300.92</v>
      </c>
      <c r="AX475" s="2">
        <v>221937</v>
      </c>
      <c r="AY475" s="2">
        <v>38248</v>
      </c>
      <c r="AZ475" s="2">
        <v>9907.9</v>
      </c>
      <c r="BA475" s="2">
        <v>1707.5</v>
      </c>
      <c r="BB475" s="5">
        <v>2323.08</v>
      </c>
      <c r="BC475" s="12">
        <v>0</v>
      </c>
      <c r="BD475" s="2">
        <v>0</v>
      </c>
      <c r="BE475" s="2">
        <v>0</v>
      </c>
      <c r="BF475" s="2">
        <v>0</v>
      </c>
      <c r="BG475" s="5">
        <v>0</v>
      </c>
      <c r="BH475" s="2">
        <v>15611.1</v>
      </c>
      <c r="BI475" s="12">
        <v>13938.48</v>
      </c>
      <c r="BJ475" s="2">
        <v>0</v>
      </c>
      <c r="BK475" s="5">
        <v>1300.92</v>
      </c>
      <c r="BL475" s="1" t="s">
        <v>90</v>
      </c>
    </row>
    <row r="476" spans="1:64" x14ac:dyDescent="0.3">
      <c r="A476" t="s">
        <v>720</v>
      </c>
      <c r="B476" s="1" t="s">
        <v>730</v>
      </c>
      <c r="C476" s="9" t="s">
        <v>731</v>
      </c>
      <c r="D476" s="1" t="s">
        <v>95</v>
      </c>
      <c r="E476" s="1" t="s">
        <v>88</v>
      </c>
      <c r="F476" s="10" t="s">
        <v>534</v>
      </c>
      <c r="G476" s="1">
        <v>0</v>
      </c>
      <c r="H476" s="1">
        <v>0.05</v>
      </c>
      <c r="I476" s="8">
        <v>45383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0</v>
      </c>
      <c r="U476" s="6">
        <v>0</v>
      </c>
      <c r="V476" s="6">
        <v>0</v>
      </c>
      <c r="W476" s="6">
        <v>0</v>
      </c>
      <c r="AI476" s="2">
        <v>283680</v>
      </c>
      <c r="AJ476" s="2">
        <v>41394</v>
      </c>
      <c r="AK476" s="2">
        <v>12664.29</v>
      </c>
      <c r="AL476" s="2">
        <v>1847.95</v>
      </c>
      <c r="AM476" s="5">
        <v>2902.45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19504.45</v>
      </c>
      <c r="AT476" s="12">
        <v>17414.690000000002</v>
      </c>
      <c r="AU476" s="2">
        <v>0</v>
      </c>
      <c r="AV476" s="5">
        <v>1625.37</v>
      </c>
      <c r="AX476" s="2">
        <v>283680</v>
      </c>
      <c r="AY476" s="2">
        <v>41394</v>
      </c>
      <c r="AZ476" s="2">
        <v>12664.29</v>
      </c>
      <c r="BA476" s="2">
        <v>1847.95</v>
      </c>
      <c r="BB476" s="5">
        <v>2902.45</v>
      </c>
      <c r="BC476" s="12">
        <v>0</v>
      </c>
      <c r="BD476" s="2">
        <v>0</v>
      </c>
      <c r="BE476" s="2">
        <v>0</v>
      </c>
      <c r="BF476" s="2">
        <v>0</v>
      </c>
      <c r="BG476" s="5">
        <v>0</v>
      </c>
      <c r="BH476" s="2">
        <v>19504.45</v>
      </c>
      <c r="BI476" s="12">
        <v>17414.690000000002</v>
      </c>
      <c r="BJ476" s="2">
        <v>0</v>
      </c>
      <c r="BK476" s="5">
        <v>1625.37</v>
      </c>
      <c r="BL476" s="1" t="s">
        <v>90</v>
      </c>
    </row>
    <row r="477" spans="1:64" x14ac:dyDescent="0.3">
      <c r="A477" t="s">
        <v>720</v>
      </c>
      <c r="B477" s="1" t="s">
        <v>732</v>
      </c>
      <c r="C477" s="9" t="s">
        <v>733</v>
      </c>
      <c r="D477" s="1" t="s">
        <v>95</v>
      </c>
      <c r="E477" s="1" t="s">
        <v>88</v>
      </c>
      <c r="F477" s="10" t="s">
        <v>534</v>
      </c>
      <c r="G477" s="1">
        <v>0</v>
      </c>
      <c r="H477" s="1">
        <v>0.05</v>
      </c>
      <c r="I477" s="8">
        <v>45656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0</v>
      </c>
      <c r="U477" s="6">
        <v>0</v>
      </c>
      <c r="V477" s="6">
        <v>0</v>
      </c>
      <c r="W477" s="6">
        <v>0</v>
      </c>
      <c r="AI477" s="2">
        <v>171067</v>
      </c>
      <c r="AJ477" s="2">
        <v>29507</v>
      </c>
      <c r="AK477" s="2">
        <v>7636.92</v>
      </c>
      <c r="AL477" s="2">
        <v>1317.28</v>
      </c>
      <c r="AM477" s="5">
        <v>1790.84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12034.44</v>
      </c>
      <c r="AT477" s="12">
        <v>10745.04</v>
      </c>
      <c r="AU477" s="2">
        <v>0</v>
      </c>
      <c r="AV477" s="5">
        <v>1002.87</v>
      </c>
      <c r="AX477" s="2">
        <v>171067</v>
      </c>
      <c r="AY477" s="2">
        <v>29507</v>
      </c>
      <c r="AZ477" s="2">
        <v>7636.92</v>
      </c>
      <c r="BA477" s="2">
        <v>1317.28</v>
      </c>
      <c r="BB477" s="5">
        <v>1790.84</v>
      </c>
      <c r="BC477" s="12">
        <v>0</v>
      </c>
      <c r="BD477" s="2">
        <v>0</v>
      </c>
      <c r="BE477" s="2">
        <v>0</v>
      </c>
      <c r="BF477" s="2">
        <v>0</v>
      </c>
      <c r="BG477" s="5">
        <v>0</v>
      </c>
      <c r="BH477" s="2">
        <v>12034.44</v>
      </c>
      <c r="BI477" s="12">
        <v>10745.04</v>
      </c>
      <c r="BJ477" s="2">
        <v>0</v>
      </c>
      <c r="BK477" s="5">
        <v>1002.87</v>
      </c>
      <c r="BL477" s="1" t="s">
        <v>90</v>
      </c>
    </row>
    <row r="478" spans="1:64" x14ac:dyDescent="0.3">
      <c r="A478" t="s">
        <v>720</v>
      </c>
      <c r="B478" s="1" t="s">
        <v>734</v>
      </c>
      <c r="C478" s="9" t="s">
        <v>735</v>
      </c>
      <c r="D478" s="1" t="s">
        <v>95</v>
      </c>
      <c r="E478" s="1" t="s">
        <v>88</v>
      </c>
      <c r="F478" s="10" t="s">
        <v>534</v>
      </c>
      <c r="G478" s="1">
        <v>0</v>
      </c>
      <c r="H478" s="1">
        <v>0.05</v>
      </c>
      <c r="I478" s="8">
        <v>45710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0</v>
      </c>
      <c r="U478" s="6">
        <v>0</v>
      </c>
      <c r="V478" s="6">
        <v>0</v>
      </c>
      <c r="W478" s="6">
        <v>0</v>
      </c>
      <c r="AI478" s="2">
        <v>290062</v>
      </c>
      <c r="AJ478" s="2">
        <v>37254</v>
      </c>
      <c r="AK478" s="2">
        <v>12949.2</v>
      </c>
      <c r="AL478" s="2">
        <v>1663.12</v>
      </c>
      <c r="AM478" s="5">
        <v>2922.46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19638.95</v>
      </c>
      <c r="AT478" s="12">
        <v>17534.78</v>
      </c>
      <c r="AU478" s="2">
        <v>0</v>
      </c>
      <c r="AV478" s="5">
        <v>1636.58</v>
      </c>
      <c r="AX478" s="2">
        <v>290062</v>
      </c>
      <c r="AY478" s="2">
        <v>37254</v>
      </c>
      <c r="AZ478" s="2">
        <v>12949.2</v>
      </c>
      <c r="BA478" s="2">
        <v>1663.12</v>
      </c>
      <c r="BB478" s="5">
        <v>2922.46</v>
      </c>
      <c r="BC478" s="12">
        <v>0</v>
      </c>
      <c r="BD478" s="2">
        <v>0</v>
      </c>
      <c r="BE478" s="2">
        <v>0</v>
      </c>
      <c r="BF478" s="2">
        <v>0</v>
      </c>
      <c r="BG478" s="5">
        <v>0</v>
      </c>
      <c r="BH478" s="2">
        <v>19638.95</v>
      </c>
      <c r="BI478" s="12">
        <v>17534.78</v>
      </c>
      <c r="BJ478" s="2">
        <v>0</v>
      </c>
      <c r="BK478" s="5">
        <v>1636.58</v>
      </c>
      <c r="BL478" s="1" t="s">
        <v>90</v>
      </c>
    </row>
    <row r="479" spans="1:64" x14ac:dyDescent="0.3">
      <c r="A479" t="s">
        <v>720</v>
      </c>
      <c r="B479" s="1" t="s">
        <v>736</v>
      </c>
      <c r="C479" s="9" t="s">
        <v>737</v>
      </c>
      <c r="D479" s="1" t="s">
        <v>95</v>
      </c>
      <c r="E479" s="1" t="s">
        <v>88</v>
      </c>
      <c r="F479" s="10" t="s">
        <v>534</v>
      </c>
      <c r="G479" s="1">
        <v>0</v>
      </c>
      <c r="H479" s="1">
        <v>0.05</v>
      </c>
      <c r="I479" s="8">
        <v>0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0</v>
      </c>
      <c r="AJ479" s="2">
        <v>0</v>
      </c>
      <c r="AK479" s="2">
        <v>0</v>
      </c>
      <c r="AL479" s="2">
        <v>0</v>
      </c>
      <c r="AM479" s="5">
        <v>0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0</v>
      </c>
      <c r="AT479" s="12">
        <v>0</v>
      </c>
      <c r="AU479" s="2">
        <v>0</v>
      </c>
      <c r="AV479" s="5">
        <v>0</v>
      </c>
      <c r="AX479" s="2">
        <v>0</v>
      </c>
      <c r="AY479" s="2">
        <v>0</v>
      </c>
      <c r="AZ479" s="2">
        <v>0</v>
      </c>
      <c r="BA479" s="2">
        <v>0</v>
      </c>
      <c r="BB479" s="5">
        <v>0</v>
      </c>
      <c r="BC479" s="12">
        <v>0</v>
      </c>
      <c r="BD479" s="2">
        <v>0</v>
      </c>
      <c r="BE479" s="2">
        <v>0</v>
      </c>
      <c r="BF479" s="2">
        <v>0</v>
      </c>
      <c r="BG479" s="5">
        <v>0</v>
      </c>
      <c r="BH479" s="2">
        <v>0</v>
      </c>
      <c r="BI479" s="12">
        <v>0</v>
      </c>
      <c r="BJ479" s="2">
        <v>0</v>
      </c>
      <c r="BK479" s="5">
        <v>0</v>
      </c>
      <c r="BL479" s="1" t="s">
        <v>90</v>
      </c>
    </row>
    <row r="480" spans="1:64" x14ac:dyDescent="0.3">
      <c r="A480" t="s">
        <v>720</v>
      </c>
      <c r="B480" s="1" t="s">
        <v>738</v>
      </c>
      <c r="C480" s="9" t="s">
        <v>739</v>
      </c>
      <c r="D480" s="1" t="s">
        <v>95</v>
      </c>
      <c r="E480" s="1" t="s">
        <v>88</v>
      </c>
      <c r="F480" s="10" t="s">
        <v>534</v>
      </c>
      <c r="G480" s="1">
        <v>0</v>
      </c>
      <c r="H480" s="1">
        <v>0.05</v>
      </c>
      <c r="I480" s="8">
        <v>45743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0</v>
      </c>
      <c r="U480" s="6">
        <v>0</v>
      </c>
      <c r="V480" s="6">
        <v>0</v>
      </c>
      <c r="W480" s="6">
        <v>0</v>
      </c>
      <c r="AI480" s="2">
        <v>0</v>
      </c>
      <c r="AJ480" s="2">
        <v>0</v>
      </c>
      <c r="AK480" s="2">
        <v>0</v>
      </c>
      <c r="AL480" s="2">
        <v>0</v>
      </c>
      <c r="AM480" s="5">
        <v>0</v>
      </c>
      <c r="AN480" s="12">
        <v>380725.2</v>
      </c>
      <c r="AO480" s="2">
        <v>0</v>
      </c>
      <c r="AP480" s="2">
        <v>16996.66</v>
      </c>
      <c r="AQ480" s="2">
        <v>0</v>
      </c>
      <c r="AR480" s="5">
        <v>3399.33</v>
      </c>
      <c r="AS480" s="2">
        <v>22843.51</v>
      </c>
      <c r="AT480" s="12">
        <v>20395.989999999998</v>
      </c>
      <c r="AU480" s="2">
        <v>0</v>
      </c>
      <c r="AV480" s="5">
        <v>1903.63</v>
      </c>
      <c r="AX480" s="2">
        <v>0</v>
      </c>
      <c r="AY480" s="2">
        <v>0</v>
      </c>
      <c r="AZ480" s="2">
        <v>0</v>
      </c>
      <c r="BA480" s="2">
        <v>0</v>
      </c>
      <c r="BB480" s="5">
        <v>0</v>
      </c>
      <c r="BC480" s="12">
        <v>380725.2</v>
      </c>
      <c r="BD480" s="2">
        <v>0</v>
      </c>
      <c r="BE480" s="2">
        <v>16996.66</v>
      </c>
      <c r="BF480" s="2">
        <v>0</v>
      </c>
      <c r="BG480" s="5">
        <v>3399.33</v>
      </c>
      <c r="BH480" s="2">
        <v>22843.51</v>
      </c>
      <c r="BI480" s="12">
        <v>20395.989999999998</v>
      </c>
      <c r="BJ480" s="2">
        <v>0</v>
      </c>
      <c r="BK480" s="5">
        <v>1903.63</v>
      </c>
      <c r="BL480" s="1" t="s">
        <v>90</v>
      </c>
    </row>
    <row r="481" spans="1:64" x14ac:dyDescent="0.3">
      <c r="A481" t="s">
        <v>757</v>
      </c>
      <c r="B481" s="1" t="s">
        <v>757</v>
      </c>
      <c r="C481" s="9" t="s">
        <v>758</v>
      </c>
      <c r="D481" s="1" t="s">
        <v>95</v>
      </c>
      <c r="E481" s="1" t="s">
        <v>135</v>
      </c>
      <c r="F481" s="10" t="s">
        <v>136</v>
      </c>
      <c r="G481" s="1">
        <v>3.5000000000000003E-2</v>
      </c>
      <c r="H481" s="1">
        <v>0.05</v>
      </c>
      <c r="I481" s="8">
        <v>45608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0</v>
      </c>
      <c r="U481" s="6">
        <v>0</v>
      </c>
      <c r="V481" s="6">
        <v>0</v>
      </c>
      <c r="W481" s="6">
        <v>0</v>
      </c>
      <c r="AI481" s="2">
        <v>601821.15</v>
      </c>
      <c r="AJ481" s="2">
        <v>86116</v>
      </c>
      <c r="AK481" s="2">
        <v>26867.02</v>
      </c>
      <c r="AL481" s="2">
        <v>3844.46</v>
      </c>
      <c r="AM481" s="5">
        <v>6142.29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41276.22</v>
      </c>
      <c r="AT481" s="12">
        <v>36853.769999999997</v>
      </c>
      <c r="AU481" s="2">
        <v>0</v>
      </c>
      <c r="AV481" s="5">
        <v>3439.69</v>
      </c>
      <c r="AX481" s="2">
        <v>601821.15</v>
      </c>
      <c r="AY481" s="2">
        <v>86116</v>
      </c>
      <c r="AZ481" s="2">
        <v>26867.02</v>
      </c>
      <c r="BA481" s="2">
        <v>3844.46</v>
      </c>
      <c r="BB481" s="5">
        <v>6142.29</v>
      </c>
      <c r="BC481" s="12">
        <v>0</v>
      </c>
      <c r="BD481" s="2">
        <v>0</v>
      </c>
      <c r="BE481" s="2">
        <v>0</v>
      </c>
      <c r="BF481" s="2">
        <v>0</v>
      </c>
      <c r="BG481" s="5">
        <v>0</v>
      </c>
      <c r="BH481" s="2">
        <v>41276.22</v>
      </c>
      <c r="BI481" s="12">
        <v>36853.769999999997</v>
      </c>
      <c r="BJ481" s="2">
        <v>0</v>
      </c>
      <c r="BK481" s="5">
        <v>3439.69</v>
      </c>
      <c r="BL481" s="1" t="s">
        <v>137</v>
      </c>
    </row>
    <row r="482" spans="1:64" x14ac:dyDescent="0.3">
      <c r="A482" t="s">
        <v>757</v>
      </c>
      <c r="B482" s="1" t="s">
        <v>759</v>
      </c>
      <c r="C482" s="9" t="s">
        <v>760</v>
      </c>
      <c r="D482" s="1" t="s">
        <v>95</v>
      </c>
      <c r="E482" s="1" t="s">
        <v>135</v>
      </c>
      <c r="F482" s="10" t="s">
        <v>136</v>
      </c>
      <c r="G482" s="1">
        <v>3.5000000000000003E-2</v>
      </c>
      <c r="H482" s="1">
        <v>0.05</v>
      </c>
      <c r="I482" s="8">
        <v>45608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0</v>
      </c>
      <c r="U482" s="6">
        <v>0</v>
      </c>
      <c r="V482" s="6">
        <v>0</v>
      </c>
      <c r="W482" s="6">
        <v>0</v>
      </c>
      <c r="AI482" s="2">
        <v>528294</v>
      </c>
      <c r="AJ482" s="2">
        <v>90760</v>
      </c>
      <c r="AK482" s="2">
        <v>23584.55</v>
      </c>
      <c r="AL482" s="2">
        <v>4051.79</v>
      </c>
      <c r="AM482" s="5">
        <v>5527.27</v>
      </c>
      <c r="AN482" s="12">
        <v>0</v>
      </c>
      <c r="AO482" s="2">
        <v>0</v>
      </c>
      <c r="AP482" s="2">
        <v>0</v>
      </c>
      <c r="AQ482" s="2">
        <v>0</v>
      </c>
      <c r="AR482" s="5">
        <v>0</v>
      </c>
      <c r="AS482" s="2">
        <v>37143.24</v>
      </c>
      <c r="AT482" s="12">
        <v>33163.61</v>
      </c>
      <c r="AU482" s="2">
        <v>0</v>
      </c>
      <c r="AV482" s="5">
        <v>3095.27</v>
      </c>
      <c r="AX482" s="2">
        <v>528294</v>
      </c>
      <c r="AY482" s="2">
        <v>90760</v>
      </c>
      <c r="AZ482" s="2">
        <v>23584.55</v>
      </c>
      <c r="BA482" s="2">
        <v>4051.79</v>
      </c>
      <c r="BB482" s="5">
        <v>5527.27</v>
      </c>
      <c r="BC482" s="12">
        <v>0</v>
      </c>
      <c r="BD482" s="2">
        <v>0</v>
      </c>
      <c r="BE482" s="2">
        <v>0</v>
      </c>
      <c r="BF482" s="2">
        <v>0</v>
      </c>
      <c r="BG482" s="5">
        <v>0</v>
      </c>
      <c r="BH482" s="2">
        <v>37143.24</v>
      </c>
      <c r="BI482" s="12">
        <v>33163.61</v>
      </c>
      <c r="BJ482" s="2">
        <v>0</v>
      </c>
      <c r="BK482" s="5">
        <v>3095.27</v>
      </c>
      <c r="BL482" s="1" t="s">
        <v>137</v>
      </c>
    </row>
    <row r="483" spans="1:64" x14ac:dyDescent="0.3">
      <c r="A483" t="s">
        <v>757</v>
      </c>
      <c r="B483" s="1" t="s">
        <v>761</v>
      </c>
      <c r="C483" s="9" t="s">
        <v>762</v>
      </c>
      <c r="D483" s="1" t="s">
        <v>95</v>
      </c>
      <c r="E483" s="1" t="s">
        <v>135</v>
      </c>
      <c r="F483" s="10" t="s">
        <v>136</v>
      </c>
      <c r="G483" s="1">
        <v>0</v>
      </c>
      <c r="H483" s="1">
        <v>0.05</v>
      </c>
      <c r="I483" s="8">
        <v>45608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622320</v>
      </c>
      <c r="AJ483" s="2">
        <v>36478</v>
      </c>
      <c r="AK483" s="2">
        <v>27782.14</v>
      </c>
      <c r="AL483" s="2">
        <v>1628.48</v>
      </c>
      <c r="AM483" s="5">
        <v>5882.12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39527.870000000003</v>
      </c>
      <c r="AT483" s="12">
        <v>35292.74</v>
      </c>
      <c r="AU483" s="2">
        <v>0</v>
      </c>
      <c r="AV483" s="5">
        <v>3293.99</v>
      </c>
      <c r="AX483" s="2">
        <v>622320</v>
      </c>
      <c r="AY483" s="2">
        <v>36478</v>
      </c>
      <c r="AZ483" s="2">
        <v>27782.14</v>
      </c>
      <c r="BA483" s="2">
        <v>1628.48</v>
      </c>
      <c r="BB483" s="5">
        <v>5882.12</v>
      </c>
      <c r="BC483" s="12">
        <v>0</v>
      </c>
      <c r="BD483" s="2">
        <v>0</v>
      </c>
      <c r="BE483" s="2">
        <v>0</v>
      </c>
      <c r="BF483" s="2">
        <v>0</v>
      </c>
      <c r="BG483" s="5">
        <v>0</v>
      </c>
      <c r="BH483" s="2">
        <v>39527.870000000003</v>
      </c>
      <c r="BI483" s="12">
        <v>35292.74</v>
      </c>
      <c r="BJ483" s="2">
        <v>0</v>
      </c>
      <c r="BK483" s="5">
        <v>3293.99</v>
      </c>
      <c r="BL483" s="1" t="s">
        <v>137</v>
      </c>
    </row>
    <row r="484" spans="1:64" x14ac:dyDescent="0.3">
      <c r="A484" t="s">
        <v>767</v>
      </c>
      <c r="B484" s="1" t="s">
        <v>767</v>
      </c>
      <c r="C484" s="9" t="s">
        <v>768</v>
      </c>
      <c r="D484" s="1" t="s">
        <v>95</v>
      </c>
      <c r="E484" s="1" t="s">
        <v>135</v>
      </c>
      <c r="F484" s="10" t="s">
        <v>435</v>
      </c>
      <c r="G484" s="1">
        <v>3.5000000000000003E-2</v>
      </c>
      <c r="H484" s="1">
        <v>0.05</v>
      </c>
      <c r="I484" s="8">
        <v>44644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0</v>
      </c>
      <c r="U484" s="6">
        <v>0</v>
      </c>
      <c r="V484" s="6">
        <v>0</v>
      </c>
      <c r="W484" s="6">
        <v>0</v>
      </c>
      <c r="AI484" s="2">
        <v>625817</v>
      </c>
      <c r="AJ484" s="2">
        <v>284136</v>
      </c>
      <c r="AK484" s="2">
        <v>27938.26</v>
      </c>
      <c r="AL484" s="2">
        <v>12684.64</v>
      </c>
      <c r="AM484" s="5">
        <v>8124.58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54597.18</v>
      </c>
      <c r="AT484" s="12">
        <v>48747.479999999996</v>
      </c>
      <c r="AU484" s="2">
        <v>0</v>
      </c>
      <c r="AV484" s="5">
        <v>4549.7700000000004</v>
      </c>
      <c r="AX484" s="2">
        <v>625817</v>
      </c>
      <c r="AY484" s="2">
        <v>284136</v>
      </c>
      <c r="AZ484" s="2">
        <v>27938.26</v>
      </c>
      <c r="BA484" s="2">
        <v>12684.64</v>
      </c>
      <c r="BB484" s="5">
        <v>8124.58</v>
      </c>
      <c r="BC484" s="12">
        <v>0</v>
      </c>
      <c r="BD484" s="2">
        <v>0</v>
      </c>
      <c r="BE484" s="2">
        <v>0</v>
      </c>
      <c r="BF484" s="2">
        <v>0</v>
      </c>
      <c r="BG484" s="5">
        <v>0</v>
      </c>
      <c r="BH484" s="2">
        <v>54597.18</v>
      </c>
      <c r="BI484" s="12">
        <v>48747.479999999996</v>
      </c>
      <c r="BJ484" s="2">
        <v>0</v>
      </c>
      <c r="BK484" s="5">
        <v>4549.7700000000004</v>
      </c>
      <c r="BL484" s="1" t="s">
        <v>137</v>
      </c>
    </row>
    <row r="485" spans="1:64" x14ac:dyDescent="0.3">
      <c r="A485" t="s">
        <v>767</v>
      </c>
      <c r="B485" s="1" t="s">
        <v>769</v>
      </c>
      <c r="C485" s="9" t="s">
        <v>770</v>
      </c>
      <c r="D485" s="1" t="s">
        <v>95</v>
      </c>
      <c r="E485" s="1" t="s">
        <v>135</v>
      </c>
      <c r="F485" s="10" t="s">
        <v>435</v>
      </c>
      <c r="G485" s="1">
        <v>0</v>
      </c>
      <c r="H485" s="1">
        <v>0.05</v>
      </c>
      <c r="I485" s="8">
        <v>44644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0</v>
      </c>
      <c r="U485" s="6">
        <v>0</v>
      </c>
      <c r="V485" s="6">
        <v>0</v>
      </c>
      <c r="W485" s="6">
        <v>0</v>
      </c>
      <c r="AI485" s="2">
        <v>281611</v>
      </c>
      <c r="AJ485" s="2">
        <v>88710</v>
      </c>
      <c r="AK485" s="2">
        <v>12571.92</v>
      </c>
      <c r="AL485" s="2">
        <v>3960.27</v>
      </c>
      <c r="AM485" s="5">
        <v>3306.44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22219.27</v>
      </c>
      <c r="AT485" s="12">
        <v>19838.629999999997</v>
      </c>
      <c r="AU485" s="2">
        <v>0</v>
      </c>
      <c r="AV485" s="5">
        <v>1851.6</v>
      </c>
      <c r="AX485" s="2">
        <v>281611</v>
      </c>
      <c r="AY485" s="2">
        <v>88710</v>
      </c>
      <c r="AZ485" s="2">
        <v>12571.92</v>
      </c>
      <c r="BA485" s="2">
        <v>3960.27</v>
      </c>
      <c r="BB485" s="5">
        <v>3306.44</v>
      </c>
      <c r="BC485" s="12">
        <v>0</v>
      </c>
      <c r="BD485" s="2">
        <v>0</v>
      </c>
      <c r="BE485" s="2">
        <v>0</v>
      </c>
      <c r="BF485" s="2">
        <v>0</v>
      </c>
      <c r="BG485" s="5">
        <v>0</v>
      </c>
      <c r="BH485" s="2">
        <v>22219.27</v>
      </c>
      <c r="BI485" s="12">
        <v>19838.629999999997</v>
      </c>
      <c r="BJ485" s="2">
        <v>0</v>
      </c>
      <c r="BK485" s="5">
        <v>1851.6</v>
      </c>
      <c r="BL485" s="1" t="s">
        <v>436</v>
      </c>
    </row>
    <row r="486" spans="1:64" x14ac:dyDescent="0.3">
      <c r="A486" t="s">
        <v>767</v>
      </c>
      <c r="B486" s="1" t="s">
        <v>771</v>
      </c>
      <c r="C486" s="9" t="s">
        <v>772</v>
      </c>
      <c r="D486" s="1" t="s">
        <v>95</v>
      </c>
      <c r="E486" s="1" t="s">
        <v>135</v>
      </c>
      <c r="F486" s="10" t="s">
        <v>435</v>
      </c>
      <c r="G486" s="1">
        <v>0.04</v>
      </c>
      <c r="H486" s="1">
        <v>0.05</v>
      </c>
      <c r="I486" s="8">
        <v>44544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0</v>
      </c>
      <c r="AJ486" s="2">
        <v>0</v>
      </c>
      <c r="AK486" s="2">
        <v>0</v>
      </c>
      <c r="AL486" s="2">
        <v>0</v>
      </c>
      <c r="AM486" s="5">
        <v>0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0</v>
      </c>
      <c r="AT486" s="12">
        <v>0</v>
      </c>
      <c r="AU486" s="2">
        <v>0</v>
      </c>
      <c r="AV486" s="5">
        <v>0</v>
      </c>
      <c r="AX486" s="2">
        <v>0</v>
      </c>
      <c r="AY486" s="2">
        <v>0</v>
      </c>
      <c r="AZ486" s="2">
        <v>0</v>
      </c>
      <c r="BA486" s="2">
        <v>0</v>
      </c>
      <c r="BB486" s="5">
        <v>0</v>
      </c>
      <c r="BC486" s="12">
        <v>0</v>
      </c>
      <c r="BD486" s="2">
        <v>0</v>
      </c>
      <c r="BE486" s="2">
        <v>0</v>
      </c>
      <c r="BF486" s="2">
        <v>0</v>
      </c>
      <c r="BG486" s="5">
        <v>0</v>
      </c>
      <c r="BH486" s="2">
        <v>0</v>
      </c>
      <c r="BI486" s="12">
        <v>0</v>
      </c>
      <c r="BJ486" s="2">
        <v>0</v>
      </c>
      <c r="BK486" s="5">
        <v>0</v>
      </c>
      <c r="BL486" s="1" t="s">
        <v>436</v>
      </c>
    </row>
    <row r="487" spans="1:64" x14ac:dyDescent="0.3">
      <c r="A487" t="s">
        <v>785</v>
      </c>
      <c r="B487" s="1" t="s">
        <v>785</v>
      </c>
      <c r="C487" s="9" t="s">
        <v>786</v>
      </c>
      <c r="D487" s="1" t="s">
        <v>95</v>
      </c>
      <c r="E487" s="1" t="s">
        <v>128</v>
      </c>
      <c r="F487" s="10" t="s">
        <v>325</v>
      </c>
      <c r="G487" s="1">
        <v>0.04</v>
      </c>
      <c r="H487" s="1">
        <v>0.05</v>
      </c>
      <c r="I487" s="8">
        <v>44734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0</v>
      </c>
      <c r="U487" s="6">
        <v>0</v>
      </c>
      <c r="V487" s="6">
        <v>0</v>
      </c>
      <c r="W487" s="6">
        <v>0</v>
      </c>
      <c r="AI487" s="2">
        <v>865044</v>
      </c>
      <c r="AJ487" s="2">
        <v>76670</v>
      </c>
      <c r="AK487" s="2">
        <v>38618.04</v>
      </c>
      <c r="AL487" s="2">
        <v>3422.77</v>
      </c>
      <c r="AM487" s="5">
        <v>8408.16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56502.85</v>
      </c>
      <c r="AT487" s="12">
        <v>50448.97</v>
      </c>
      <c r="AU487" s="2">
        <v>0</v>
      </c>
      <c r="AV487" s="5">
        <v>4708.57</v>
      </c>
      <c r="AX487" s="2">
        <v>865044</v>
      </c>
      <c r="AY487" s="2">
        <v>76670</v>
      </c>
      <c r="AZ487" s="2">
        <v>38618.04</v>
      </c>
      <c r="BA487" s="2">
        <v>3422.77</v>
      </c>
      <c r="BB487" s="5">
        <v>8408.16</v>
      </c>
      <c r="BC487" s="12">
        <v>0</v>
      </c>
      <c r="BD487" s="2">
        <v>0</v>
      </c>
      <c r="BE487" s="2">
        <v>0</v>
      </c>
      <c r="BF487" s="2">
        <v>0</v>
      </c>
      <c r="BG487" s="5">
        <v>0</v>
      </c>
      <c r="BH487" s="2">
        <v>56502.85</v>
      </c>
      <c r="BI487" s="12">
        <v>50448.97</v>
      </c>
      <c r="BJ487" s="2">
        <v>0</v>
      </c>
      <c r="BK487" s="5">
        <v>4708.57</v>
      </c>
      <c r="BL487" s="1" t="s">
        <v>326</v>
      </c>
    </row>
    <row r="488" spans="1:64" x14ac:dyDescent="0.3">
      <c r="A488" t="s">
        <v>791</v>
      </c>
      <c r="B488" s="1" t="s">
        <v>791</v>
      </c>
      <c r="C488" s="9" t="s">
        <v>792</v>
      </c>
      <c r="D488" s="1" t="s">
        <v>95</v>
      </c>
      <c r="E488" s="1" t="s">
        <v>135</v>
      </c>
      <c r="F488" s="10" t="s">
        <v>435</v>
      </c>
      <c r="G488" s="1">
        <v>0.04</v>
      </c>
      <c r="H488" s="1">
        <v>0.05</v>
      </c>
      <c r="I488" s="8">
        <v>44913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  <c r="T488" s="11">
        <v>0</v>
      </c>
      <c r="U488" s="6">
        <v>0</v>
      </c>
      <c r="V488" s="6">
        <v>0</v>
      </c>
      <c r="W488" s="6">
        <v>0</v>
      </c>
      <c r="AI488" s="2">
        <v>0</v>
      </c>
      <c r="AJ488" s="2">
        <v>0</v>
      </c>
      <c r="AK488" s="2">
        <v>0</v>
      </c>
      <c r="AL488" s="2">
        <v>0</v>
      </c>
      <c r="AM488" s="5">
        <v>0</v>
      </c>
      <c r="AN488" s="12">
        <v>499635.30000000005</v>
      </c>
      <c r="AO488" s="2">
        <v>95392.5</v>
      </c>
      <c r="AP488" s="2">
        <v>22305.15</v>
      </c>
      <c r="AQ488" s="2">
        <v>4258.59</v>
      </c>
      <c r="AR488" s="5">
        <v>5312.75</v>
      </c>
      <c r="AS488" s="2">
        <v>35701.67</v>
      </c>
      <c r="AT488" s="12">
        <v>31876.49</v>
      </c>
      <c r="AU488" s="2">
        <v>0</v>
      </c>
      <c r="AV488" s="5">
        <v>2975.14</v>
      </c>
      <c r="AX488" s="2">
        <v>0</v>
      </c>
      <c r="AY488" s="2">
        <v>0</v>
      </c>
      <c r="AZ488" s="2">
        <v>0</v>
      </c>
      <c r="BA488" s="2">
        <v>0</v>
      </c>
      <c r="BB488" s="5">
        <v>0</v>
      </c>
      <c r="BC488" s="12">
        <v>499635.30000000005</v>
      </c>
      <c r="BD488" s="2">
        <v>95392.5</v>
      </c>
      <c r="BE488" s="2">
        <v>22305.15</v>
      </c>
      <c r="BF488" s="2">
        <v>4258.59</v>
      </c>
      <c r="BG488" s="5">
        <v>5312.75</v>
      </c>
      <c r="BH488" s="2">
        <v>35701.67</v>
      </c>
      <c r="BI488" s="12">
        <v>31876.49</v>
      </c>
      <c r="BJ488" s="2">
        <v>0</v>
      </c>
      <c r="BK488" s="5">
        <v>2975.14</v>
      </c>
      <c r="BL488" s="1" t="s">
        <v>436</v>
      </c>
    </row>
    <row r="489" spans="1:64" x14ac:dyDescent="0.3">
      <c r="A489" t="s">
        <v>791</v>
      </c>
      <c r="B489" s="1" t="s">
        <v>793</v>
      </c>
      <c r="C489" s="9" t="s">
        <v>794</v>
      </c>
      <c r="D489" s="1" t="s">
        <v>95</v>
      </c>
      <c r="E489" s="1" t="s">
        <v>135</v>
      </c>
      <c r="F489" s="10" t="s">
        <v>435</v>
      </c>
      <c r="G489" s="1">
        <v>0</v>
      </c>
      <c r="H489" s="1">
        <v>0.05</v>
      </c>
      <c r="I489" s="8">
        <v>44913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0</v>
      </c>
      <c r="U489" s="6">
        <v>0</v>
      </c>
      <c r="V489" s="6">
        <v>0</v>
      </c>
      <c r="W489" s="6">
        <v>0</v>
      </c>
      <c r="AI489" s="2">
        <v>0</v>
      </c>
      <c r="AJ489" s="2">
        <v>0</v>
      </c>
      <c r="AK489" s="2">
        <v>0</v>
      </c>
      <c r="AL489" s="2">
        <v>0</v>
      </c>
      <c r="AM489" s="5">
        <v>0</v>
      </c>
      <c r="AN489" s="12">
        <v>405885.30000000005</v>
      </c>
      <c r="AO489" s="2">
        <v>34049.4</v>
      </c>
      <c r="AP489" s="2">
        <v>18119.88</v>
      </c>
      <c r="AQ489" s="2">
        <v>1520.06</v>
      </c>
      <c r="AR489" s="5">
        <v>3927.99</v>
      </c>
      <c r="AS489" s="2">
        <v>26396.080000000002</v>
      </c>
      <c r="AT489" s="12">
        <v>23567.93</v>
      </c>
      <c r="AU489" s="2">
        <v>0</v>
      </c>
      <c r="AV489" s="5">
        <v>2199.67</v>
      </c>
      <c r="AX489" s="2">
        <v>0</v>
      </c>
      <c r="AY489" s="2">
        <v>0</v>
      </c>
      <c r="AZ489" s="2">
        <v>0</v>
      </c>
      <c r="BA489" s="2">
        <v>0</v>
      </c>
      <c r="BB489" s="5">
        <v>0</v>
      </c>
      <c r="BC489" s="12">
        <v>405885.30000000005</v>
      </c>
      <c r="BD489" s="2">
        <v>34049.4</v>
      </c>
      <c r="BE489" s="2">
        <v>18119.88</v>
      </c>
      <c r="BF489" s="2">
        <v>1520.06</v>
      </c>
      <c r="BG489" s="5">
        <v>3927.99</v>
      </c>
      <c r="BH489" s="2">
        <v>26396.080000000002</v>
      </c>
      <c r="BI489" s="12">
        <v>23567.93</v>
      </c>
      <c r="BJ489" s="2">
        <v>0</v>
      </c>
      <c r="BK489" s="5">
        <v>2199.67</v>
      </c>
      <c r="BL489" s="1" t="s">
        <v>436</v>
      </c>
    </row>
    <row r="490" spans="1:64" x14ac:dyDescent="0.3">
      <c r="A490" t="s">
        <v>806</v>
      </c>
      <c r="B490" s="1" t="s">
        <v>806</v>
      </c>
      <c r="C490" s="9" t="s">
        <v>807</v>
      </c>
      <c r="D490" s="1" t="s">
        <v>95</v>
      </c>
      <c r="E490" s="1" t="s">
        <v>88</v>
      </c>
      <c r="F490" s="10" t="s">
        <v>432</v>
      </c>
      <c r="G490" s="1">
        <v>0.04</v>
      </c>
      <c r="H490" s="1">
        <v>0.05</v>
      </c>
      <c r="I490" s="8">
        <v>44876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406545</v>
      </c>
      <c r="AJ490" s="2">
        <v>51248</v>
      </c>
      <c r="AK490" s="2">
        <v>18149.330000000002</v>
      </c>
      <c r="AL490" s="2">
        <v>2287.86</v>
      </c>
      <c r="AM490" s="5">
        <v>4087.44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27467.59</v>
      </c>
      <c r="AT490" s="12">
        <v>24524.63</v>
      </c>
      <c r="AU490" s="2">
        <v>0</v>
      </c>
      <c r="AV490" s="5">
        <v>2288.96</v>
      </c>
      <c r="AX490" s="2">
        <v>406545</v>
      </c>
      <c r="AY490" s="2">
        <v>51248</v>
      </c>
      <c r="AZ490" s="2">
        <v>18149.330000000002</v>
      </c>
      <c r="BA490" s="2">
        <v>2287.86</v>
      </c>
      <c r="BB490" s="5">
        <v>4087.44</v>
      </c>
      <c r="BC490" s="12">
        <v>0</v>
      </c>
      <c r="BD490" s="2">
        <v>0</v>
      </c>
      <c r="BE490" s="2">
        <v>0</v>
      </c>
      <c r="BF490" s="2">
        <v>0</v>
      </c>
      <c r="BG490" s="5">
        <v>0</v>
      </c>
      <c r="BH490" s="2">
        <v>27467.59</v>
      </c>
      <c r="BI490" s="12">
        <v>24524.63</v>
      </c>
      <c r="BJ490" s="2">
        <v>0</v>
      </c>
      <c r="BK490" s="5">
        <v>2288.96</v>
      </c>
      <c r="BL490" s="1" t="s">
        <v>90</v>
      </c>
    </row>
    <row r="491" spans="1:64" x14ac:dyDescent="0.3">
      <c r="A491" t="s">
        <v>808</v>
      </c>
      <c r="B491" s="1" t="s">
        <v>808</v>
      </c>
      <c r="C491" s="9" t="s">
        <v>809</v>
      </c>
      <c r="D491" s="1" t="s">
        <v>95</v>
      </c>
      <c r="E491" s="1" t="s">
        <v>128</v>
      </c>
      <c r="F491" s="10" t="s">
        <v>309</v>
      </c>
      <c r="G491" s="1">
        <v>0</v>
      </c>
      <c r="H491" s="1">
        <v>0.05</v>
      </c>
      <c r="I491" s="8">
        <v>44802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0</v>
      </c>
      <c r="U491" s="6">
        <v>0</v>
      </c>
      <c r="V491" s="6">
        <v>0</v>
      </c>
      <c r="W491" s="6">
        <v>0</v>
      </c>
      <c r="AI491" s="2">
        <v>444636</v>
      </c>
      <c r="AJ491" s="2">
        <v>44873</v>
      </c>
      <c r="AK491" s="2">
        <v>19849.82</v>
      </c>
      <c r="AL491" s="2">
        <v>2003.26</v>
      </c>
      <c r="AM491" s="5">
        <v>4370.62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29370.54</v>
      </c>
      <c r="AT491" s="12">
        <v>26223.699999999997</v>
      </c>
      <c r="AU491" s="2">
        <v>0</v>
      </c>
      <c r="AV491" s="5">
        <v>2447.54</v>
      </c>
      <c r="AX491" s="2">
        <v>444636</v>
      </c>
      <c r="AY491" s="2">
        <v>44873</v>
      </c>
      <c r="AZ491" s="2">
        <v>19849.82</v>
      </c>
      <c r="BA491" s="2">
        <v>2003.26</v>
      </c>
      <c r="BB491" s="5">
        <v>4370.62</v>
      </c>
      <c r="BC491" s="12">
        <v>0</v>
      </c>
      <c r="BD491" s="2">
        <v>0</v>
      </c>
      <c r="BE491" s="2">
        <v>0</v>
      </c>
      <c r="BF491" s="2">
        <v>0</v>
      </c>
      <c r="BG491" s="5">
        <v>0</v>
      </c>
      <c r="BH491" s="2">
        <v>29370.54</v>
      </c>
      <c r="BI491" s="12">
        <v>26223.699999999997</v>
      </c>
      <c r="BJ491" s="2">
        <v>0</v>
      </c>
      <c r="BK491" s="5">
        <v>2447.54</v>
      </c>
      <c r="BL491" s="1" t="s">
        <v>130</v>
      </c>
    </row>
    <row r="492" spans="1:64" x14ac:dyDescent="0.3">
      <c r="A492" t="s">
        <v>812</v>
      </c>
      <c r="B492" s="1" t="s">
        <v>812</v>
      </c>
      <c r="C492" s="9" t="s">
        <v>813</v>
      </c>
      <c r="D492" s="1" t="s">
        <v>95</v>
      </c>
      <c r="E492" s="1" t="s">
        <v>135</v>
      </c>
      <c r="F492" s="10" t="s">
        <v>193</v>
      </c>
      <c r="G492" s="1">
        <v>0.04</v>
      </c>
      <c r="H492" s="1">
        <v>0.05</v>
      </c>
      <c r="I492" s="8">
        <v>44991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0</v>
      </c>
      <c r="U492" s="6">
        <v>0</v>
      </c>
      <c r="V492" s="6">
        <v>0</v>
      </c>
      <c r="W492" s="6">
        <v>0</v>
      </c>
      <c r="AI492" s="2">
        <v>905439</v>
      </c>
      <c r="AJ492" s="2">
        <v>217841</v>
      </c>
      <c r="AK492" s="2">
        <v>40421.379999999997</v>
      </c>
      <c r="AL492" s="2">
        <v>9725.0400000000009</v>
      </c>
      <c r="AM492" s="5">
        <v>10029.290000000001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67396.800000000003</v>
      </c>
      <c r="AT492" s="12">
        <v>60175.71</v>
      </c>
      <c r="AU492" s="2">
        <v>0</v>
      </c>
      <c r="AV492" s="5">
        <v>5616.4</v>
      </c>
      <c r="AX492" s="2">
        <v>905439</v>
      </c>
      <c r="AY492" s="2">
        <v>217841</v>
      </c>
      <c r="AZ492" s="2">
        <v>40421.379999999997</v>
      </c>
      <c r="BA492" s="2">
        <v>9725.0400000000009</v>
      </c>
      <c r="BB492" s="5">
        <v>10029.290000000001</v>
      </c>
      <c r="BC492" s="12">
        <v>0</v>
      </c>
      <c r="BD492" s="2">
        <v>0</v>
      </c>
      <c r="BE492" s="2">
        <v>0</v>
      </c>
      <c r="BF492" s="2">
        <v>0</v>
      </c>
      <c r="BG492" s="5">
        <v>0</v>
      </c>
      <c r="BH492" s="2">
        <v>67396.800000000003</v>
      </c>
      <c r="BI492" s="12">
        <v>60175.71</v>
      </c>
      <c r="BJ492" s="2">
        <v>0</v>
      </c>
      <c r="BK492" s="5">
        <v>5616.4</v>
      </c>
      <c r="BL492" s="1" t="s">
        <v>137</v>
      </c>
    </row>
    <row r="493" spans="1:64" x14ac:dyDescent="0.3">
      <c r="A493" t="s">
        <v>833</v>
      </c>
      <c r="B493" s="1" t="s">
        <v>833</v>
      </c>
      <c r="C493" s="9" t="s">
        <v>834</v>
      </c>
      <c r="D493" s="1" t="s">
        <v>95</v>
      </c>
      <c r="E493" s="1" t="s">
        <v>128</v>
      </c>
      <c r="F493" s="10" t="s">
        <v>835</v>
      </c>
      <c r="G493" s="1">
        <v>3.5000000000000003E-2</v>
      </c>
      <c r="H493" s="1">
        <v>0.05</v>
      </c>
      <c r="I493" s="8">
        <v>44035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0</v>
      </c>
      <c r="U493" s="6">
        <v>0</v>
      </c>
      <c r="V493" s="6">
        <v>0</v>
      </c>
      <c r="W493" s="6">
        <v>0</v>
      </c>
      <c r="AI493" s="2">
        <v>562544</v>
      </c>
      <c r="AJ493" s="2">
        <v>96844</v>
      </c>
      <c r="AK493" s="2">
        <v>25113.57</v>
      </c>
      <c r="AL493" s="2">
        <v>4323.3900000000003</v>
      </c>
      <c r="AM493" s="5">
        <v>5887.39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39563.269999999997</v>
      </c>
      <c r="AT493" s="12">
        <v>35324.35</v>
      </c>
      <c r="AU493" s="2">
        <v>0</v>
      </c>
      <c r="AV493" s="5">
        <v>3296.94</v>
      </c>
      <c r="AX493" s="2">
        <v>562544</v>
      </c>
      <c r="AY493" s="2">
        <v>96844</v>
      </c>
      <c r="AZ493" s="2">
        <v>25113.57</v>
      </c>
      <c r="BA493" s="2">
        <v>4323.3900000000003</v>
      </c>
      <c r="BB493" s="5">
        <v>5887.39</v>
      </c>
      <c r="BC493" s="12">
        <v>0</v>
      </c>
      <c r="BD493" s="2">
        <v>0</v>
      </c>
      <c r="BE493" s="2">
        <v>0</v>
      </c>
      <c r="BF493" s="2">
        <v>0</v>
      </c>
      <c r="BG493" s="5">
        <v>0</v>
      </c>
      <c r="BH493" s="2">
        <v>39563.269999999997</v>
      </c>
      <c r="BI493" s="12">
        <v>35324.35</v>
      </c>
      <c r="BJ493" s="2">
        <v>0</v>
      </c>
      <c r="BK493" s="5">
        <v>3296.94</v>
      </c>
      <c r="BL493" s="1" t="s">
        <v>326</v>
      </c>
    </row>
    <row r="494" spans="1:64" x14ac:dyDescent="0.3">
      <c r="A494" t="s">
        <v>844</v>
      </c>
      <c r="B494" s="1" t="s">
        <v>844</v>
      </c>
      <c r="C494" s="9" t="s">
        <v>845</v>
      </c>
      <c r="D494" s="1" t="s">
        <v>95</v>
      </c>
      <c r="E494" s="1" t="s">
        <v>135</v>
      </c>
      <c r="F494" s="10" t="s">
        <v>193</v>
      </c>
      <c r="G494" s="1">
        <v>3.5000000000000003E-2</v>
      </c>
      <c r="H494" s="1">
        <v>0.05</v>
      </c>
      <c r="I494" s="8">
        <v>44270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0</v>
      </c>
      <c r="AJ494" s="2">
        <v>0</v>
      </c>
      <c r="AK494" s="2">
        <v>0</v>
      </c>
      <c r="AL494" s="2">
        <v>0</v>
      </c>
      <c r="AM494" s="5">
        <v>0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0</v>
      </c>
      <c r="AT494" s="12">
        <v>0</v>
      </c>
      <c r="AU494" s="2">
        <v>0</v>
      </c>
      <c r="AV494" s="5">
        <v>0</v>
      </c>
      <c r="AX494" s="2">
        <v>0</v>
      </c>
      <c r="AY494" s="2">
        <v>0</v>
      </c>
      <c r="AZ494" s="2">
        <v>0</v>
      </c>
      <c r="BA494" s="2">
        <v>0</v>
      </c>
      <c r="BB494" s="5">
        <v>0</v>
      </c>
      <c r="BC494" s="12">
        <v>0</v>
      </c>
      <c r="BD494" s="2">
        <v>0</v>
      </c>
      <c r="BE494" s="2">
        <v>0</v>
      </c>
      <c r="BF494" s="2">
        <v>0</v>
      </c>
      <c r="BG494" s="5">
        <v>0</v>
      </c>
      <c r="BH494" s="2">
        <v>0</v>
      </c>
      <c r="BI494" s="12">
        <v>0</v>
      </c>
      <c r="BJ494" s="2">
        <v>0</v>
      </c>
      <c r="BK494" s="5">
        <v>0</v>
      </c>
      <c r="BL494" s="1" t="s">
        <v>137</v>
      </c>
    </row>
    <row r="495" spans="1:64" x14ac:dyDescent="0.3">
      <c r="A495" t="s">
        <v>888</v>
      </c>
      <c r="B495" s="1" t="s">
        <v>888</v>
      </c>
      <c r="C495" s="9" t="s">
        <v>889</v>
      </c>
      <c r="D495" s="1" t="s">
        <v>95</v>
      </c>
      <c r="E495" s="1" t="s">
        <v>135</v>
      </c>
      <c r="F495" s="10" t="s">
        <v>435</v>
      </c>
      <c r="G495" s="1">
        <v>4.4999999999999998E-2</v>
      </c>
      <c r="H495" s="1">
        <v>0.05</v>
      </c>
      <c r="I495" s="8">
        <v>45278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6">
        <v>0</v>
      </c>
      <c r="P495" s="6">
        <v>0</v>
      </c>
      <c r="Q495" s="6">
        <v>0</v>
      </c>
      <c r="R495" s="6">
        <v>0</v>
      </c>
      <c r="S495" s="7">
        <v>0</v>
      </c>
      <c r="T495" s="11">
        <v>0</v>
      </c>
      <c r="U495" s="6">
        <v>0</v>
      </c>
      <c r="V495" s="6">
        <v>0</v>
      </c>
      <c r="W495" s="6">
        <v>0</v>
      </c>
      <c r="AI495" s="2">
        <v>564945</v>
      </c>
      <c r="AJ495" s="2">
        <v>169974</v>
      </c>
      <c r="AK495" s="2">
        <v>25220.76</v>
      </c>
      <c r="AL495" s="2">
        <v>7588.12</v>
      </c>
      <c r="AM495" s="5">
        <v>6561.78</v>
      </c>
      <c r="AN495" s="12">
        <v>0</v>
      </c>
      <c r="AO495" s="2">
        <v>0</v>
      </c>
      <c r="AP495" s="2">
        <v>0</v>
      </c>
      <c r="AQ495" s="2">
        <v>0</v>
      </c>
      <c r="AR495" s="5">
        <v>0</v>
      </c>
      <c r="AS495" s="2">
        <v>44095.14</v>
      </c>
      <c r="AT495" s="12">
        <v>39370.659999999996</v>
      </c>
      <c r="AU495" s="2">
        <v>0</v>
      </c>
      <c r="AV495" s="5">
        <v>3674.6</v>
      </c>
      <c r="AX495" s="2">
        <v>564945</v>
      </c>
      <c r="AY495" s="2">
        <v>169974</v>
      </c>
      <c r="AZ495" s="2">
        <v>25220.76</v>
      </c>
      <c r="BA495" s="2">
        <v>7588.12</v>
      </c>
      <c r="BB495" s="5">
        <v>6561.78</v>
      </c>
      <c r="BC495" s="12">
        <v>0</v>
      </c>
      <c r="BD495" s="2">
        <v>0</v>
      </c>
      <c r="BE495" s="2">
        <v>0</v>
      </c>
      <c r="BF495" s="2">
        <v>0</v>
      </c>
      <c r="BG495" s="5">
        <v>0</v>
      </c>
      <c r="BH495" s="2">
        <v>44095.14</v>
      </c>
      <c r="BI495" s="12">
        <v>39370.659999999996</v>
      </c>
      <c r="BJ495" s="2">
        <v>0</v>
      </c>
      <c r="BK495" s="5">
        <v>3674.6</v>
      </c>
      <c r="BL495" s="1" t="s">
        <v>436</v>
      </c>
    </row>
    <row r="496" spans="1:64" x14ac:dyDescent="0.3">
      <c r="A496" t="s">
        <v>890</v>
      </c>
      <c r="B496" s="1" t="s">
        <v>890</v>
      </c>
      <c r="C496" s="9" t="s">
        <v>891</v>
      </c>
      <c r="D496" s="1" t="s">
        <v>95</v>
      </c>
      <c r="E496" s="1" t="s">
        <v>135</v>
      </c>
      <c r="F496" s="10" t="s">
        <v>193</v>
      </c>
      <c r="G496" s="1">
        <v>0</v>
      </c>
      <c r="H496" s="1">
        <v>0.05</v>
      </c>
      <c r="I496" s="8">
        <v>45514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0</v>
      </c>
      <c r="U496" s="6">
        <v>0</v>
      </c>
      <c r="V496" s="6">
        <v>0</v>
      </c>
      <c r="W496" s="6">
        <v>0</v>
      </c>
      <c r="AI496" s="2">
        <v>271918</v>
      </c>
      <c r="AJ496" s="2">
        <v>53547</v>
      </c>
      <c r="AK496" s="2">
        <v>12139.2</v>
      </c>
      <c r="AL496" s="2">
        <v>2390.4899999999998</v>
      </c>
      <c r="AM496" s="5">
        <v>2905.94</v>
      </c>
      <c r="AN496" s="12">
        <v>39877.620000000003</v>
      </c>
      <c r="AO496" s="2">
        <v>5097.3</v>
      </c>
      <c r="AP496" s="2">
        <v>1780.25</v>
      </c>
      <c r="AQ496" s="2">
        <v>227.55</v>
      </c>
      <c r="AR496" s="5">
        <v>401.56</v>
      </c>
      <c r="AS496" s="2">
        <v>22226.39</v>
      </c>
      <c r="AT496" s="12">
        <v>19844.990000000002</v>
      </c>
      <c r="AU496" s="2">
        <v>0</v>
      </c>
      <c r="AV496" s="5">
        <v>1852.2</v>
      </c>
      <c r="AX496" s="2">
        <v>271918</v>
      </c>
      <c r="AY496" s="2">
        <v>53547</v>
      </c>
      <c r="AZ496" s="2">
        <v>12139.2</v>
      </c>
      <c r="BA496" s="2">
        <v>2390.4899999999998</v>
      </c>
      <c r="BB496" s="5">
        <v>2905.94</v>
      </c>
      <c r="BC496" s="12">
        <v>39877.620000000003</v>
      </c>
      <c r="BD496" s="2">
        <v>5097.3</v>
      </c>
      <c r="BE496" s="2">
        <v>1780.25</v>
      </c>
      <c r="BF496" s="2">
        <v>227.55</v>
      </c>
      <c r="BG496" s="5">
        <v>401.56</v>
      </c>
      <c r="BH496" s="2">
        <v>22226.39</v>
      </c>
      <c r="BI496" s="12">
        <v>19844.990000000002</v>
      </c>
      <c r="BJ496" s="2">
        <v>0</v>
      </c>
      <c r="BK496" s="5">
        <v>1852.2</v>
      </c>
      <c r="BL496" s="1" t="s">
        <v>137</v>
      </c>
    </row>
    <row r="497" spans="1:64" x14ac:dyDescent="0.3">
      <c r="A497" t="s">
        <v>892</v>
      </c>
      <c r="B497" s="1" t="s">
        <v>892</v>
      </c>
      <c r="C497" s="9" t="s">
        <v>893</v>
      </c>
      <c r="D497" s="1" t="s">
        <v>95</v>
      </c>
      <c r="E497" s="1" t="s">
        <v>88</v>
      </c>
      <c r="F497" s="10" t="s">
        <v>534</v>
      </c>
      <c r="G497" s="1">
        <v>0</v>
      </c>
      <c r="H497" s="1">
        <v>0.05</v>
      </c>
      <c r="I497" s="8">
        <v>45485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0</v>
      </c>
      <c r="U497" s="6">
        <v>0</v>
      </c>
      <c r="V497" s="6">
        <v>0</v>
      </c>
      <c r="W497" s="6">
        <v>0</v>
      </c>
      <c r="AI497" s="2">
        <v>234149</v>
      </c>
      <c r="AJ497" s="2">
        <v>29961</v>
      </c>
      <c r="AK497" s="2">
        <v>10453.08</v>
      </c>
      <c r="AL497" s="2">
        <v>1337.54</v>
      </c>
      <c r="AM497" s="5">
        <v>2358.12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15846.59</v>
      </c>
      <c r="AT497" s="12">
        <v>14148.739999999998</v>
      </c>
      <c r="AU497" s="2">
        <v>0</v>
      </c>
      <c r="AV497" s="5">
        <v>1320.55</v>
      </c>
      <c r="AX497" s="2">
        <v>234149</v>
      </c>
      <c r="AY497" s="2">
        <v>29961</v>
      </c>
      <c r="AZ497" s="2">
        <v>10453.08</v>
      </c>
      <c r="BA497" s="2">
        <v>1337.54</v>
      </c>
      <c r="BB497" s="5">
        <v>2358.12</v>
      </c>
      <c r="BC497" s="12">
        <v>0</v>
      </c>
      <c r="BD497" s="2">
        <v>0</v>
      </c>
      <c r="BE497" s="2">
        <v>0</v>
      </c>
      <c r="BF497" s="2">
        <v>0</v>
      </c>
      <c r="BG497" s="5">
        <v>0</v>
      </c>
      <c r="BH497" s="2">
        <v>15846.59</v>
      </c>
      <c r="BI497" s="12">
        <v>14148.739999999998</v>
      </c>
      <c r="BJ497" s="2">
        <v>0</v>
      </c>
      <c r="BK497" s="5">
        <v>1320.55</v>
      </c>
      <c r="BL497" s="1" t="s">
        <v>90</v>
      </c>
    </row>
    <row r="498" spans="1:64" x14ac:dyDescent="0.3">
      <c r="A498" t="s">
        <v>892</v>
      </c>
      <c r="B498" s="1" t="s">
        <v>894</v>
      </c>
      <c r="C498" s="9" t="s">
        <v>895</v>
      </c>
      <c r="D498" s="1" t="s">
        <v>95</v>
      </c>
      <c r="E498" s="1" t="s">
        <v>88</v>
      </c>
      <c r="F498" s="10" t="s">
        <v>534</v>
      </c>
      <c r="G498" s="1">
        <v>0</v>
      </c>
      <c r="H498" s="1">
        <v>0.05</v>
      </c>
      <c r="I498" s="8">
        <v>45485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0</v>
      </c>
      <c r="U498" s="6">
        <v>0</v>
      </c>
      <c r="V498" s="6">
        <v>0</v>
      </c>
      <c r="W498" s="6">
        <v>0</v>
      </c>
      <c r="AI498" s="2">
        <v>278717</v>
      </c>
      <c r="AJ498" s="2">
        <v>36997</v>
      </c>
      <c r="AK498" s="2">
        <v>12442.72</v>
      </c>
      <c r="AL498" s="2">
        <v>1651.65</v>
      </c>
      <c r="AM498" s="5">
        <v>2818.87</v>
      </c>
      <c r="AN498" s="12">
        <v>0</v>
      </c>
      <c r="AO498" s="2">
        <v>0</v>
      </c>
      <c r="AP498" s="2">
        <v>0</v>
      </c>
      <c r="AQ498" s="2">
        <v>0</v>
      </c>
      <c r="AR498" s="5">
        <v>0</v>
      </c>
      <c r="AS498" s="2">
        <v>18942.830000000002</v>
      </c>
      <c r="AT498" s="12">
        <v>16913.239999999998</v>
      </c>
      <c r="AU498" s="2">
        <v>0</v>
      </c>
      <c r="AV498" s="5">
        <v>1578.57</v>
      </c>
      <c r="AX498" s="2">
        <v>278717</v>
      </c>
      <c r="AY498" s="2">
        <v>36997</v>
      </c>
      <c r="AZ498" s="2">
        <v>12442.72</v>
      </c>
      <c r="BA498" s="2">
        <v>1651.65</v>
      </c>
      <c r="BB498" s="5">
        <v>2818.87</v>
      </c>
      <c r="BC498" s="12">
        <v>0</v>
      </c>
      <c r="BD498" s="2">
        <v>0</v>
      </c>
      <c r="BE498" s="2">
        <v>0</v>
      </c>
      <c r="BF498" s="2">
        <v>0</v>
      </c>
      <c r="BG498" s="5">
        <v>0</v>
      </c>
      <c r="BH498" s="2">
        <v>18942.830000000002</v>
      </c>
      <c r="BI498" s="12">
        <v>16913.239999999998</v>
      </c>
      <c r="BJ498" s="2">
        <v>0</v>
      </c>
      <c r="BK498" s="5">
        <v>1578.57</v>
      </c>
      <c r="BL498" s="1" t="s">
        <v>90</v>
      </c>
    </row>
    <row r="499" spans="1:64" x14ac:dyDescent="0.3">
      <c r="A499" t="s">
        <v>892</v>
      </c>
      <c r="B499" s="1" t="s">
        <v>896</v>
      </c>
      <c r="C499" s="9" t="s">
        <v>897</v>
      </c>
      <c r="D499" s="1" t="s">
        <v>95</v>
      </c>
      <c r="E499" s="1" t="s">
        <v>88</v>
      </c>
      <c r="F499" s="10" t="s">
        <v>534</v>
      </c>
      <c r="G499" s="1">
        <v>0</v>
      </c>
      <c r="H499" s="1">
        <v>0.05</v>
      </c>
      <c r="I499" s="8">
        <v>45485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0</v>
      </c>
      <c r="P499" s="6">
        <v>0</v>
      </c>
      <c r="Q499" s="6">
        <v>0</v>
      </c>
      <c r="R499" s="6">
        <v>0</v>
      </c>
      <c r="S499" s="7">
        <v>0</v>
      </c>
      <c r="T499" s="11">
        <v>0</v>
      </c>
      <c r="U499" s="6">
        <v>0</v>
      </c>
      <c r="V499" s="6">
        <v>0</v>
      </c>
      <c r="W499" s="6">
        <v>0</v>
      </c>
      <c r="AI499" s="2">
        <v>209701</v>
      </c>
      <c r="AJ499" s="2">
        <v>34450</v>
      </c>
      <c r="AK499" s="2">
        <v>9361.65</v>
      </c>
      <c r="AL499" s="2">
        <v>1537.95</v>
      </c>
      <c r="AM499" s="5">
        <v>2179.92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14649.06</v>
      </c>
      <c r="AT499" s="12">
        <v>13079.52</v>
      </c>
      <c r="AU499" s="2">
        <v>0</v>
      </c>
      <c r="AV499" s="5">
        <v>1220.76</v>
      </c>
      <c r="AX499" s="2">
        <v>209701</v>
      </c>
      <c r="AY499" s="2">
        <v>34450</v>
      </c>
      <c r="AZ499" s="2">
        <v>9361.65</v>
      </c>
      <c r="BA499" s="2">
        <v>1537.95</v>
      </c>
      <c r="BB499" s="5">
        <v>2179.92</v>
      </c>
      <c r="BC499" s="12">
        <v>0</v>
      </c>
      <c r="BD499" s="2">
        <v>0</v>
      </c>
      <c r="BE499" s="2">
        <v>0</v>
      </c>
      <c r="BF499" s="2">
        <v>0</v>
      </c>
      <c r="BG499" s="5">
        <v>0</v>
      </c>
      <c r="BH499" s="2">
        <v>14649.06</v>
      </c>
      <c r="BI499" s="12">
        <v>13079.52</v>
      </c>
      <c r="BJ499" s="2">
        <v>0</v>
      </c>
      <c r="BK499" s="5">
        <v>1220.76</v>
      </c>
      <c r="BL499" s="1" t="s">
        <v>90</v>
      </c>
    </row>
    <row r="500" spans="1:64" x14ac:dyDescent="0.3">
      <c r="A500" t="s">
        <v>912</v>
      </c>
      <c r="B500" s="1" t="s">
        <v>912</v>
      </c>
      <c r="C500" s="9" t="s">
        <v>913</v>
      </c>
      <c r="D500" s="1" t="s">
        <v>95</v>
      </c>
      <c r="E500" s="1" t="s">
        <v>128</v>
      </c>
      <c r="F500" s="10" t="s">
        <v>309</v>
      </c>
      <c r="G500" s="1">
        <v>4.4999999999999998E-2</v>
      </c>
      <c r="H500" s="1">
        <v>0.05</v>
      </c>
      <c r="I500" s="8">
        <v>45067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0</v>
      </c>
      <c r="U500" s="6">
        <v>0</v>
      </c>
      <c r="V500" s="6">
        <v>0</v>
      </c>
      <c r="W500" s="6">
        <v>0</v>
      </c>
      <c r="AI500" s="2">
        <v>396979</v>
      </c>
      <c r="AJ500" s="2">
        <v>25000</v>
      </c>
      <c r="AK500" s="2">
        <v>17722.28</v>
      </c>
      <c r="AL500" s="2">
        <v>1116.07</v>
      </c>
      <c r="AM500" s="5">
        <v>3767.67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25318.74</v>
      </c>
      <c r="AT500" s="12">
        <v>22606.019999999997</v>
      </c>
      <c r="AU500" s="2">
        <v>0</v>
      </c>
      <c r="AV500" s="5">
        <v>2109.9</v>
      </c>
      <c r="AX500" s="2">
        <v>396979</v>
      </c>
      <c r="AY500" s="2">
        <v>25000</v>
      </c>
      <c r="AZ500" s="2">
        <v>17722.28</v>
      </c>
      <c r="BA500" s="2">
        <v>1116.07</v>
      </c>
      <c r="BB500" s="5">
        <v>3767.67</v>
      </c>
      <c r="BC500" s="12">
        <v>0</v>
      </c>
      <c r="BD500" s="2">
        <v>0</v>
      </c>
      <c r="BE500" s="2">
        <v>0</v>
      </c>
      <c r="BF500" s="2">
        <v>0</v>
      </c>
      <c r="BG500" s="5">
        <v>0</v>
      </c>
      <c r="BH500" s="2">
        <v>25318.74</v>
      </c>
      <c r="BI500" s="12">
        <v>22606.019999999997</v>
      </c>
      <c r="BJ500" s="2">
        <v>0</v>
      </c>
      <c r="BK500" s="5">
        <v>2109.9</v>
      </c>
      <c r="BL500" s="1" t="s">
        <v>130</v>
      </c>
    </row>
    <row r="501" spans="1:64" x14ac:dyDescent="0.3">
      <c r="A501" t="s">
        <v>912</v>
      </c>
      <c r="B501" s="1" t="s">
        <v>914</v>
      </c>
      <c r="C501" s="9" t="s">
        <v>915</v>
      </c>
      <c r="D501" s="1" t="s">
        <v>95</v>
      </c>
      <c r="E501" s="1" t="s">
        <v>128</v>
      </c>
      <c r="F501" s="10" t="s">
        <v>309</v>
      </c>
      <c r="G501" s="1">
        <v>0.05</v>
      </c>
      <c r="H501" s="1">
        <v>0.05</v>
      </c>
      <c r="I501" s="8">
        <v>45067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0</v>
      </c>
      <c r="U501" s="6">
        <v>0</v>
      </c>
      <c r="V501" s="6">
        <v>0</v>
      </c>
      <c r="W501" s="6">
        <v>0</v>
      </c>
      <c r="AI501" s="2">
        <v>385225</v>
      </c>
      <c r="AJ501" s="2">
        <v>0</v>
      </c>
      <c r="AK501" s="2">
        <v>17197.54</v>
      </c>
      <c r="AL501" s="2">
        <v>0</v>
      </c>
      <c r="AM501" s="5">
        <v>3439.51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23113.5</v>
      </c>
      <c r="AT501" s="12">
        <v>20637.050000000003</v>
      </c>
      <c r="AU501" s="2">
        <v>0</v>
      </c>
      <c r="AV501" s="5">
        <v>1926.12</v>
      </c>
      <c r="AX501" s="2">
        <v>385225</v>
      </c>
      <c r="AY501" s="2">
        <v>0</v>
      </c>
      <c r="AZ501" s="2">
        <v>17197.54</v>
      </c>
      <c r="BA501" s="2">
        <v>0</v>
      </c>
      <c r="BB501" s="5">
        <v>3439.51</v>
      </c>
      <c r="BC501" s="12">
        <v>0</v>
      </c>
      <c r="BD501" s="2">
        <v>0</v>
      </c>
      <c r="BE501" s="2">
        <v>0</v>
      </c>
      <c r="BF501" s="2">
        <v>0</v>
      </c>
      <c r="BG501" s="5">
        <v>0</v>
      </c>
      <c r="BH501" s="2">
        <v>23113.5</v>
      </c>
      <c r="BI501" s="12">
        <v>20637.050000000003</v>
      </c>
      <c r="BJ501" s="2">
        <v>0</v>
      </c>
      <c r="BK501" s="5">
        <v>1926.12</v>
      </c>
      <c r="BL501" s="1" t="s">
        <v>130</v>
      </c>
    </row>
    <row r="502" spans="1:64" x14ac:dyDescent="0.3">
      <c r="A502" t="s">
        <v>912</v>
      </c>
      <c r="B502" s="1" t="s">
        <v>916</v>
      </c>
      <c r="C502" s="9" t="s">
        <v>917</v>
      </c>
      <c r="D502" s="1" t="s">
        <v>95</v>
      </c>
      <c r="E502" s="1" t="s">
        <v>128</v>
      </c>
      <c r="F502" s="10" t="s">
        <v>309</v>
      </c>
      <c r="G502" s="1">
        <v>0.05</v>
      </c>
      <c r="H502" s="1">
        <v>0.05</v>
      </c>
      <c r="I502" s="8">
        <v>45067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0</v>
      </c>
      <c r="U502" s="6">
        <v>0</v>
      </c>
      <c r="V502" s="6">
        <v>0</v>
      </c>
      <c r="W502" s="6">
        <v>0</v>
      </c>
      <c r="AI502" s="2">
        <v>302872</v>
      </c>
      <c r="AJ502" s="2">
        <v>125</v>
      </c>
      <c r="AK502" s="2">
        <v>13521.07</v>
      </c>
      <c r="AL502" s="2">
        <v>5.58</v>
      </c>
      <c r="AM502" s="5">
        <v>2705.33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18179.82</v>
      </c>
      <c r="AT502" s="12">
        <v>16231.98</v>
      </c>
      <c r="AU502" s="2">
        <v>0</v>
      </c>
      <c r="AV502" s="5">
        <v>1514.98</v>
      </c>
      <c r="AX502" s="2">
        <v>302872</v>
      </c>
      <c r="AY502" s="2">
        <v>125</v>
      </c>
      <c r="AZ502" s="2">
        <v>13521.07</v>
      </c>
      <c r="BA502" s="2">
        <v>5.58</v>
      </c>
      <c r="BB502" s="5">
        <v>2705.33</v>
      </c>
      <c r="BC502" s="12">
        <v>0</v>
      </c>
      <c r="BD502" s="2">
        <v>0</v>
      </c>
      <c r="BE502" s="2">
        <v>0</v>
      </c>
      <c r="BF502" s="2">
        <v>0</v>
      </c>
      <c r="BG502" s="5">
        <v>0</v>
      </c>
      <c r="BH502" s="2">
        <v>18179.82</v>
      </c>
      <c r="BI502" s="12">
        <v>16231.98</v>
      </c>
      <c r="BJ502" s="2">
        <v>0</v>
      </c>
      <c r="BK502" s="5">
        <v>1514.98</v>
      </c>
      <c r="BL502" s="1" t="s">
        <v>130</v>
      </c>
    </row>
    <row r="503" spans="1:64" x14ac:dyDescent="0.3">
      <c r="A503" t="s">
        <v>912</v>
      </c>
      <c r="B503" s="1" t="s">
        <v>918</v>
      </c>
      <c r="C503" s="9" t="s">
        <v>919</v>
      </c>
      <c r="D503" s="1" t="s">
        <v>95</v>
      </c>
      <c r="E503" s="1" t="s">
        <v>128</v>
      </c>
      <c r="F503" s="10" t="s">
        <v>309</v>
      </c>
      <c r="G503" s="1">
        <v>0.05</v>
      </c>
      <c r="H503" s="1">
        <v>0.05</v>
      </c>
      <c r="I503" s="8">
        <v>45067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0</v>
      </c>
      <c r="U503" s="6">
        <v>0</v>
      </c>
      <c r="V503" s="6">
        <v>0</v>
      </c>
      <c r="W503" s="6">
        <v>0</v>
      </c>
      <c r="AI503" s="2">
        <v>193978</v>
      </c>
      <c r="AJ503" s="2">
        <v>17225</v>
      </c>
      <c r="AK503" s="2">
        <v>8659.73</v>
      </c>
      <c r="AL503" s="2">
        <v>768.97</v>
      </c>
      <c r="AM503" s="5">
        <v>1885.74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12672.17</v>
      </c>
      <c r="AT503" s="12">
        <v>11314.439999999999</v>
      </c>
      <c r="AU503" s="2">
        <v>0</v>
      </c>
      <c r="AV503" s="5">
        <v>1056.02</v>
      </c>
      <c r="AX503" s="2">
        <v>193978</v>
      </c>
      <c r="AY503" s="2">
        <v>17225</v>
      </c>
      <c r="AZ503" s="2">
        <v>8659.73</v>
      </c>
      <c r="BA503" s="2">
        <v>768.97</v>
      </c>
      <c r="BB503" s="5">
        <v>1885.74</v>
      </c>
      <c r="BC503" s="12">
        <v>0</v>
      </c>
      <c r="BD503" s="2">
        <v>0</v>
      </c>
      <c r="BE503" s="2">
        <v>0</v>
      </c>
      <c r="BF503" s="2">
        <v>0</v>
      </c>
      <c r="BG503" s="5">
        <v>0</v>
      </c>
      <c r="BH503" s="2">
        <v>12672.17</v>
      </c>
      <c r="BI503" s="12">
        <v>11314.439999999999</v>
      </c>
      <c r="BJ503" s="2">
        <v>0</v>
      </c>
      <c r="BK503" s="5">
        <v>1056.02</v>
      </c>
      <c r="BL503" s="1" t="s">
        <v>130</v>
      </c>
    </row>
    <row r="504" spans="1:64" x14ac:dyDescent="0.3">
      <c r="A504" t="s">
        <v>912</v>
      </c>
      <c r="B504" s="1" t="s">
        <v>920</v>
      </c>
      <c r="C504" s="9" t="s">
        <v>921</v>
      </c>
      <c r="D504" s="1" t="s">
        <v>95</v>
      </c>
      <c r="E504" s="1" t="s">
        <v>128</v>
      </c>
      <c r="F504" s="10" t="s">
        <v>309</v>
      </c>
      <c r="G504" s="1">
        <v>0.05</v>
      </c>
      <c r="H504" s="1">
        <v>0.05</v>
      </c>
      <c r="I504" s="8">
        <v>45067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0</v>
      </c>
      <c r="U504" s="6">
        <v>0</v>
      </c>
      <c r="V504" s="6">
        <v>0</v>
      </c>
      <c r="W504" s="6">
        <v>0</v>
      </c>
      <c r="AI504" s="2">
        <v>622322</v>
      </c>
      <c r="AJ504" s="2">
        <v>0</v>
      </c>
      <c r="AK504" s="2">
        <v>27782.23</v>
      </c>
      <c r="AL504" s="2">
        <v>0</v>
      </c>
      <c r="AM504" s="5">
        <v>5556.45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37339.32</v>
      </c>
      <c r="AT504" s="12">
        <v>33338.68</v>
      </c>
      <c r="AU504" s="2">
        <v>0</v>
      </c>
      <c r="AV504" s="5">
        <v>3111.61</v>
      </c>
      <c r="AX504" s="2">
        <v>622322</v>
      </c>
      <c r="AY504" s="2">
        <v>0</v>
      </c>
      <c r="AZ504" s="2">
        <v>27782.23</v>
      </c>
      <c r="BA504" s="2">
        <v>0</v>
      </c>
      <c r="BB504" s="5">
        <v>5556.45</v>
      </c>
      <c r="BC504" s="12">
        <v>0</v>
      </c>
      <c r="BD504" s="2">
        <v>0</v>
      </c>
      <c r="BE504" s="2">
        <v>0</v>
      </c>
      <c r="BF504" s="2">
        <v>0</v>
      </c>
      <c r="BG504" s="5">
        <v>0</v>
      </c>
      <c r="BH504" s="2">
        <v>37339.32</v>
      </c>
      <c r="BI504" s="12">
        <v>33338.68</v>
      </c>
      <c r="BJ504" s="2">
        <v>0</v>
      </c>
      <c r="BK504" s="5">
        <v>3111.61</v>
      </c>
      <c r="BL504" s="1" t="s">
        <v>130</v>
      </c>
    </row>
    <row r="505" spans="1:64" x14ac:dyDescent="0.3">
      <c r="A505" t="s">
        <v>912</v>
      </c>
      <c r="B505" s="1" t="s">
        <v>922</v>
      </c>
      <c r="C505" s="9" t="s">
        <v>923</v>
      </c>
      <c r="D505" s="1" t="s">
        <v>95</v>
      </c>
      <c r="E505" s="1" t="s">
        <v>128</v>
      </c>
      <c r="F505" s="10" t="s">
        <v>309</v>
      </c>
      <c r="G505" s="1">
        <v>0.05</v>
      </c>
      <c r="H505" s="1">
        <v>0.05</v>
      </c>
      <c r="I505" s="8">
        <v>45067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0</v>
      </c>
      <c r="U505" s="6">
        <v>0</v>
      </c>
      <c r="V505" s="6">
        <v>0</v>
      </c>
      <c r="W505" s="6">
        <v>0</v>
      </c>
      <c r="AI505" s="2">
        <v>164205</v>
      </c>
      <c r="AJ505" s="2">
        <v>0</v>
      </c>
      <c r="AK505" s="2">
        <v>7330.58</v>
      </c>
      <c r="AL505" s="2">
        <v>0</v>
      </c>
      <c r="AM505" s="5">
        <v>1466.12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9852.2999999999993</v>
      </c>
      <c r="AT505" s="12">
        <v>8796.7000000000007</v>
      </c>
      <c r="AU505" s="2">
        <v>0</v>
      </c>
      <c r="AV505" s="5">
        <v>821.02</v>
      </c>
      <c r="AX505" s="2">
        <v>164205</v>
      </c>
      <c r="AY505" s="2">
        <v>0</v>
      </c>
      <c r="AZ505" s="2">
        <v>7330.58</v>
      </c>
      <c r="BA505" s="2">
        <v>0</v>
      </c>
      <c r="BB505" s="5">
        <v>1466.12</v>
      </c>
      <c r="BC505" s="12">
        <v>0</v>
      </c>
      <c r="BD505" s="2">
        <v>0</v>
      </c>
      <c r="BE505" s="2">
        <v>0</v>
      </c>
      <c r="BF505" s="2">
        <v>0</v>
      </c>
      <c r="BG505" s="5">
        <v>0</v>
      </c>
      <c r="BH505" s="2">
        <v>9852.2999999999993</v>
      </c>
      <c r="BI505" s="12">
        <v>8796.7000000000007</v>
      </c>
      <c r="BJ505" s="2">
        <v>0</v>
      </c>
      <c r="BK505" s="5">
        <v>821.02</v>
      </c>
      <c r="BL505" s="1" t="s">
        <v>130</v>
      </c>
    </row>
    <row r="506" spans="1:64" x14ac:dyDescent="0.3">
      <c r="A506" t="s">
        <v>912</v>
      </c>
      <c r="B506" s="1" t="s">
        <v>924</v>
      </c>
      <c r="C506" s="9" t="s">
        <v>925</v>
      </c>
      <c r="D506" s="1" t="s">
        <v>95</v>
      </c>
      <c r="E506" s="1" t="s">
        <v>128</v>
      </c>
      <c r="F506" s="10" t="s">
        <v>309</v>
      </c>
      <c r="G506" s="1">
        <v>0.05</v>
      </c>
      <c r="H506" s="1">
        <v>0.05</v>
      </c>
      <c r="I506" s="8">
        <v>45067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0</v>
      </c>
      <c r="U506" s="6">
        <v>0</v>
      </c>
      <c r="V506" s="6">
        <v>0</v>
      </c>
      <c r="W506" s="6">
        <v>0</v>
      </c>
      <c r="AI506" s="2">
        <v>320357</v>
      </c>
      <c r="AJ506" s="2">
        <v>0</v>
      </c>
      <c r="AK506" s="2">
        <v>14301.65</v>
      </c>
      <c r="AL506" s="2">
        <v>0</v>
      </c>
      <c r="AM506" s="5">
        <v>2860.33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19221.419999999998</v>
      </c>
      <c r="AT506" s="12">
        <v>17161.98</v>
      </c>
      <c r="AU506" s="2">
        <v>0</v>
      </c>
      <c r="AV506" s="5">
        <v>1601.78</v>
      </c>
      <c r="AX506" s="2">
        <v>320357</v>
      </c>
      <c r="AY506" s="2">
        <v>0</v>
      </c>
      <c r="AZ506" s="2">
        <v>14301.65</v>
      </c>
      <c r="BA506" s="2">
        <v>0</v>
      </c>
      <c r="BB506" s="5">
        <v>2860.33</v>
      </c>
      <c r="BC506" s="12">
        <v>0</v>
      </c>
      <c r="BD506" s="2">
        <v>0</v>
      </c>
      <c r="BE506" s="2">
        <v>0</v>
      </c>
      <c r="BF506" s="2">
        <v>0</v>
      </c>
      <c r="BG506" s="5">
        <v>0</v>
      </c>
      <c r="BH506" s="2">
        <v>19221.419999999998</v>
      </c>
      <c r="BI506" s="12">
        <v>17161.98</v>
      </c>
      <c r="BJ506" s="2">
        <v>0</v>
      </c>
      <c r="BK506" s="5">
        <v>1601.78</v>
      </c>
      <c r="BL506" s="1" t="s">
        <v>130</v>
      </c>
    </row>
    <row r="507" spans="1:64" x14ac:dyDescent="0.3">
      <c r="A507" t="s">
        <v>912</v>
      </c>
      <c r="B507" s="1" t="s">
        <v>926</v>
      </c>
      <c r="C507" s="9" t="s">
        <v>927</v>
      </c>
      <c r="D507" s="1" t="s">
        <v>95</v>
      </c>
      <c r="E507" s="1" t="s">
        <v>128</v>
      </c>
      <c r="F507" s="10" t="s">
        <v>309</v>
      </c>
      <c r="G507" s="1">
        <v>0</v>
      </c>
      <c r="H507" s="1">
        <v>0.05</v>
      </c>
      <c r="I507" s="8">
        <v>45144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0</v>
      </c>
      <c r="U507" s="6">
        <v>0</v>
      </c>
      <c r="V507" s="6">
        <v>0</v>
      </c>
      <c r="W507" s="6">
        <v>0</v>
      </c>
      <c r="AI507" s="2">
        <v>369115</v>
      </c>
      <c r="AJ507" s="2">
        <v>0</v>
      </c>
      <c r="AK507" s="2">
        <v>16478.349999999999</v>
      </c>
      <c r="AL507" s="2">
        <v>0</v>
      </c>
      <c r="AM507" s="5">
        <v>3295.67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22146.9</v>
      </c>
      <c r="AT507" s="12">
        <v>19774.019999999997</v>
      </c>
      <c r="AU507" s="2">
        <v>0</v>
      </c>
      <c r="AV507" s="5">
        <v>1845.58</v>
      </c>
      <c r="AX507" s="2">
        <v>369115</v>
      </c>
      <c r="AY507" s="2">
        <v>0</v>
      </c>
      <c r="AZ507" s="2">
        <v>16478.349999999999</v>
      </c>
      <c r="BA507" s="2">
        <v>0</v>
      </c>
      <c r="BB507" s="5">
        <v>3295.67</v>
      </c>
      <c r="BC507" s="12">
        <v>0</v>
      </c>
      <c r="BD507" s="2">
        <v>0</v>
      </c>
      <c r="BE507" s="2">
        <v>0</v>
      </c>
      <c r="BF507" s="2">
        <v>0</v>
      </c>
      <c r="BG507" s="5">
        <v>0</v>
      </c>
      <c r="BH507" s="2">
        <v>22146.9</v>
      </c>
      <c r="BI507" s="12">
        <v>19774.019999999997</v>
      </c>
      <c r="BJ507" s="2">
        <v>0</v>
      </c>
      <c r="BK507" s="5">
        <v>1845.58</v>
      </c>
      <c r="BL507" s="1" t="s">
        <v>130</v>
      </c>
    </row>
    <row r="508" spans="1:64" x14ac:dyDescent="0.3">
      <c r="A508" t="s">
        <v>912</v>
      </c>
      <c r="B508" s="1" t="s">
        <v>928</v>
      </c>
      <c r="C508" s="9" t="s">
        <v>929</v>
      </c>
      <c r="D508" s="1" t="s">
        <v>95</v>
      </c>
      <c r="E508" s="1" t="s">
        <v>128</v>
      </c>
      <c r="F508" s="10" t="s">
        <v>309</v>
      </c>
      <c r="G508" s="1">
        <v>0</v>
      </c>
      <c r="H508" s="1">
        <v>0.05</v>
      </c>
      <c r="I508" s="8">
        <v>44915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0</v>
      </c>
      <c r="U508" s="6">
        <v>0</v>
      </c>
      <c r="V508" s="6">
        <v>0</v>
      </c>
      <c r="W508" s="6">
        <v>0</v>
      </c>
      <c r="AI508" s="2">
        <v>231460</v>
      </c>
      <c r="AJ508" s="2">
        <v>9035</v>
      </c>
      <c r="AK508" s="2">
        <v>10333.040000000001</v>
      </c>
      <c r="AL508" s="2">
        <v>403.35</v>
      </c>
      <c r="AM508" s="5">
        <v>2147.2800000000002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14429.71</v>
      </c>
      <c r="AT508" s="12">
        <v>12883.670000000002</v>
      </c>
      <c r="AU508" s="2">
        <v>0</v>
      </c>
      <c r="AV508" s="5">
        <v>1202.48</v>
      </c>
      <c r="AX508" s="2">
        <v>231460</v>
      </c>
      <c r="AY508" s="2">
        <v>9035</v>
      </c>
      <c r="AZ508" s="2">
        <v>10333.040000000001</v>
      </c>
      <c r="BA508" s="2">
        <v>403.35</v>
      </c>
      <c r="BB508" s="5">
        <v>2147.2800000000002</v>
      </c>
      <c r="BC508" s="12">
        <v>0</v>
      </c>
      <c r="BD508" s="2">
        <v>0</v>
      </c>
      <c r="BE508" s="2">
        <v>0</v>
      </c>
      <c r="BF508" s="2">
        <v>0</v>
      </c>
      <c r="BG508" s="5">
        <v>0</v>
      </c>
      <c r="BH508" s="2">
        <v>14429.71</v>
      </c>
      <c r="BI508" s="12">
        <v>12883.670000000002</v>
      </c>
      <c r="BJ508" s="2">
        <v>0</v>
      </c>
      <c r="BK508" s="5">
        <v>1202.48</v>
      </c>
      <c r="BL508" s="1" t="s">
        <v>130</v>
      </c>
    </row>
    <row r="509" spans="1:64" x14ac:dyDescent="0.3">
      <c r="A509" t="s">
        <v>912</v>
      </c>
      <c r="B509" s="1" t="s">
        <v>930</v>
      </c>
      <c r="C509" s="9" t="s">
        <v>931</v>
      </c>
      <c r="D509" s="1" t="s">
        <v>95</v>
      </c>
      <c r="E509" s="1" t="s">
        <v>128</v>
      </c>
      <c r="F509" s="10" t="s">
        <v>309</v>
      </c>
      <c r="G509" s="1">
        <v>0</v>
      </c>
      <c r="H509" s="1">
        <v>0.05</v>
      </c>
      <c r="I509" s="8">
        <v>45365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0</v>
      </c>
      <c r="U509" s="6">
        <v>0</v>
      </c>
      <c r="V509" s="6">
        <v>0</v>
      </c>
      <c r="W509" s="6">
        <v>0</v>
      </c>
      <c r="AI509" s="2">
        <v>102436</v>
      </c>
      <c r="AJ509" s="2">
        <v>0</v>
      </c>
      <c r="AK509" s="2">
        <v>4573.04</v>
      </c>
      <c r="AL509" s="2">
        <v>0</v>
      </c>
      <c r="AM509" s="5">
        <v>914.61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6146.17</v>
      </c>
      <c r="AT509" s="12">
        <v>5487.65</v>
      </c>
      <c r="AU509" s="2">
        <v>0</v>
      </c>
      <c r="AV509" s="5">
        <v>512.17999999999995</v>
      </c>
      <c r="AX509" s="2">
        <v>102436</v>
      </c>
      <c r="AY509" s="2">
        <v>0</v>
      </c>
      <c r="AZ509" s="2">
        <v>4573.04</v>
      </c>
      <c r="BA509" s="2">
        <v>0</v>
      </c>
      <c r="BB509" s="5">
        <v>914.61</v>
      </c>
      <c r="BC509" s="12">
        <v>0</v>
      </c>
      <c r="BD509" s="2">
        <v>0</v>
      </c>
      <c r="BE509" s="2">
        <v>0</v>
      </c>
      <c r="BF509" s="2">
        <v>0</v>
      </c>
      <c r="BG509" s="5">
        <v>0</v>
      </c>
      <c r="BH509" s="2">
        <v>6146.17</v>
      </c>
      <c r="BI509" s="12">
        <v>5487.65</v>
      </c>
      <c r="BJ509" s="2">
        <v>0</v>
      </c>
      <c r="BK509" s="5">
        <v>512.17999999999995</v>
      </c>
      <c r="BL509" s="1" t="s">
        <v>130</v>
      </c>
    </row>
    <row r="510" spans="1:64" x14ac:dyDescent="0.3">
      <c r="A510" t="s">
        <v>912</v>
      </c>
      <c r="B510" s="1" t="s">
        <v>932</v>
      </c>
      <c r="C510" s="9" t="s">
        <v>933</v>
      </c>
      <c r="D510" s="1" t="s">
        <v>95</v>
      </c>
      <c r="E510" s="1" t="s">
        <v>128</v>
      </c>
      <c r="F510" s="10" t="s">
        <v>309</v>
      </c>
      <c r="G510" s="1">
        <v>0</v>
      </c>
      <c r="H510" s="1">
        <v>0.05</v>
      </c>
      <c r="I510" s="8">
        <v>0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0</v>
      </c>
      <c r="U510" s="6">
        <v>0</v>
      </c>
      <c r="V510" s="6">
        <v>0</v>
      </c>
      <c r="W510" s="6">
        <v>0</v>
      </c>
      <c r="AI510" s="2">
        <v>59661</v>
      </c>
      <c r="AJ510" s="2">
        <v>0</v>
      </c>
      <c r="AK510" s="2">
        <v>2663.44</v>
      </c>
      <c r="AL510" s="2">
        <v>0</v>
      </c>
      <c r="AM510" s="5">
        <v>532.69000000000005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3579.67</v>
      </c>
      <c r="AT510" s="12">
        <v>3196.13</v>
      </c>
      <c r="AU510" s="2">
        <v>0</v>
      </c>
      <c r="AV510" s="5">
        <v>298.3</v>
      </c>
      <c r="AX510" s="2">
        <v>59661</v>
      </c>
      <c r="AY510" s="2">
        <v>0</v>
      </c>
      <c r="AZ510" s="2">
        <v>2663.44</v>
      </c>
      <c r="BA510" s="2">
        <v>0</v>
      </c>
      <c r="BB510" s="5">
        <v>532.69000000000005</v>
      </c>
      <c r="BC510" s="12">
        <v>0</v>
      </c>
      <c r="BD510" s="2">
        <v>0</v>
      </c>
      <c r="BE510" s="2">
        <v>0</v>
      </c>
      <c r="BF510" s="2">
        <v>0</v>
      </c>
      <c r="BG510" s="5">
        <v>0</v>
      </c>
      <c r="BH510" s="2">
        <v>3579.67</v>
      </c>
      <c r="BI510" s="12">
        <v>3196.13</v>
      </c>
      <c r="BJ510" s="2">
        <v>0</v>
      </c>
      <c r="BK510" s="5">
        <v>298.3</v>
      </c>
      <c r="BL510" s="1" t="s">
        <v>130</v>
      </c>
    </row>
    <row r="511" spans="1:64" x14ac:dyDescent="0.3">
      <c r="A511" t="s">
        <v>912</v>
      </c>
      <c r="B511" s="1" t="s">
        <v>934</v>
      </c>
      <c r="C511" s="9" t="s">
        <v>935</v>
      </c>
      <c r="D511" s="1" t="s">
        <v>95</v>
      </c>
      <c r="E511" s="1" t="s">
        <v>128</v>
      </c>
      <c r="F511" s="10" t="s">
        <v>309</v>
      </c>
      <c r="G511" s="1">
        <v>0</v>
      </c>
      <c r="H511" s="1">
        <v>0.05</v>
      </c>
      <c r="I511" s="8">
        <v>0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0</v>
      </c>
      <c r="U511" s="6">
        <v>0</v>
      </c>
      <c r="V511" s="6">
        <v>0</v>
      </c>
      <c r="W511" s="6">
        <v>0</v>
      </c>
      <c r="AI511" s="2">
        <v>0</v>
      </c>
      <c r="AJ511" s="2">
        <v>0</v>
      </c>
      <c r="AK511" s="2">
        <v>0</v>
      </c>
      <c r="AL511" s="2">
        <v>0</v>
      </c>
      <c r="AM511" s="5">
        <v>0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0</v>
      </c>
      <c r="AT511" s="12">
        <v>0</v>
      </c>
      <c r="AU511" s="2">
        <v>0</v>
      </c>
      <c r="AV511" s="5">
        <v>0</v>
      </c>
      <c r="AX511" s="2">
        <v>0</v>
      </c>
      <c r="AY511" s="2">
        <v>0</v>
      </c>
      <c r="AZ511" s="2">
        <v>0</v>
      </c>
      <c r="BA511" s="2">
        <v>0</v>
      </c>
      <c r="BB511" s="5">
        <v>0</v>
      </c>
      <c r="BC511" s="12">
        <v>0</v>
      </c>
      <c r="BD511" s="2">
        <v>0</v>
      </c>
      <c r="BE511" s="2">
        <v>0</v>
      </c>
      <c r="BF511" s="2">
        <v>0</v>
      </c>
      <c r="BG511" s="5">
        <v>0</v>
      </c>
      <c r="BH511" s="2">
        <v>0</v>
      </c>
      <c r="BI511" s="12">
        <v>0</v>
      </c>
      <c r="BJ511" s="2">
        <v>0</v>
      </c>
      <c r="BK511" s="5">
        <v>0</v>
      </c>
      <c r="BL511" s="1" t="s">
        <v>130</v>
      </c>
    </row>
    <row r="512" spans="1:64" x14ac:dyDescent="0.3">
      <c r="A512" t="s">
        <v>950</v>
      </c>
      <c r="B512" s="1" t="s">
        <v>950</v>
      </c>
      <c r="C512" s="9" t="s">
        <v>951</v>
      </c>
      <c r="D512" s="1" t="s">
        <v>95</v>
      </c>
      <c r="E512" s="1" t="s">
        <v>135</v>
      </c>
      <c r="F512" s="10" t="s">
        <v>435</v>
      </c>
      <c r="G512" s="1">
        <v>0</v>
      </c>
      <c r="H512" s="1">
        <v>0.05</v>
      </c>
      <c r="I512" s="8">
        <v>44333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0</v>
      </c>
      <c r="U512" s="6">
        <v>0</v>
      </c>
      <c r="V512" s="6">
        <v>0</v>
      </c>
      <c r="W512" s="6">
        <v>0</v>
      </c>
      <c r="AI512" s="2">
        <v>751431</v>
      </c>
      <c r="AJ512" s="2">
        <v>159111</v>
      </c>
      <c r="AK512" s="2">
        <v>33546.03</v>
      </c>
      <c r="AL512" s="2">
        <v>7103.17</v>
      </c>
      <c r="AM512" s="5">
        <v>8129.84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54632.52</v>
      </c>
      <c r="AT512" s="12">
        <v>48779.039999999994</v>
      </c>
      <c r="AU512" s="2">
        <v>0</v>
      </c>
      <c r="AV512" s="5">
        <v>4552.71</v>
      </c>
      <c r="AX512" s="2">
        <v>751431</v>
      </c>
      <c r="AY512" s="2">
        <v>159111</v>
      </c>
      <c r="AZ512" s="2">
        <v>33546.03</v>
      </c>
      <c r="BA512" s="2">
        <v>7103.17</v>
      </c>
      <c r="BB512" s="5">
        <v>8129.84</v>
      </c>
      <c r="BC512" s="12">
        <v>0</v>
      </c>
      <c r="BD512" s="2">
        <v>0</v>
      </c>
      <c r="BE512" s="2">
        <v>0</v>
      </c>
      <c r="BF512" s="2">
        <v>0</v>
      </c>
      <c r="BG512" s="5">
        <v>0</v>
      </c>
      <c r="BH512" s="2">
        <v>54632.52</v>
      </c>
      <c r="BI512" s="12">
        <v>48779.039999999994</v>
      </c>
      <c r="BJ512" s="2">
        <v>0</v>
      </c>
      <c r="BK512" s="5">
        <v>4552.71</v>
      </c>
      <c r="BL512" s="1" t="s">
        <v>436</v>
      </c>
    </row>
    <row r="513" spans="1:64" x14ac:dyDescent="0.3">
      <c r="A513" t="s">
        <v>960</v>
      </c>
      <c r="B513" s="1" t="s">
        <v>960</v>
      </c>
      <c r="C513" s="9" t="s">
        <v>961</v>
      </c>
      <c r="D513" s="1" t="s">
        <v>95</v>
      </c>
      <c r="E513" s="1" t="s">
        <v>135</v>
      </c>
      <c r="F513" s="10" t="s">
        <v>485</v>
      </c>
      <c r="G513" s="1">
        <v>0</v>
      </c>
      <c r="H513" s="1">
        <v>0.05</v>
      </c>
      <c r="I513" s="8">
        <v>44166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0</v>
      </c>
      <c r="U513" s="6">
        <v>0</v>
      </c>
      <c r="V513" s="6">
        <v>0</v>
      </c>
      <c r="W513" s="6">
        <v>0</v>
      </c>
      <c r="AI513" s="2">
        <v>568251.5</v>
      </c>
      <c r="AJ513" s="2">
        <v>66096</v>
      </c>
      <c r="AK513" s="2">
        <v>25368.38</v>
      </c>
      <c r="AL513" s="2">
        <v>2950.71</v>
      </c>
      <c r="AM513" s="5">
        <v>5663.82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38060.86</v>
      </c>
      <c r="AT513" s="12">
        <v>33982.910000000003</v>
      </c>
      <c r="AU513" s="2">
        <v>0</v>
      </c>
      <c r="AV513" s="5">
        <v>3171.74</v>
      </c>
      <c r="AX513" s="2">
        <v>568251.5</v>
      </c>
      <c r="AY513" s="2">
        <v>66096</v>
      </c>
      <c r="AZ513" s="2">
        <v>25368.38</v>
      </c>
      <c r="BA513" s="2">
        <v>2950.71</v>
      </c>
      <c r="BB513" s="5">
        <v>5663.82</v>
      </c>
      <c r="BC513" s="12">
        <v>0</v>
      </c>
      <c r="BD513" s="2">
        <v>0</v>
      </c>
      <c r="BE513" s="2">
        <v>0</v>
      </c>
      <c r="BF513" s="2">
        <v>0</v>
      </c>
      <c r="BG513" s="5">
        <v>0</v>
      </c>
      <c r="BH513" s="2">
        <v>38060.86</v>
      </c>
      <c r="BI513" s="12">
        <v>33982.910000000003</v>
      </c>
      <c r="BJ513" s="2">
        <v>0</v>
      </c>
      <c r="BK513" s="5">
        <v>3171.74</v>
      </c>
      <c r="BL513" s="1" t="s">
        <v>302</v>
      </c>
    </row>
    <row r="514" spans="1:64" x14ac:dyDescent="0.3">
      <c r="A514" t="s">
        <v>964</v>
      </c>
      <c r="B514" s="1" t="s">
        <v>964</v>
      </c>
      <c r="C514" s="9" t="s">
        <v>965</v>
      </c>
      <c r="D514" s="1" t="s">
        <v>95</v>
      </c>
      <c r="E514" s="1" t="s">
        <v>88</v>
      </c>
      <c r="F514" s="10" t="s">
        <v>117</v>
      </c>
      <c r="G514" s="1">
        <v>0</v>
      </c>
      <c r="H514" s="1">
        <v>0</v>
      </c>
      <c r="I514" s="8">
        <v>45516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0</v>
      </c>
      <c r="U514" s="6">
        <v>0</v>
      </c>
      <c r="V514" s="6">
        <v>0</v>
      </c>
      <c r="W514" s="6">
        <v>0</v>
      </c>
      <c r="AI514" s="2">
        <v>698364.8</v>
      </c>
      <c r="AJ514" s="2">
        <v>143702</v>
      </c>
      <c r="AK514" s="2">
        <v>0</v>
      </c>
      <c r="AL514" s="2">
        <v>0</v>
      </c>
      <c r="AM514" s="5">
        <v>7518.46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8420.68</v>
      </c>
      <c r="AT514" s="12">
        <v>7518.46</v>
      </c>
      <c r="AU514" s="2">
        <v>0</v>
      </c>
      <c r="AV514" s="5">
        <v>4210.33</v>
      </c>
      <c r="AX514" s="2">
        <v>698364.8</v>
      </c>
      <c r="AY514" s="2">
        <v>143702</v>
      </c>
      <c r="AZ514" s="2">
        <v>0</v>
      </c>
      <c r="BA514" s="2">
        <v>0</v>
      </c>
      <c r="BB514" s="5">
        <v>7518.46</v>
      </c>
      <c r="BC514" s="12">
        <v>0</v>
      </c>
      <c r="BD514" s="2">
        <v>0</v>
      </c>
      <c r="BE514" s="2">
        <v>0</v>
      </c>
      <c r="BF514" s="2">
        <v>0</v>
      </c>
      <c r="BG514" s="5">
        <v>0</v>
      </c>
      <c r="BH514" s="2">
        <v>8420.68</v>
      </c>
      <c r="BI514" s="12">
        <v>7518.46</v>
      </c>
      <c r="BJ514" s="2">
        <v>0</v>
      </c>
      <c r="BK514" s="5">
        <v>4210.33</v>
      </c>
      <c r="BL514" s="1" t="s">
        <v>90</v>
      </c>
    </row>
    <row r="515" spans="1:64" x14ac:dyDescent="0.3">
      <c r="A515" t="s">
        <v>970</v>
      </c>
      <c r="B515" s="1" t="s">
        <v>970</v>
      </c>
      <c r="C515" s="9" t="s">
        <v>971</v>
      </c>
      <c r="D515" s="1" t="s">
        <v>95</v>
      </c>
      <c r="E515" s="1" t="s">
        <v>135</v>
      </c>
      <c r="F515" s="10" t="s">
        <v>435</v>
      </c>
      <c r="G515" s="1">
        <v>0</v>
      </c>
      <c r="H515" s="1">
        <v>0.05</v>
      </c>
      <c r="I515" s="8">
        <v>44051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0</v>
      </c>
      <c r="U515" s="6">
        <v>0</v>
      </c>
      <c r="V515" s="6">
        <v>0</v>
      </c>
      <c r="W515" s="6">
        <v>0</v>
      </c>
      <c r="AI515" s="2">
        <v>287307</v>
      </c>
      <c r="AJ515" s="2">
        <v>44360</v>
      </c>
      <c r="AK515" s="2">
        <v>12826.21</v>
      </c>
      <c r="AL515" s="2">
        <v>1980.36</v>
      </c>
      <c r="AM515" s="5">
        <v>2961.31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19900.03</v>
      </c>
      <c r="AT515" s="12">
        <v>17767.88</v>
      </c>
      <c r="AU515" s="2">
        <v>0</v>
      </c>
      <c r="AV515" s="5">
        <v>1658.34</v>
      </c>
      <c r="AX515" s="2">
        <v>287307</v>
      </c>
      <c r="AY515" s="2">
        <v>44360</v>
      </c>
      <c r="AZ515" s="2">
        <v>12826.21</v>
      </c>
      <c r="BA515" s="2">
        <v>1980.36</v>
      </c>
      <c r="BB515" s="5">
        <v>2961.31</v>
      </c>
      <c r="BC515" s="12">
        <v>0</v>
      </c>
      <c r="BD515" s="2">
        <v>0</v>
      </c>
      <c r="BE515" s="2">
        <v>0</v>
      </c>
      <c r="BF515" s="2">
        <v>0</v>
      </c>
      <c r="BG515" s="5">
        <v>0</v>
      </c>
      <c r="BH515" s="2">
        <v>19900.03</v>
      </c>
      <c r="BI515" s="12">
        <v>17767.88</v>
      </c>
      <c r="BJ515" s="2">
        <v>0</v>
      </c>
      <c r="BK515" s="5">
        <v>1658.34</v>
      </c>
      <c r="BL515" s="1" t="s">
        <v>137</v>
      </c>
    </row>
    <row r="516" spans="1:64" x14ac:dyDescent="0.3">
      <c r="A516" t="s">
        <v>974</v>
      </c>
      <c r="B516" s="1" t="s">
        <v>974</v>
      </c>
      <c r="C516" s="9" t="s">
        <v>975</v>
      </c>
      <c r="D516" s="1" t="s">
        <v>95</v>
      </c>
      <c r="E516" s="1" t="s">
        <v>135</v>
      </c>
      <c r="F516" s="10" t="s">
        <v>193</v>
      </c>
      <c r="G516" s="1">
        <v>0</v>
      </c>
      <c r="H516" s="1">
        <v>0.05</v>
      </c>
      <c r="I516" s="8">
        <v>44330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  <c r="T516" s="11">
        <v>0</v>
      </c>
      <c r="U516" s="6">
        <v>0</v>
      </c>
      <c r="V516" s="6">
        <v>0</v>
      </c>
      <c r="W516" s="6">
        <v>0</v>
      </c>
      <c r="AI516" s="2">
        <v>382004.25</v>
      </c>
      <c r="AJ516" s="2">
        <v>138722</v>
      </c>
      <c r="AK516" s="2">
        <v>17053.759999999998</v>
      </c>
      <c r="AL516" s="2">
        <v>6192.95</v>
      </c>
      <c r="AM516" s="5">
        <v>4649.34</v>
      </c>
      <c r="AN516" s="12">
        <v>0</v>
      </c>
      <c r="AO516" s="2">
        <v>0</v>
      </c>
      <c r="AP516" s="2">
        <v>0</v>
      </c>
      <c r="AQ516" s="2">
        <v>0</v>
      </c>
      <c r="AR516" s="5">
        <v>0</v>
      </c>
      <c r="AS516" s="2">
        <v>31243.58</v>
      </c>
      <c r="AT516" s="12">
        <v>27896.05</v>
      </c>
      <c r="AU516" s="2">
        <v>0</v>
      </c>
      <c r="AV516" s="5">
        <v>2603.63</v>
      </c>
      <c r="AX516" s="2">
        <v>382004.25</v>
      </c>
      <c r="AY516" s="2">
        <v>138722</v>
      </c>
      <c r="AZ516" s="2">
        <v>17053.759999999998</v>
      </c>
      <c r="BA516" s="2">
        <v>6192.95</v>
      </c>
      <c r="BB516" s="5">
        <v>4649.34</v>
      </c>
      <c r="BC516" s="12">
        <v>0</v>
      </c>
      <c r="BD516" s="2">
        <v>0</v>
      </c>
      <c r="BE516" s="2">
        <v>0</v>
      </c>
      <c r="BF516" s="2">
        <v>0</v>
      </c>
      <c r="BG516" s="5">
        <v>0</v>
      </c>
      <c r="BH516" s="2">
        <v>31243.58</v>
      </c>
      <c r="BI516" s="12">
        <v>27896.05</v>
      </c>
      <c r="BJ516" s="2">
        <v>0</v>
      </c>
      <c r="BK516" s="5">
        <v>2603.63</v>
      </c>
      <c r="BL516" s="1" t="s">
        <v>137</v>
      </c>
    </row>
    <row r="517" spans="1:64" x14ac:dyDescent="0.3">
      <c r="A517" t="s">
        <v>976</v>
      </c>
      <c r="B517" s="1" t="s">
        <v>976</v>
      </c>
      <c r="C517" s="9" t="s">
        <v>977</v>
      </c>
      <c r="D517" s="1" t="s">
        <v>95</v>
      </c>
      <c r="E517" s="1" t="s">
        <v>135</v>
      </c>
      <c r="F517" s="10" t="s">
        <v>193</v>
      </c>
      <c r="G517" s="1">
        <v>0</v>
      </c>
      <c r="H517" s="1">
        <v>0.05</v>
      </c>
      <c r="I517" s="8">
        <v>44441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0</v>
      </c>
      <c r="U517" s="6">
        <v>0</v>
      </c>
      <c r="V517" s="6">
        <v>0</v>
      </c>
      <c r="W517" s="6">
        <v>0</v>
      </c>
      <c r="AI517" s="2">
        <v>905522</v>
      </c>
      <c r="AJ517" s="2">
        <v>149212</v>
      </c>
      <c r="AK517" s="2">
        <v>40425.089999999997</v>
      </c>
      <c r="AL517" s="2">
        <v>6661.25</v>
      </c>
      <c r="AM517" s="5">
        <v>9417.27</v>
      </c>
      <c r="AN517" s="12">
        <v>0</v>
      </c>
      <c r="AO517" s="2">
        <v>0</v>
      </c>
      <c r="AP517" s="2">
        <v>0</v>
      </c>
      <c r="AQ517" s="2">
        <v>0</v>
      </c>
      <c r="AR517" s="5">
        <v>0</v>
      </c>
      <c r="AS517" s="2">
        <v>63284.04</v>
      </c>
      <c r="AT517" s="12">
        <v>56503.61</v>
      </c>
      <c r="AU517" s="2">
        <v>0</v>
      </c>
      <c r="AV517" s="5">
        <v>5273.67</v>
      </c>
      <c r="AX517" s="2">
        <v>905522</v>
      </c>
      <c r="AY517" s="2">
        <v>149212</v>
      </c>
      <c r="AZ517" s="2">
        <v>40425.089999999997</v>
      </c>
      <c r="BA517" s="2">
        <v>6661.25</v>
      </c>
      <c r="BB517" s="5">
        <v>9417.27</v>
      </c>
      <c r="BC517" s="12">
        <v>0</v>
      </c>
      <c r="BD517" s="2">
        <v>0</v>
      </c>
      <c r="BE517" s="2">
        <v>0</v>
      </c>
      <c r="BF517" s="2">
        <v>0</v>
      </c>
      <c r="BG517" s="5">
        <v>0</v>
      </c>
      <c r="BH517" s="2">
        <v>63284.04</v>
      </c>
      <c r="BI517" s="12">
        <v>56503.61</v>
      </c>
      <c r="BJ517" s="2">
        <v>0</v>
      </c>
      <c r="BK517" s="5">
        <v>5273.67</v>
      </c>
      <c r="BL517" s="1" t="s">
        <v>436</v>
      </c>
    </row>
    <row r="518" spans="1:64" x14ac:dyDescent="0.3">
      <c r="A518" t="s">
        <v>978</v>
      </c>
      <c r="B518" s="1" t="s">
        <v>978</v>
      </c>
      <c r="C518" s="9" t="s">
        <v>979</v>
      </c>
      <c r="D518" s="1" t="s">
        <v>95</v>
      </c>
      <c r="E518" s="1" t="s">
        <v>135</v>
      </c>
      <c r="F518" s="10" t="s">
        <v>193</v>
      </c>
      <c r="G518" s="1">
        <v>0</v>
      </c>
      <c r="H518" s="1">
        <v>0.05</v>
      </c>
      <c r="I518" s="8">
        <v>44239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0</v>
      </c>
      <c r="U518" s="6">
        <v>0</v>
      </c>
      <c r="V518" s="6">
        <v>0</v>
      </c>
      <c r="W518" s="6">
        <v>0</v>
      </c>
      <c r="AI518" s="2">
        <v>532861</v>
      </c>
      <c r="AJ518" s="2">
        <v>46901</v>
      </c>
      <c r="AK518" s="2">
        <v>23788.44</v>
      </c>
      <c r="AL518" s="2">
        <v>2093.79</v>
      </c>
      <c r="AM518" s="5">
        <v>5176.45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34785.72</v>
      </c>
      <c r="AT518" s="12">
        <v>31058.68</v>
      </c>
      <c r="AU518" s="2">
        <v>0</v>
      </c>
      <c r="AV518" s="5">
        <v>2898.81</v>
      </c>
      <c r="AX518" s="2">
        <v>532861</v>
      </c>
      <c r="AY518" s="2">
        <v>46901</v>
      </c>
      <c r="AZ518" s="2">
        <v>23788.44</v>
      </c>
      <c r="BA518" s="2">
        <v>2093.79</v>
      </c>
      <c r="BB518" s="5">
        <v>5176.45</v>
      </c>
      <c r="BC518" s="12">
        <v>0</v>
      </c>
      <c r="BD518" s="2">
        <v>0</v>
      </c>
      <c r="BE518" s="2">
        <v>0</v>
      </c>
      <c r="BF518" s="2">
        <v>0</v>
      </c>
      <c r="BG518" s="5">
        <v>0</v>
      </c>
      <c r="BH518" s="2">
        <v>34785.72</v>
      </c>
      <c r="BI518" s="12">
        <v>31058.68</v>
      </c>
      <c r="BJ518" s="2">
        <v>0</v>
      </c>
      <c r="BK518" s="5">
        <v>2898.81</v>
      </c>
      <c r="BL518" s="1" t="s">
        <v>137</v>
      </c>
    </row>
    <row r="519" spans="1:64" x14ac:dyDescent="0.3">
      <c r="A519" t="s">
        <v>980</v>
      </c>
      <c r="B519" s="1" t="s">
        <v>980</v>
      </c>
      <c r="C519" s="9" t="s">
        <v>981</v>
      </c>
      <c r="D519" s="1" t="s">
        <v>95</v>
      </c>
      <c r="E519" s="1" t="s">
        <v>135</v>
      </c>
      <c r="F519" s="10" t="s">
        <v>435</v>
      </c>
      <c r="G519" s="1">
        <v>0</v>
      </c>
      <c r="H519" s="1">
        <v>0.05</v>
      </c>
      <c r="I519" s="8">
        <v>44092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0</v>
      </c>
      <c r="U519" s="6">
        <v>0</v>
      </c>
      <c r="V519" s="6">
        <v>0</v>
      </c>
      <c r="W519" s="6">
        <v>0</v>
      </c>
      <c r="AI519" s="2">
        <v>950284</v>
      </c>
      <c r="AJ519" s="2">
        <v>128631</v>
      </c>
      <c r="AK519" s="2">
        <v>42423.39</v>
      </c>
      <c r="AL519" s="2">
        <v>5742.46</v>
      </c>
      <c r="AM519" s="5">
        <v>9633.17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64734.9</v>
      </c>
      <c r="AT519" s="12">
        <v>57799.02</v>
      </c>
      <c r="AU519" s="2">
        <v>0</v>
      </c>
      <c r="AV519" s="5">
        <v>5394.58</v>
      </c>
      <c r="AX519" s="2">
        <v>950284</v>
      </c>
      <c r="AY519" s="2">
        <v>128631</v>
      </c>
      <c r="AZ519" s="2">
        <v>42423.39</v>
      </c>
      <c r="BA519" s="2">
        <v>5742.46</v>
      </c>
      <c r="BB519" s="5">
        <v>9633.17</v>
      </c>
      <c r="BC519" s="12">
        <v>0</v>
      </c>
      <c r="BD519" s="2">
        <v>0</v>
      </c>
      <c r="BE519" s="2">
        <v>0</v>
      </c>
      <c r="BF519" s="2">
        <v>0</v>
      </c>
      <c r="BG519" s="5">
        <v>0</v>
      </c>
      <c r="BH519" s="2">
        <v>64734.9</v>
      </c>
      <c r="BI519" s="12">
        <v>57799.02</v>
      </c>
      <c r="BJ519" s="2">
        <v>0</v>
      </c>
      <c r="BK519" s="5">
        <v>5394.58</v>
      </c>
      <c r="BL519" s="1" t="s">
        <v>137</v>
      </c>
    </row>
    <row r="520" spans="1:64" x14ac:dyDescent="0.3">
      <c r="A520" t="s">
        <v>982</v>
      </c>
      <c r="B520" s="1" t="s">
        <v>982</v>
      </c>
      <c r="C520" s="9" t="s">
        <v>983</v>
      </c>
      <c r="D520" s="1" t="s">
        <v>95</v>
      </c>
      <c r="E520" s="1" t="s">
        <v>135</v>
      </c>
      <c r="F520" s="10" t="s">
        <v>435</v>
      </c>
      <c r="G520" s="1">
        <v>0</v>
      </c>
      <c r="H520" s="1">
        <v>0.05</v>
      </c>
      <c r="I520" s="8">
        <v>44170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0</v>
      </c>
      <c r="AI520" s="2">
        <v>502865</v>
      </c>
      <c r="AJ520" s="2">
        <v>130085</v>
      </c>
      <c r="AK520" s="2">
        <v>22449.33</v>
      </c>
      <c r="AL520" s="2">
        <v>5807.37</v>
      </c>
      <c r="AM520" s="5">
        <v>5651.34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37977</v>
      </c>
      <c r="AT520" s="12">
        <v>33908.04</v>
      </c>
      <c r="AU520" s="2">
        <v>0</v>
      </c>
      <c r="AV520" s="5">
        <v>3164.75</v>
      </c>
      <c r="AX520" s="2">
        <v>502865</v>
      </c>
      <c r="AY520" s="2">
        <v>130085</v>
      </c>
      <c r="AZ520" s="2">
        <v>22449.33</v>
      </c>
      <c r="BA520" s="2">
        <v>5807.37</v>
      </c>
      <c r="BB520" s="5">
        <v>5651.34</v>
      </c>
      <c r="BC520" s="12">
        <v>0</v>
      </c>
      <c r="BD520" s="2">
        <v>0</v>
      </c>
      <c r="BE520" s="2">
        <v>0</v>
      </c>
      <c r="BF520" s="2">
        <v>0</v>
      </c>
      <c r="BG520" s="5">
        <v>0</v>
      </c>
      <c r="BH520" s="2">
        <v>37977</v>
      </c>
      <c r="BI520" s="12">
        <v>33908.04</v>
      </c>
      <c r="BJ520" s="2">
        <v>0</v>
      </c>
      <c r="BK520" s="5">
        <v>3164.75</v>
      </c>
      <c r="BL520" s="1" t="s">
        <v>302</v>
      </c>
    </row>
    <row r="521" spans="1:64" x14ac:dyDescent="0.3">
      <c r="A521" t="s">
        <v>986</v>
      </c>
      <c r="B521" s="1" t="s">
        <v>986</v>
      </c>
      <c r="C521" s="9" t="s">
        <v>987</v>
      </c>
      <c r="D521" s="1" t="s">
        <v>95</v>
      </c>
      <c r="E521" s="1" t="s">
        <v>128</v>
      </c>
      <c r="F521" s="10" t="s">
        <v>988</v>
      </c>
      <c r="G521" s="1">
        <v>0</v>
      </c>
      <c r="H521" s="1">
        <v>0.05</v>
      </c>
      <c r="I521" s="8">
        <v>44204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0</v>
      </c>
      <c r="U521" s="6">
        <v>0</v>
      </c>
      <c r="V521" s="6">
        <v>0</v>
      </c>
      <c r="W521" s="6">
        <v>0</v>
      </c>
      <c r="AI521" s="2">
        <v>374883</v>
      </c>
      <c r="AJ521" s="2">
        <v>17330</v>
      </c>
      <c r="AK521" s="2">
        <v>16735.849999999999</v>
      </c>
      <c r="AL521" s="2">
        <v>773.66</v>
      </c>
      <c r="AM521" s="5">
        <v>3501.9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23532.78</v>
      </c>
      <c r="AT521" s="12">
        <v>21011.41</v>
      </c>
      <c r="AU521" s="2">
        <v>0</v>
      </c>
      <c r="AV521" s="5">
        <v>1961.06</v>
      </c>
      <c r="AX521" s="2">
        <v>374883</v>
      </c>
      <c r="AY521" s="2">
        <v>17330</v>
      </c>
      <c r="AZ521" s="2">
        <v>16735.849999999999</v>
      </c>
      <c r="BA521" s="2">
        <v>773.66</v>
      </c>
      <c r="BB521" s="5">
        <v>3501.9</v>
      </c>
      <c r="BC521" s="12">
        <v>0</v>
      </c>
      <c r="BD521" s="2">
        <v>0</v>
      </c>
      <c r="BE521" s="2">
        <v>0</v>
      </c>
      <c r="BF521" s="2">
        <v>0</v>
      </c>
      <c r="BG521" s="5">
        <v>0</v>
      </c>
      <c r="BH521" s="2">
        <v>23532.78</v>
      </c>
      <c r="BI521" s="12">
        <v>21011.41</v>
      </c>
      <c r="BJ521" s="2">
        <v>0</v>
      </c>
      <c r="BK521" s="5">
        <v>1961.06</v>
      </c>
      <c r="BL521" s="1" t="s">
        <v>130</v>
      </c>
    </row>
    <row r="522" spans="1:64" x14ac:dyDescent="0.3">
      <c r="A522" t="s">
        <v>989</v>
      </c>
      <c r="B522" s="1" t="s">
        <v>989</v>
      </c>
      <c r="C522" s="9" t="s">
        <v>990</v>
      </c>
      <c r="D522" s="1" t="s">
        <v>95</v>
      </c>
      <c r="E522" s="1" t="s">
        <v>128</v>
      </c>
      <c r="F522" s="10" t="s">
        <v>129</v>
      </c>
      <c r="G522" s="1">
        <v>0</v>
      </c>
      <c r="H522" s="1">
        <v>0.05</v>
      </c>
      <c r="I522" s="8">
        <v>44482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0</v>
      </c>
      <c r="U522" s="6">
        <v>0</v>
      </c>
      <c r="V522" s="6">
        <v>0</v>
      </c>
      <c r="W522" s="6">
        <v>0</v>
      </c>
      <c r="AI522" s="2">
        <v>561995</v>
      </c>
      <c r="AJ522" s="2">
        <v>41535</v>
      </c>
      <c r="AK522" s="2">
        <v>25089.06</v>
      </c>
      <c r="AL522" s="2">
        <v>1854.24</v>
      </c>
      <c r="AM522" s="5">
        <v>5388.66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36211.800000000003</v>
      </c>
      <c r="AT522" s="12">
        <v>32331.960000000003</v>
      </c>
      <c r="AU522" s="2">
        <v>0</v>
      </c>
      <c r="AV522" s="5">
        <v>3017.65</v>
      </c>
      <c r="AX522" s="2">
        <v>561995</v>
      </c>
      <c r="AY522" s="2">
        <v>41535</v>
      </c>
      <c r="AZ522" s="2">
        <v>25089.06</v>
      </c>
      <c r="BA522" s="2">
        <v>1854.24</v>
      </c>
      <c r="BB522" s="5">
        <v>5388.66</v>
      </c>
      <c r="BC522" s="12">
        <v>0</v>
      </c>
      <c r="BD522" s="2">
        <v>0</v>
      </c>
      <c r="BE522" s="2">
        <v>0</v>
      </c>
      <c r="BF522" s="2">
        <v>0</v>
      </c>
      <c r="BG522" s="5">
        <v>0</v>
      </c>
      <c r="BH522" s="2">
        <v>36211.800000000003</v>
      </c>
      <c r="BI522" s="12">
        <v>32331.960000000003</v>
      </c>
      <c r="BJ522" s="2">
        <v>0</v>
      </c>
      <c r="BK522" s="5">
        <v>3017.65</v>
      </c>
      <c r="BL522" s="1" t="s">
        <v>130</v>
      </c>
    </row>
    <row r="523" spans="1:64" x14ac:dyDescent="0.3">
      <c r="A523" t="s">
        <v>991</v>
      </c>
      <c r="B523" s="1" t="s">
        <v>991</v>
      </c>
      <c r="C523" s="9" t="s">
        <v>992</v>
      </c>
      <c r="D523" s="1" t="s">
        <v>95</v>
      </c>
      <c r="E523" s="1" t="s">
        <v>128</v>
      </c>
      <c r="F523" s="10" t="s">
        <v>355</v>
      </c>
      <c r="G523" s="1">
        <v>0</v>
      </c>
      <c r="H523" s="1">
        <v>0.05</v>
      </c>
      <c r="I523" s="8">
        <v>44326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0</v>
      </c>
      <c r="U523" s="6">
        <v>0</v>
      </c>
      <c r="V523" s="6">
        <v>0</v>
      </c>
      <c r="W523" s="6">
        <v>0</v>
      </c>
      <c r="AI523" s="2">
        <v>415793</v>
      </c>
      <c r="AJ523" s="2">
        <v>34040</v>
      </c>
      <c r="AK523" s="2">
        <v>18562.189999999999</v>
      </c>
      <c r="AL523" s="2">
        <v>1519.64</v>
      </c>
      <c r="AM523" s="5">
        <v>4016.37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26989.98</v>
      </c>
      <c r="AT523" s="12">
        <v>24098.199999999997</v>
      </c>
      <c r="AU523" s="2">
        <v>0</v>
      </c>
      <c r="AV523" s="5">
        <v>2249.16</v>
      </c>
      <c r="AX523" s="2">
        <v>415793</v>
      </c>
      <c r="AY523" s="2">
        <v>34040</v>
      </c>
      <c r="AZ523" s="2">
        <v>18562.189999999999</v>
      </c>
      <c r="BA523" s="2">
        <v>1519.64</v>
      </c>
      <c r="BB523" s="5">
        <v>4016.37</v>
      </c>
      <c r="BC523" s="12">
        <v>0</v>
      </c>
      <c r="BD523" s="2">
        <v>0</v>
      </c>
      <c r="BE523" s="2">
        <v>0</v>
      </c>
      <c r="BF523" s="2">
        <v>0</v>
      </c>
      <c r="BG523" s="5">
        <v>0</v>
      </c>
      <c r="BH523" s="2">
        <v>26989.98</v>
      </c>
      <c r="BI523" s="12">
        <v>24098.199999999997</v>
      </c>
      <c r="BJ523" s="2">
        <v>0</v>
      </c>
      <c r="BK523" s="5">
        <v>2249.16</v>
      </c>
      <c r="BL523" s="1" t="s">
        <v>130</v>
      </c>
    </row>
    <row r="524" spans="1:64" x14ac:dyDescent="0.3">
      <c r="A524" t="s">
        <v>991</v>
      </c>
      <c r="B524" s="1" t="s">
        <v>993</v>
      </c>
      <c r="C524" s="9" t="s">
        <v>994</v>
      </c>
      <c r="D524" s="1" t="s">
        <v>95</v>
      </c>
      <c r="E524" s="1" t="s">
        <v>128</v>
      </c>
      <c r="F524" s="10" t="s">
        <v>355</v>
      </c>
      <c r="G524" s="1">
        <v>0</v>
      </c>
      <c r="H524" s="1">
        <v>0.05</v>
      </c>
      <c r="I524" s="8">
        <v>44680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0</v>
      </c>
      <c r="U524" s="6">
        <v>0</v>
      </c>
      <c r="V524" s="6">
        <v>0</v>
      </c>
      <c r="W524" s="6">
        <v>0</v>
      </c>
      <c r="AI524" s="2">
        <v>0</v>
      </c>
      <c r="AJ524" s="2">
        <v>0</v>
      </c>
      <c r="AK524" s="2">
        <v>0</v>
      </c>
      <c r="AL524" s="2">
        <v>0</v>
      </c>
      <c r="AM524" s="5">
        <v>0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0</v>
      </c>
      <c r="AT524" s="12">
        <v>0</v>
      </c>
      <c r="AU524" s="2">
        <v>0</v>
      </c>
      <c r="AV524" s="5">
        <v>0</v>
      </c>
      <c r="AX524" s="2">
        <v>0</v>
      </c>
      <c r="AY524" s="2">
        <v>0</v>
      </c>
      <c r="AZ524" s="2">
        <v>0</v>
      </c>
      <c r="BA524" s="2">
        <v>0</v>
      </c>
      <c r="BB524" s="5">
        <v>0</v>
      </c>
      <c r="BC524" s="12">
        <v>0</v>
      </c>
      <c r="BD524" s="2">
        <v>0</v>
      </c>
      <c r="BE524" s="2">
        <v>0</v>
      </c>
      <c r="BF524" s="2">
        <v>0</v>
      </c>
      <c r="BG524" s="5">
        <v>0</v>
      </c>
      <c r="BH524" s="2">
        <v>0</v>
      </c>
      <c r="BI524" s="12">
        <v>0</v>
      </c>
      <c r="BJ524" s="2">
        <v>0</v>
      </c>
      <c r="BK524" s="5">
        <v>0</v>
      </c>
      <c r="BL524" s="1" t="s">
        <v>130</v>
      </c>
    </row>
    <row r="525" spans="1:64" x14ac:dyDescent="0.3">
      <c r="A525" t="s">
        <v>991</v>
      </c>
      <c r="B525" s="1" t="s">
        <v>995</v>
      </c>
      <c r="C525" s="9" t="s">
        <v>996</v>
      </c>
      <c r="D525" s="1" t="s">
        <v>95</v>
      </c>
      <c r="E525" s="1" t="s">
        <v>128</v>
      </c>
      <c r="F525" s="10" t="s">
        <v>355</v>
      </c>
      <c r="G525" s="1">
        <v>0</v>
      </c>
      <c r="H525" s="1">
        <v>0.05</v>
      </c>
      <c r="I525" s="8">
        <v>45227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0</v>
      </c>
      <c r="U525" s="6">
        <v>0</v>
      </c>
      <c r="V525" s="6">
        <v>0</v>
      </c>
      <c r="W525" s="6">
        <v>0</v>
      </c>
      <c r="AI525" s="2">
        <v>117174</v>
      </c>
      <c r="AJ525" s="2">
        <v>26268</v>
      </c>
      <c r="AK525" s="2">
        <v>5230.9799999999996</v>
      </c>
      <c r="AL525" s="2">
        <v>1172.68</v>
      </c>
      <c r="AM525" s="5">
        <v>1280.73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8606.52</v>
      </c>
      <c r="AT525" s="12">
        <v>7684.3899999999994</v>
      </c>
      <c r="AU525" s="2">
        <v>0</v>
      </c>
      <c r="AV525" s="5">
        <v>717.21</v>
      </c>
      <c r="AX525" s="2">
        <v>117174</v>
      </c>
      <c r="AY525" s="2">
        <v>26268</v>
      </c>
      <c r="AZ525" s="2">
        <v>5230.9799999999996</v>
      </c>
      <c r="BA525" s="2">
        <v>1172.68</v>
      </c>
      <c r="BB525" s="5">
        <v>1280.73</v>
      </c>
      <c r="BC525" s="12">
        <v>0</v>
      </c>
      <c r="BD525" s="2">
        <v>0</v>
      </c>
      <c r="BE525" s="2">
        <v>0</v>
      </c>
      <c r="BF525" s="2">
        <v>0</v>
      </c>
      <c r="BG525" s="5">
        <v>0</v>
      </c>
      <c r="BH525" s="2">
        <v>8606.52</v>
      </c>
      <c r="BI525" s="12">
        <v>7684.3899999999994</v>
      </c>
      <c r="BJ525" s="2">
        <v>0</v>
      </c>
      <c r="BK525" s="5">
        <v>717.21</v>
      </c>
      <c r="BL525" s="1" t="s">
        <v>130</v>
      </c>
    </row>
    <row r="526" spans="1:64" x14ac:dyDescent="0.3">
      <c r="A526" t="s">
        <v>991</v>
      </c>
      <c r="B526" s="1" t="s">
        <v>997</v>
      </c>
      <c r="C526" s="9" t="s">
        <v>998</v>
      </c>
      <c r="D526" s="1" t="s">
        <v>95</v>
      </c>
      <c r="E526" s="1" t="s">
        <v>128</v>
      </c>
      <c r="F526" s="10" t="s">
        <v>355</v>
      </c>
      <c r="G526" s="1">
        <v>0</v>
      </c>
      <c r="H526" s="1">
        <v>0.05</v>
      </c>
      <c r="I526" s="8">
        <v>45315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0</v>
      </c>
      <c r="U526" s="6">
        <v>0</v>
      </c>
      <c r="V526" s="6">
        <v>0</v>
      </c>
      <c r="W526" s="6">
        <v>0</v>
      </c>
      <c r="AI526" s="2">
        <v>104734</v>
      </c>
      <c r="AJ526" s="2">
        <v>6650</v>
      </c>
      <c r="AK526" s="2">
        <v>4675.62</v>
      </c>
      <c r="AL526" s="2">
        <v>296.88</v>
      </c>
      <c r="AM526" s="5">
        <v>994.5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6683.04</v>
      </c>
      <c r="AT526" s="12">
        <v>5967</v>
      </c>
      <c r="AU526" s="2">
        <v>0</v>
      </c>
      <c r="AV526" s="5">
        <v>556.91999999999996</v>
      </c>
      <c r="AX526" s="2">
        <v>104734</v>
      </c>
      <c r="AY526" s="2">
        <v>6650</v>
      </c>
      <c r="AZ526" s="2">
        <v>4675.62</v>
      </c>
      <c r="BA526" s="2">
        <v>296.88</v>
      </c>
      <c r="BB526" s="5">
        <v>994.5</v>
      </c>
      <c r="BC526" s="12">
        <v>0</v>
      </c>
      <c r="BD526" s="2">
        <v>0</v>
      </c>
      <c r="BE526" s="2">
        <v>0</v>
      </c>
      <c r="BF526" s="2">
        <v>0</v>
      </c>
      <c r="BG526" s="5">
        <v>0</v>
      </c>
      <c r="BH526" s="2">
        <v>6683.04</v>
      </c>
      <c r="BI526" s="12">
        <v>5967</v>
      </c>
      <c r="BJ526" s="2">
        <v>0</v>
      </c>
      <c r="BK526" s="5">
        <v>556.91999999999996</v>
      </c>
      <c r="BL526" s="1" t="s">
        <v>130</v>
      </c>
    </row>
    <row r="527" spans="1:64" x14ac:dyDescent="0.3">
      <c r="A527" t="s">
        <v>1005</v>
      </c>
      <c r="B527" s="1" t="s">
        <v>1005</v>
      </c>
      <c r="C527" s="9" t="s">
        <v>1006</v>
      </c>
      <c r="D527" s="1" t="s">
        <v>95</v>
      </c>
      <c r="E527" s="1" t="s">
        <v>135</v>
      </c>
      <c r="F527" s="10" t="s">
        <v>435</v>
      </c>
      <c r="G527" s="1">
        <v>0</v>
      </c>
      <c r="H527" s="1">
        <v>0.05</v>
      </c>
      <c r="I527" s="8">
        <v>44354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  <c r="T527" s="11">
        <v>0</v>
      </c>
      <c r="U527" s="6">
        <v>0</v>
      </c>
      <c r="V527" s="6">
        <v>0</v>
      </c>
      <c r="W527" s="6">
        <v>0</v>
      </c>
      <c r="AI527" s="2">
        <v>327238</v>
      </c>
      <c r="AJ527" s="2">
        <v>86955</v>
      </c>
      <c r="AK527" s="2">
        <v>14608.84</v>
      </c>
      <c r="AL527" s="2">
        <v>3881.92</v>
      </c>
      <c r="AM527" s="5">
        <v>3698.15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24851.58</v>
      </c>
      <c r="AT527" s="12">
        <v>22188.910000000003</v>
      </c>
      <c r="AU527" s="2">
        <v>0</v>
      </c>
      <c r="AV527" s="5">
        <v>2070.96</v>
      </c>
      <c r="AX527" s="2">
        <v>327238</v>
      </c>
      <c r="AY527" s="2">
        <v>86955</v>
      </c>
      <c r="AZ527" s="2">
        <v>14608.84</v>
      </c>
      <c r="BA527" s="2">
        <v>3881.92</v>
      </c>
      <c r="BB527" s="5">
        <v>3698.15</v>
      </c>
      <c r="BC527" s="12">
        <v>0</v>
      </c>
      <c r="BD527" s="2">
        <v>0</v>
      </c>
      <c r="BE527" s="2">
        <v>0</v>
      </c>
      <c r="BF527" s="2">
        <v>0</v>
      </c>
      <c r="BG527" s="5">
        <v>0</v>
      </c>
      <c r="BH527" s="2">
        <v>24851.58</v>
      </c>
      <c r="BI527" s="12">
        <v>22188.910000000003</v>
      </c>
      <c r="BJ527" s="2">
        <v>0</v>
      </c>
      <c r="BK527" s="5">
        <v>2070.96</v>
      </c>
      <c r="BL527" s="1" t="s">
        <v>137</v>
      </c>
    </row>
    <row r="528" spans="1:64" x14ac:dyDescent="0.3">
      <c r="A528" t="s">
        <v>1007</v>
      </c>
      <c r="B528" s="1" t="s">
        <v>1007</v>
      </c>
      <c r="C528" s="9" t="s">
        <v>1008</v>
      </c>
      <c r="D528" s="1" t="s">
        <v>95</v>
      </c>
      <c r="E528" s="1" t="s">
        <v>135</v>
      </c>
      <c r="F528" s="10" t="s">
        <v>435</v>
      </c>
      <c r="G528" s="1">
        <v>0</v>
      </c>
      <c r="H528" s="1">
        <v>0.05</v>
      </c>
      <c r="I528" s="8">
        <v>44361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0</v>
      </c>
      <c r="U528" s="6">
        <v>0</v>
      </c>
      <c r="V528" s="6">
        <v>0</v>
      </c>
      <c r="W528" s="6">
        <v>0</v>
      </c>
      <c r="AI528" s="2">
        <v>340951</v>
      </c>
      <c r="AJ528" s="2">
        <v>106371</v>
      </c>
      <c r="AK528" s="2">
        <v>15221.03</v>
      </c>
      <c r="AL528" s="2">
        <v>4748.71</v>
      </c>
      <c r="AM528" s="5">
        <v>3993.95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26839.33</v>
      </c>
      <c r="AT528" s="12">
        <v>23963.690000000002</v>
      </c>
      <c r="AU528" s="2">
        <v>0</v>
      </c>
      <c r="AV528" s="5">
        <v>2236.61</v>
      </c>
      <c r="AX528" s="2">
        <v>340951</v>
      </c>
      <c r="AY528" s="2">
        <v>106371</v>
      </c>
      <c r="AZ528" s="2">
        <v>15221.03</v>
      </c>
      <c r="BA528" s="2">
        <v>4748.71</v>
      </c>
      <c r="BB528" s="5">
        <v>3993.95</v>
      </c>
      <c r="BC528" s="12">
        <v>0</v>
      </c>
      <c r="BD528" s="2">
        <v>0</v>
      </c>
      <c r="BE528" s="2">
        <v>0</v>
      </c>
      <c r="BF528" s="2">
        <v>0</v>
      </c>
      <c r="BG528" s="5">
        <v>0</v>
      </c>
      <c r="BH528" s="2">
        <v>26839.33</v>
      </c>
      <c r="BI528" s="12">
        <v>23963.690000000002</v>
      </c>
      <c r="BJ528" s="2">
        <v>0</v>
      </c>
      <c r="BK528" s="5">
        <v>2236.61</v>
      </c>
      <c r="BL528" s="1" t="s">
        <v>137</v>
      </c>
    </row>
    <row r="529" spans="1:64" x14ac:dyDescent="0.3">
      <c r="A529" t="s">
        <v>1015</v>
      </c>
      <c r="B529" s="1" t="s">
        <v>1015</v>
      </c>
      <c r="C529" s="9" t="s">
        <v>1016</v>
      </c>
      <c r="D529" s="1" t="s">
        <v>95</v>
      </c>
      <c r="E529" s="1" t="s">
        <v>128</v>
      </c>
      <c r="F529" s="10" t="s">
        <v>147</v>
      </c>
      <c r="G529" s="1">
        <v>4.4999999999999998E-2</v>
      </c>
      <c r="H529" s="1">
        <v>0.05</v>
      </c>
      <c r="I529" s="8">
        <v>45559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0</v>
      </c>
      <c r="P529" s="6">
        <v>0</v>
      </c>
      <c r="Q529" s="6">
        <v>0</v>
      </c>
      <c r="R529" s="6">
        <v>0</v>
      </c>
      <c r="S529" s="7">
        <v>0</v>
      </c>
      <c r="T529" s="11">
        <v>0</v>
      </c>
      <c r="U529" s="6">
        <v>0</v>
      </c>
      <c r="V529" s="6">
        <v>0</v>
      </c>
      <c r="W529" s="6">
        <v>0</v>
      </c>
      <c r="AI529" s="2">
        <v>317313</v>
      </c>
      <c r="AJ529" s="2">
        <v>20230</v>
      </c>
      <c r="AK529" s="2">
        <v>14165.76</v>
      </c>
      <c r="AL529" s="2">
        <v>903.12</v>
      </c>
      <c r="AM529" s="5">
        <v>3013.78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20252.580000000002</v>
      </c>
      <c r="AT529" s="12">
        <v>18082.66</v>
      </c>
      <c r="AU529" s="2">
        <v>0</v>
      </c>
      <c r="AV529" s="5">
        <v>1687.72</v>
      </c>
      <c r="AX529" s="2">
        <v>317313</v>
      </c>
      <c r="AY529" s="2">
        <v>20230</v>
      </c>
      <c r="AZ529" s="2">
        <v>14165.76</v>
      </c>
      <c r="BA529" s="2">
        <v>903.12</v>
      </c>
      <c r="BB529" s="5">
        <v>3013.78</v>
      </c>
      <c r="BC529" s="12">
        <v>0</v>
      </c>
      <c r="BD529" s="2">
        <v>0</v>
      </c>
      <c r="BE529" s="2">
        <v>0</v>
      </c>
      <c r="BF529" s="2">
        <v>0</v>
      </c>
      <c r="BG529" s="5">
        <v>0</v>
      </c>
      <c r="BH529" s="2">
        <v>20252.580000000002</v>
      </c>
      <c r="BI529" s="12">
        <v>18082.66</v>
      </c>
      <c r="BJ529" s="2">
        <v>0</v>
      </c>
      <c r="BK529" s="5">
        <v>1687.72</v>
      </c>
      <c r="BL529" s="1" t="s">
        <v>130</v>
      </c>
    </row>
    <row r="530" spans="1:64" x14ac:dyDescent="0.3">
      <c r="A530" t="s">
        <v>1015</v>
      </c>
      <c r="B530" s="1" t="s">
        <v>1017</v>
      </c>
      <c r="C530" s="9" t="s">
        <v>1018</v>
      </c>
      <c r="D530" s="1" t="s">
        <v>95</v>
      </c>
      <c r="E530" s="1" t="s">
        <v>128</v>
      </c>
      <c r="F530" s="10" t="s">
        <v>355</v>
      </c>
      <c r="G530" s="1">
        <v>0</v>
      </c>
      <c r="H530" s="1">
        <v>0.05</v>
      </c>
      <c r="I530" s="8">
        <v>45559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0</v>
      </c>
      <c r="P530" s="6">
        <v>0</v>
      </c>
      <c r="Q530" s="6">
        <v>0</v>
      </c>
      <c r="R530" s="6">
        <v>0</v>
      </c>
      <c r="S530" s="7">
        <v>0</v>
      </c>
      <c r="T530" s="11">
        <v>0</v>
      </c>
      <c r="U530" s="6">
        <v>0</v>
      </c>
      <c r="V530" s="6">
        <v>0</v>
      </c>
      <c r="W530" s="6">
        <v>0</v>
      </c>
      <c r="AI530" s="2">
        <v>451028</v>
      </c>
      <c r="AJ530" s="2">
        <v>13130</v>
      </c>
      <c r="AK530" s="2">
        <v>20135.18</v>
      </c>
      <c r="AL530" s="2">
        <v>586.16</v>
      </c>
      <c r="AM530" s="5">
        <v>4144.2700000000004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27849.48</v>
      </c>
      <c r="AT530" s="12">
        <v>24865.61</v>
      </c>
      <c r="AU530" s="2">
        <v>0</v>
      </c>
      <c r="AV530" s="5">
        <v>2320.79</v>
      </c>
      <c r="AX530" s="2">
        <v>451028</v>
      </c>
      <c r="AY530" s="2">
        <v>13130</v>
      </c>
      <c r="AZ530" s="2">
        <v>20135.18</v>
      </c>
      <c r="BA530" s="2">
        <v>586.16</v>
      </c>
      <c r="BB530" s="5">
        <v>4144.2700000000004</v>
      </c>
      <c r="BC530" s="12">
        <v>0</v>
      </c>
      <c r="BD530" s="2">
        <v>0</v>
      </c>
      <c r="BE530" s="2">
        <v>0</v>
      </c>
      <c r="BF530" s="2">
        <v>0</v>
      </c>
      <c r="BG530" s="5">
        <v>0</v>
      </c>
      <c r="BH530" s="2">
        <v>27849.48</v>
      </c>
      <c r="BI530" s="12">
        <v>24865.61</v>
      </c>
      <c r="BJ530" s="2">
        <v>0</v>
      </c>
      <c r="BK530" s="5">
        <v>2320.79</v>
      </c>
      <c r="BL530" s="1" t="s">
        <v>130</v>
      </c>
    </row>
    <row r="531" spans="1:64" x14ac:dyDescent="0.3">
      <c r="A531" t="s">
        <v>1033</v>
      </c>
      <c r="B531" s="1" t="s">
        <v>1033</v>
      </c>
      <c r="C531" s="9" t="s">
        <v>1034</v>
      </c>
      <c r="D531" s="1" t="s">
        <v>95</v>
      </c>
      <c r="E531" s="1" t="s">
        <v>135</v>
      </c>
      <c r="F531" s="10" t="s">
        <v>435</v>
      </c>
      <c r="G531" s="1">
        <v>0</v>
      </c>
      <c r="H531" s="1">
        <v>0.05</v>
      </c>
      <c r="I531" s="8">
        <v>44497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  <c r="T531" s="11">
        <v>0</v>
      </c>
      <c r="U531" s="6">
        <v>0</v>
      </c>
      <c r="V531" s="6">
        <v>0</v>
      </c>
      <c r="W531" s="6">
        <v>0</v>
      </c>
      <c r="AI531" s="2">
        <v>458704</v>
      </c>
      <c r="AJ531" s="2">
        <v>105901</v>
      </c>
      <c r="AK531" s="2">
        <v>20477.86</v>
      </c>
      <c r="AL531" s="2">
        <v>4727.72</v>
      </c>
      <c r="AM531" s="5">
        <v>5041.12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33876.300000000003</v>
      </c>
      <c r="AT531" s="12">
        <v>30246.7</v>
      </c>
      <c r="AU531" s="2">
        <v>0</v>
      </c>
      <c r="AV531" s="5">
        <v>2823.02</v>
      </c>
      <c r="AX531" s="2">
        <v>458704</v>
      </c>
      <c r="AY531" s="2">
        <v>105901</v>
      </c>
      <c r="AZ531" s="2">
        <v>20477.86</v>
      </c>
      <c r="BA531" s="2">
        <v>4727.72</v>
      </c>
      <c r="BB531" s="5">
        <v>5041.12</v>
      </c>
      <c r="BC531" s="12">
        <v>0</v>
      </c>
      <c r="BD531" s="2">
        <v>0</v>
      </c>
      <c r="BE531" s="2">
        <v>0</v>
      </c>
      <c r="BF531" s="2">
        <v>0</v>
      </c>
      <c r="BG531" s="5">
        <v>0</v>
      </c>
      <c r="BH531" s="2">
        <v>33876.300000000003</v>
      </c>
      <c r="BI531" s="12">
        <v>30246.7</v>
      </c>
      <c r="BJ531" s="2">
        <v>0</v>
      </c>
      <c r="BK531" s="5">
        <v>2823.02</v>
      </c>
      <c r="BL531" s="1" t="s">
        <v>137</v>
      </c>
    </row>
    <row r="532" spans="1:64" x14ac:dyDescent="0.3">
      <c r="A532" t="s">
        <v>1035</v>
      </c>
      <c r="B532" s="1" t="s">
        <v>1035</v>
      </c>
      <c r="C532" s="9" t="s">
        <v>1036</v>
      </c>
      <c r="D532" s="1" t="s">
        <v>95</v>
      </c>
      <c r="E532" s="1" t="s">
        <v>135</v>
      </c>
      <c r="F532" s="10" t="s">
        <v>435</v>
      </c>
      <c r="G532" s="1">
        <v>0</v>
      </c>
      <c r="H532" s="1">
        <v>0.05</v>
      </c>
      <c r="I532" s="8">
        <v>44540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0</v>
      </c>
      <c r="U532" s="6">
        <v>0</v>
      </c>
      <c r="V532" s="6">
        <v>0</v>
      </c>
      <c r="W532" s="6">
        <v>0</v>
      </c>
      <c r="AI532" s="2">
        <v>334788</v>
      </c>
      <c r="AJ532" s="2">
        <v>50210</v>
      </c>
      <c r="AK532" s="2">
        <v>14945.89</v>
      </c>
      <c r="AL532" s="2">
        <v>2241.52</v>
      </c>
      <c r="AM532" s="5">
        <v>3437.48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23099.88</v>
      </c>
      <c r="AT532" s="12">
        <v>20624.89</v>
      </c>
      <c r="AU532" s="2">
        <v>0</v>
      </c>
      <c r="AV532" s="5">
        <v>1924.99</v>
      </c>
      <c r="AX532" s="2">
        <v>334788</v>
      </c>
      <c r="AY532" s="2">
        <v>50210</v>
      </c>
      <c r="AZ532" s="2">
        <v>14945.89</v>
      </c>
      <c r="BA532" s="2">
        <v>2241.52</v>
      </c>
      <c r="BB532" s="5">
        <v>3437.48</v>
      </c>
      <c r="BC532" s="12">
        <v>0</v>
      </c>
      <c r="BD532" s="2">
        <v>0</v>
      </c>
      <c r="BE532" s="2">
        <v>0</v>
      </c>
      <c r="BF532" s="2">
        <v>0</v>
      </c>
      <c r="BG532" s="5">
        <v>0</v>
      </c>
      <c r="BH532" s="2">
        <v>23099.88</v>
      </c>
      <c r="BI532" s="12">
        <v>20624.89</v>
      </c>
      <c r="BJ532" s="2">
        <v>0</v>
      </c>
      <c r="BK532" s="5">
        <v>1924.99</v>
      </c>
      <c r="BL532" s="1" t="s">
        <v>137</v>
      </c>
    </row>
    <row r="533" spans="1:64" x14ac:dyDescent="0.3">
      <c r="A533" t="s">
        <v>1037</v>
      </c>
      <c r="B533" s="1" t="s">
        <v>1037</v>
      </c>
      <c r="C533" s="9" t="s">
        <v>1038</v>
      </c>
      <c r="D533" s="1" t="s">
        <v>95</v>
      </c>
      <c r="E533" s="1" t="s">
        <v>135</v>
      </c>
      <c r="F533" s="10" t="s">
        <v>435</v>
      </c>
      <c r="G533" s="1">
        <v>0</v>
      </c>
      <c r="H533" s="1">
        <v>0.05</v>
      </c>
      <c r="I533" s="8">
        <v>44642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  <c r="T533" s="11">
        <v>0</v>
      </c>
      <c r="U533" s="6">
        <v>0</v>
      </c>
      <c r="V533" s="6">
        <v>0</v>
      </c>
      <c r="W533" s="6">
        <v>0</v>
      </c>
      <c r="AI533" s="2">
        <v>406486</v>
      </c>
      <c r="AJ533" s="2">
        <v>73030</v>
      </c>
      <c r="AK533" s="2">
        <v>18146.7</v>
      </c>
      <c r="AL533" s="2">
        <v>3260.27</v>
      </c>
      <c r="AM533" s="5">
        <v>4281.3900000000003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28770.959999999999</v>
      </c>
      <c r="AT533" s="12">
        <v>25688.36</v>
      </c>
      <c r="AU533" s="2">
        <v>0</v>
      </c>
      <c r="AV533" s="5">
        <v>2397.58</v>
      </c>
      <c r="AX533" s="2">
        <v>406486</v>
      </c>
      <c r="AY533" s="2">
        <v>73030</v>
      </c>
      <c r="AZ533" s="2">
        <v>18146.7</v>
      </c>
      <c r="BA533" s="2">
        <v>3260.27</v>
      </c>
      <c r="BB533" s="5">
        <v>4281.3900000000003</v>
      </c>
      <c r="BC533" s="12">
        <v>0</v>
      </c>
      <c r="BD533" s="2">
        <v>0</v>
      </c>
      <c r="BE533" s="2">
        <v>0</v>
      </c>
      <c r="BF533" s="2">
        <v>0</v>
      </c>
      <c r="BG533" s="5">
        <v>0</v>
      </c>
      <c r="BH533" s="2">
        <v>28770.959999999999</v>
      </c>
      <c r="BI533" s="12">
        <v>25688.36</v>
      </c>
      <c r="BJ533" s="2">
        <v>0</v>
      </c>
      <c r="BK533" s="5">
        <v>2397.58</v>
      </c>
      <c r="BL533" s="1" t="s">
        <v>137</v>
      </c>
    </row>
    <row r="534" spans="1:64" x14ac:dyDescent="0.3">
      <c r="A534" t="s">
        <v>1039</v>
      </c>
      <c r="B534" s="1" t="s">
        <v>1039</v>
      </c>
      <c r="C534" s="9" t="s">
        <v>1040</v>
      </c>
      <c r="D534" s="1" t="s">
        <v>95</v>
      </c>
      <c r="E534" s="1" t="s">
        <v>135</v>
      </c>
      <c r="F534" s="10" t="s">
        <v>193</v>
      </c>
      <c r="G534" s="1">
        <v>0</v>
      </c>
      <c r="H534" s="1">
        <v>0.05</v>
      </c>
      <c r="I534" s="8">
        <v>44572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0</v>
      </c>
      <c r="U534" s="6">
        <v>0</v>
      </c>
      <c r="V534" s="6">
        <v>0</v>
      </c>
      <c r="W534" s="6">
        <v>0</v>
      </c>
      <c r="AI534" s="2">
        <v>333406.5</v>
      </c>
      <c r="AJ534" s="2">
        <v>102455</v>
      </c>
      <c r="AK534" s="2">
        <v>14884.21</v>
      </c>
      <c r="AL534" s="2">
        <v>4573.88</v>
      </c>
      <c r="AM534" s="5">
        <v>3891.62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26151.68</v>
      </c>
      <c r="AT534" s="12">
        <v>23349.71</v>
      </c>
      <c r="AU534" s="2">
        <v>0</v>
      </c>
      <c r="AV534" s="5">
        <v>2179.31</v>
      </c>
      <c r="AX534" s="2">
        <v>333406.5</v>
      </c>
      <c r="AY534" s="2">
        <v>102455</v>
      </c>
      <c r="AZ534" s="2">
        <v>14884.21</v>
      </c>
      <c r="BA534" s="2">
        <v>4573.88</v>
      </c>
      <c r="BB534" s="5">
        <v>3891.62</v>
      </c>
      <c r="BC534" s="12">
        <v>0</v>
      </c>
      <c r="BD534" s="2">
        <v>0</v>
      </c>
      <c r="BE534" s="2">
        <v>0</v>
      </c>
      <c r="BF534" s="2">
        <v>0</v>
      </c>
      <c r="BG534" s="5">
        <v>0</v>
      </c>
      <c r="BH534" s="2">
        <v>26151.68</v>
      </c>
      <c r="BI534" s="12">
        <v>23349.71</v>
      </c>
      <c r="BJ534" s="2">
        <v>0</v>
      </c>
      <c r="BK534" s="5">
        <v>2179.31</v>
      </c>
      <c r="BL534" s="1" t="s">
        <v>137</v>
      </c>
    </row>
    <row r="535" spans="1:64" x14ac:dyDescent="0.3">
      <c r="A535" t="s">
        <v>1041</v>
      </c>
      <c r="B535" s="1" t="s">
        <v>1041</v>
      </c>
      <c r="C535" s="9" t="s">
        <v>1042</v>
      </c>
      <c r="D535" s="1" t="s">
        <v>95</v>
      </c>
      <c r="E535" s="1" t="s">
        <v>135</v>
      </c>
      <c r="F535" s="10" t="s">
        <v>193</v>
      </c>
      <c r="G535" s="1">
        <v>0</v>
      </c>
      <c r="H535" s="1">
        <v>0.05</v>
      </c>
      <c r="I535" s="8">
        <v>44548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  <c r="T535" s="11">
        <v>0</v>
      </c>
      <c r="U535" s="6">
        <v>0</v>
      </c>
      <c r="V535" s="6">
        <v>0</v>
      </c>
      <c r="W535" s="6">
        <v>0</v>
      </c>
      <c r="AI535" s="2">
        <v>310090</v>
      </c>
      <c r="AJ535" s="2">
        <v>85523</v>
      </c>
      <c r="AK535" s="2">
        <v>13843.3</v>
      </c>
      <c r="AL535" s="2">
        <v>3817.99</v>
      </c>
      <c r="AM535" s="5">
        <v>3532.26</v>
      </c>
      <c r="AN535" s="12">
        <v>0</v>
      </c>
      <c r="AO535" s="2">
        <v>0</v>
      </c>
      <c r="AP535" s="2">
        <v>0</v>
      </c>
      <c r="AQ535" s="2">
        <v>0</v>
      </c>
      <c r="AR535" s="5">
        <v>0</v>
      </c>
      <c r="AS535" s="2">
        <v>23736.78</v>
      </c>
      <c r="AT535" s="12">
        <v>21193.550000000003</v>
      </c>
      <c r="AU535" s="2">
        <v>0</v>
      </c>
      <c r="AV535" s="5">
        <v>1978.06</v>
      </c>
      <c r="AX535" s="2">
        <v>310090</v>
      </c>
      <c r="AY535" s="2">
        <v>85523</v>
      </c>
      <c r="AZ535" s="2">
        <v>13843.3</v>
      </c>
      <c r="BA535" s="2">
        <v>3817.99</v>
      </c>
      <c r="BB535" s="5">
        <v>3532.26</v>
      </c>
      <c r="BC535" s="12">
        <v>0</v>
      </c>
      <c r="BD535" s="2">
        <v>0</v>
      </c>
      <c r="BE535" s="2">
        <v>0</v>
      </c>
      <c r="BF535" s="2">
        <v>0</v>
      </c>
      <c r="BG535" s="5">
        <v>0</v>
      </c>
      <c r="BH535" s="2">
        <v>23736.78</v>
      </c>
      <c r="BI535" s="12">
        <v>21193.550000000003</v>
      </c>
      <c r="BJ535" s="2">
        <v>0</v>
      </c>
      <c r="BK535" s="5">
        <v>1978.06</v>
      </c>
      <c r="BL535" s="1" t="s">
        <v>137</v>
      </c>
    </row>
    <row r="536" spans="1:64" x14ac:dyDescent="0.3">
      <c r="A536" t="s">
        <v>1043</v>
      </c>
      <c r="B536" s="1" t="s">
        <v>1043</v>
      </c>
      <c r="C536" s="9" t="s">
        <v>1044</v>
      </c>
      <c r="D536" s="1" t="s">
        <v>95</v>
      </c>
      <c r="E536" s="1" t="s">
        <v>128</v>
      </c>
      <c r="F536" s="10" t="s">
        <v>309</v>
      </c>
      <c r="G536" s="1">
        <v>0</v>
      </c>
      <c r="H536" s="1">
        <v>0.05</v>
      </c>
      <c r="I536" s="8">
        <v>44851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0</v>
      </c>
      <c r="U536" s="6">
        <v>0</v>
      </c>
      <c r="V536" s="6">
        <v>0</v>
      </c>
      <c r="W536" s="6">
        <v>0</v>
      </c>
      <c r="AI536" s="2">
        <v>647768</v>
      </c>
      <c r="AJ536" s="2">
        <v>0</v>
      </c>
      <c r="AK536" s="2">
        <v>28918.21</v>
      </c>
      <c r="AL536" s="2">
        <v>0</v>
      </c>
      <c r="AM536" s="5">
        <v>5783.64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38866.07</v>
      </c>
      <c r="AT536" s="12">
        <v>34701.85</v>
      </c>
      <c r="AU536" s="2">
        <v>0</v>
      </c>
      <c r="AV536" s="5">
        <v>3238.84</v>
      </c>
      <c r="AX536" s="2">
        <v>647768</v>
      </c>
      <c r="AY536" s="2">
        <v>0</v>
      </c>
      <c r="AZ536" s="2">
        <v>28918.21</v>
      </c>
      <c r="BA536" s="2">
        <v>0</v>
      </c>
      <c r="BB536" s="5">
        <v>5783.64</v>
      </c>
      <c r="BC536" s="12">
        <v>0</v>
      </c>
      <c r="BD536" s="2">
        <v>0</v>
      </c>
      <c r="BE536" s="2">
        <v>0</v>
      </c>
      <c r="BF536" s="2">
        <v>0</v>
      </c>
      <c r="BG536" s="5">
        <v>0</v>
      </c>
      <c r="BH536" s="2">
        <v>38866.07</v>
      </c>
      <c r="BI536" s="12">
        <v>34701.85</v>
      </c>
      <c r="BJ536" s="2">
        <v>0</v>
      </c>
      <c r="BK536" s="5">
        <v>3238.84</v>
      </c>
      <c r="BL536" s="1" t="s">
        <v>130</v>
      </c>
    </row>
    <row r="537" spans="1:64" x14ac:dyDescent="0.3">
      <c r="A537" t="s">
        <v>1045</v>
      </c>
      <c r="B537" s="1" t="s">
        <v>1045</v>
      </c>
      <c r="C537" s="9" t="s">
        <v>1046</v>
      </c>
      <c r="D537" s="1" t="s">
        <v>95</v>
      </c>
      <c r="E537" s="1" t="s">
        <v>128</v>
      </c>
      <c r="F537" s="10" t="s">
        <v>129</v>
      </c>
      <c r="G537" s="1">
        <v>0</v>
      </c>
      <c r="H537" s="1">
        <v>0.05</v>
      </c>
      <c r="I537" s="8">
        <v>44550</v>
      </c>
      <c r="J537" s="6">
        <v>0</v>
      </c>
      <c r="K537" s="6">
        <v>0</v>
      </c>
      <c r="L537" s="6">
        <v>0</v>
      </c>
      <c r="M537" s="6">
        <v>0</v>
      </c>
      <c r="N537" s="7">
        <v>0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0</v>
      </c>
      <c r="U537" s="6">
        <v>0</v>
      </c>
      <c r="V537" s="6">
        <v>0</v>
      </c>
      <c r="W537" s="6">
        <v>0</v>
      </c>
      <c r="AI537" s="2">
        <v>597660</v>
      </c>
      <c r="AJ537" s="2">
        <v>27891</v>
      </c>
      <c r="AK537" s="2">
        <v>26681.25</v>
      </c>
      <c r="AL537" s="2">
        <v>1245.1300000000001</v>
      </c>
      <c r="AM537" s="5">
        <v>5585.28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37533.06</v>
      </c>
      <c r="AT537" s="12">
        <v>33511.660000000003</v>
      </c>
      <c r="AU537" s="2">
        <v>0</v>
      </c>
      <c r="AV537" s="5">
        <v>3127.76</v>
      </c>
      <c r="AX537" s="2">
        <v>597660</v>
      </c>
      <c r="AY537" s="2">
        <v>27891</v>
      </c>
      <c r="AZ537" s="2">
        <v>26681.25</v>
      </c>
      <c r="BA537" s="2">
        <v>1245.1300000000001</v>
      </c>
      <c r="BB537" s="5">
        <v>5585.28</v>
      </c>
      <c r="BC537" s="12">
        <v>0</v>
      </c>
      <c r="BD537" s="2">
        <v>0</v>
      </c>
      <c r="BE537" s="2">
        <v>0</v>
      </c>
      <c r="BF537" s="2">
        <v>0</v>
      </c>
      <c r="BG537" s="5">
        <v>0</v>
      </c>
      <c r="BH537" s="2">
        <v>37533.06</v>
      </c>
      <c r="BI537" s="12">
        <v>33511.660000000003</v>
      </c>
      <c r="BJ537" s="2">
        <v>0</v>
      </c>
      <c r="BK537" s="5">
        <v>3127.76</v>
      </c>
      <c r="BL537" s="1" t="s">
        <v>130</v>
      </c>
    </row>
    <row r="538" spans="1:64" x14ac:dyDescent="0.3">
      <c r="A538" t="s">
        <v>1045</v>
      </c>
      <c r="B538" s="1" t="s">
        <v>1047</v>
      </c>
      <c r="C538" s="9" t="s">
        <v>1048</v>
      </c>
      <c r="D538" s="1" t="s">
        <v>95</v>
      </c>
      <c r="E538" s="1" t="s">
        <v>128</v>
      </c>
      <c r="F538" s="10" t="s">
        <v>129</v>
      </c>
      <c r="G538" s="1">
        <v>0</v>
      </c>
      <c r="H538" s="1">
        <v>0.05</v>
      </c>
      <c r="I538" s="8">
        <v>45775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0</v>
      </c>
      <c r="U538" s="6">
        <v>0</v>
      </c>
      <c r="V538" s="6">
        <v>0</v>
      </c>
      <c r="W538" s="6">
        <v>0</v>
      </c>
      <c r="AI538" s="2">
        <v>28073</v>
      </c>
      <c r="AJ538" s="2">
        <v>820</v>
      </c>
      <c r="AK538" s="2">
        <v>125.32</v>
      </c>
      <c r="AL538" s="2">
        <v>3.66</v>
      </c>
      <c r="AM538" s="5">
        <v>257.97000000000003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433.38</v>
      </c>
      <c r="AT538" s="12">
        <v>386.95000000000005</v>
      </c>
      <c r="AU538" s="2">
        <v>0</v>
      </c>
      <c r="AV538" s="5">
        <v>144.46</v>
      </c>
      <c r="AX538" s="2">
        <v>28073</v>
      </c>
      <c r="AY538" s="2">
        <v>820</v>
      </c>
      <c r="AZ538" s="2">
        <v>125.32</v>
      </c>
      <c r="BA538" s="2">
        <v>3.66</v>
      </c>
      <c r="BB538" s="5">
        <v>257.97000000000003</v>
      </c>
      <c r="BC538" s="12">
        <v>0</v>
      </c>
      <c r="BD538" s="2">
        <v>0</v>
      </c>
      <c r="BE538" s="2">
        <v>0</v>
      </c>
      <c r="BF538" s="2">
        <v>0</v>
      </c>
      <c r="BG538" s="5">
        <v>0</v>
      </c>
      <c r="BH538" s="2">
        <v>433.38</v>
      </c>
      <c r="BI538" s="12">
        <v>386.95000000000005</v>
      </c>
      <c r="BJ538" s="2">
        <v>0</v>
      </c>
      <c r="BK538" s="5">
        <v>144.46</v>
      </c>
      <c r="BL538" s="1" t="s">
        <v>130</v>
      </c>
    </row>
    <row r="539" spans="1:64" x14ac:dyDescent="0.3">
      <c r="A539" t="s">
        <v>1055</v>
      </c>
      <c r="B539" s="1" t="s">
        <v>1055</v>
      </c>
      <c r="C539" s="9" t="s">
        <v>1056</v>
      </c>
      <c r="D539" s="1" t="s">
        <v>95</v>
      </c>
      <c r="E539" s="1" t="s">
        <v>88</v>
      </c>
      <c r="F539" s="10" t="s">
        <v>441</v>
      </c>
      <c r="G539" s="1">
        <v>0</v>
      </c>
      <c r="H539" s="1">
        <v>0.05</v>
      </c>
      <c r="I539" s="8">
        <v>44655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0</v>
      </c>
      <c r="U539" s="6">
        <v>0</v>
      </c>
      <c r="V539" s="6">
        <v>0</v>
      </c>
      <c r="W539" s="6">
        <v>0</v>
      </c>
      <c r="AI539" s="2">
        <v>213000</v>
      </c>
      <c r="AJ539" s="2">
        <v>46428</v>
      </c>
      <c r="AK539" s="2">
        <v>9508.93</v>
      </c>
      <c r="AL539" s="2">
        <v>2072.6799999999998</v>
      </c>
      <c r="AM539" s="5">
        <v>2316.3200000000002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15565.68</v>
      </c>
      <c r="AT539" s="12">
        <v>13897.93</v>
      </c>
      <c r="AU539" s="2">
        <v>0</v>
      </c>
      <c r="AV539" s="5">
        <v>1297.1400000000001</v>
      </c>
      <c r="AX539" s="2">
        <v>213000</v>
      </c>
      <c r="AY539" s="2">
        <v>46428</v>
      </c>
      <c r="AZ539" s="2">
        <v>9508.93</v>
      </c>
      <c r="BA539" s="2">
        <v>2072.6799999999998</v>
      </c>
      <c r="BB539" s="5">
        <v>2316.3200000000002</v>
      </c>
      <c r="BC539" s="12">
        <v>0</v>
      </c>
      <c r="BD539" s="2">
        <v>0</v>
      </c>
      <c r="BE539" s="2">
        <v>0</v>
      </c>
      <c r="BF539" s="2">
        <v>0</v>
      </c>
      <c r="BG539" s="5">
        <v>0</v>
      </c>
      <c r="BH539" s="2">
        <v>15565.68</v>
      </c>
      <c r="BI539" s="12">
        <v>13897.93</v>
      </c>
      <c r="BJ539" s="2">
        <v>0</v>
      </c>
      <c r="BK539" s="5">
        <v>1297.1400000000001</v>
      </c>
      <c r="BL539" s="1" t="s">
        <v>90</v>
      </c>
    </row>
    <row r="540" spans="1:64" x14ac:dyDescent="0.3">
      <c r="A540" t="s">
        <v>1059</v>
      </c>
      <c r="B540" s="1" t="s">
        <v>1059</v>
      </c>
      <c r="C540" s="9" t="s">
        <v>1060</v>
      </c>
      <c r="D540" s="1" t="s">
        <v>95</v>
      </c>
      <c r="E540" s="1" t="s">
        <v>88</v>
      </c>
      <c r="F540" s="10" t="s">
        <v>441</v>
      </c>
      <c r="G540" s="1">
        <v>0</v>
      </c>
      <c r="H540" s="1">
        <v>0.05</v>
      </c>
      <c r="I540" s="8">
        <v>44735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0</v>
      </c>
      <c r="U540" s="6">
        <v>0</v>
      </c>
      <c r="V540" s="6">
        <v>0</v>
      </c>
      <c r="W540" s="6">
        <v>0</v>
      </c>
      <c r="AI540" s="2">
        <v>143422</v>
      </c>
      <c r="AJ540" s="2">
        <v>49290</v>
      </c>
      <c r="AK540" s="2">
        <v>6402.77</v>
      </c>
      <c r="AL540" s="2">
        <v>2200.4499999999998</v>
      </c>
      <c r="AM540" s="5">
        <v>1720.64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11562.72</v>
      </c>
      <c r="AT540" s="12">
        <v>10323.86</v>
      </c>
      <c r="AU540" s="2">
        <v>0</v>
      </c>
      <c r="AV540" s="5">
        <v>963.56</v>
      </c>
      <c r="AX540" s="2">
        <v>143422</v>
      </c>
      <c r="AY540" s="2">
        <v>49290</v>
      </c>
      <c r="AZ540" s="2">
        <v>6402.77</v>
      </c>
      <c r="BA540" s="2">
        <v>2200.4499999999998</v>
      </c>
      <c r="BB540" s="5">
        <v>1720.64</v>
      </c>
      <c r="BC540" s="12">
        <v>0</v>
      </c>
      <c r="BD540" s="2">
        <v>0</v>
      </c>
      <c r="BE540" s="2">
        <v>0</v>
      </c>
      <c r="BF540" s="2">
        <v>0</v>
      </c>
      <c r="BG540" s="5">
        <v>0</v>
      </c>
      <c r="BH540" s="2">
        <v>11562.72</v>
      </c>
      <c r="BI540" s="12">
        <v>10323.86</v>
      </c>
      <c r="BJ540" s="2">
        <v>0</v>
      </c>
      <c r="BK540" s="5">
        <v>963.56</v>
      </c>
      <c r="BL540" s="1" t="s">
        <v>90</v>
      </c>
    </row>
    <row r="541" spans="1:64" x14ac:dyDescent="0.3">
      <c r="A541" t="s">
        <v>1063</v>
      </c>
      <c r="B541" s="1" t="s">
        <v>1063</v>
      </c>
      <c r="C541" s="9" t="s">
        <v>1064</v>
      </c>
      <c r="D541" s="1" t="s">
        <v>95</v>
      </c>
      <c r="E541" s="1" t="s">
        <v>135</v>
      </c>
      <c r="F541" s="10" t="s">
        <v>193</v>
      </c>
      <c r="G541" s="1">
        <v>0</v>
      </c>
      <c r="H541" s="1">
        <v>0.05</v>
      </c>
      <c r="I541" s="8">
        <v>44669</v>
      </c>
      <c r="J541" s="6">
        <v>0</v>
      </c>
      <c r="K541" s="6">
        <v>0</v>
      </c>
      <c r="L541" s="6">
        <v>0</v>
      </c>
      <c r="M541" s="6">
        <v>0</v>
      </c>
      <c r="N541" s="7">
        <v>0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0</v>
      </c>
      <c r="U541" s="6">
        <v>0</v>
      </c>
      <c r="V541" s="6">
        <v>0</v>
      </c>
      <c r="W541" s="6">
        <v>0</v>
      </c>
      <c r="AI541" s="2">
        <v>669128</v>
      </c>
      <c r="AJ541" s="2">
        <v>70585</v>
      </c>
      <c r="AK541" s="2">
        <v>29871.79</v>
      </c>
      <c r="AL541" s="2">
        <v>3151.12</v>
      </c>
      <c r="AM541" s="5">
        <v>6604.58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44382.79</v>
      </c>
      <c r="AT541" s="12">
        <v>39627.490000000005</v>
      </c>
      <c r="AU541" s="2">
        <v>0</v>
      </c>
      <c r="AV541" s="5">
        <v>3698.56</v>
      </c>
      <c r="AX541" s="2">
        <v>669128</v>
      </c>
      <c r="AY541" s="2">
        <v>70585</v>
      </c>
      <c r="AZ541" s="2">
        <v>29871.79</v>
      </c>
      <c r="BA541" s="2">
        <v>3151.12</v>
      </c>
      <c r="BB541" s="5">
        <v>6604.58</v>
      </c>
      <c r="BC541" s="12">
        <v>0</v>
      </c>
      <c r="BD541" s="2">
        <v>0</v>
      </c>
      <c r="BE541" s="2">
        <v>0</v>
      </c>
      <c r="BF541" s="2">
        <v>0</v>
      </c>
      <c r="BG541" s="5">
        <v>0</v>
      </c>
      <c r="BH541" s="2">
        <v>44382.79</v>
      </c>
      <c r="BI541" s="12">
        <v>39627.490000000005</v>
      </c>
      <c r="BJ541" s="2">
        <v>0</v>
      </c>
      <c r="BK541" s="5">
        <v>3698.56</v>
      </c>
      <c r="BL541" s="1" t="s">
        <v>137</v>
      </c>
    </row>
    <row r="542" spans="1:64" x14ac:dyDescent="0.3">
      <c r="A542" t="s">
        <v>1065</v>
      </c>
      <c r="B542" s="1" t="s">
        <v>1065</v>
      </c>
      <c r="C542" s="9" t="s">
        <v>1066</v>
      </c>
      <c r="D542" s="1" t="s">
        <v>95</v>
      </c>
      <c r="E542" s="1" t="s">
        <v>135</v>
      </c>
      <c r="F542" s="10" t="s">
        <v>435</v>
      </c>
      <c r="G542" s="1">
        <v>0</v>
      </c>
      <c r="H542" s="1">
        <v>0.05</v>
      </c>
      <c r="I542" s="8">
        <v>44628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  <c r="T542" s="11">
        <v>0</v>
      </c>
      <c r="U542" s="6">
        <v>0</v>
      </c>
      <c r="V542" s="6">
        <v>0</v>
      </c>
      <c r="W542" s="6">
        <v>0</v>
      </c>
      <c r="AI542" s="2">
        <v>276624</v>
      </c>
      <c r="AJ542" s="2">
        <v>87189</v>
      </c>
      <c r="AK542" s="2">
        <v>12349.29</v>
      </c>
      <c r="AL542" s="2">
        <v>3892.37</v>
      </c>
      <c r="AM542" s="5">
        <v>3248.33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21828.79</v>
      </c>
      <c r="AT542" s="12">
        <v>19489.989999999998</v>
      </c>
      <c r="AU542" s="2">
        <v>0</v>
      </c>
      <c r="AV542" s="5">
        <v>1819.06</v>
      </c>
      <c r="AX542" s="2">
        <v>276624</v>
      </c>
      <c r="AY542" s="2">
        <v>87189</v>
      </c>
      <c r="AZ542" s="2">
        <v>12349.29</v>
      </c>
      <c r="BA542" s="2">
        <v>3892.37</v>
      </c>
      <c r="BB542" s="5">
        <v>3248.33</v>
      </c>
      <c r="BC542" s="12">
        <v>0</v>
      </c>
      <c r="BD542" s="2">
        <v>0</v>
      </c>
      <c r="BE542" s="2">
        <v>0</v>
      </c>
      <c r="BF542" s="2">
        <v>0</v>
      </c>
      <c r="BG542" s="5">
        <v>0</v>
      </c>
      <c r="BH542" s="2">
        <v>21828.79</v>
      </c>
      <c r="BI542" s="12">
        <v>19489.989999999998</v>
      </c>
      <c r="BJ542" s="2">
        <v>0</v>
      </c>
      <c r="BK542" s="5">
        <v>1819.06</v>
      </c>
      <c r="BL542" s="1" t="s">
        <v>137</v>
      </c>
    </row>
    <row r="543" spans="1:64" x14ac:dyDescent="0.3">
      <c r="A543" t="s">
        <v>1073</v>
      </c>
      <c r="B543" s="1" t="s">
        <v>1073</v>
      </c>
      <c r="C543" s="9" t="s">
        <v>1074</v>
      </c>
      <c r="D543" s="1" t="s">
        <v>95</v>
      </c>
      <c r="E543" s="1" t="s">
        <v>135</v>
      </c>
      <c r="F543" s="10" t="s">
        <v>1075</v>
      </c>
      <c r="G543" s="1">
        <v>0</v>
      </c>
      <c r="H543" s="1">
        <v>0.05</v>
      </c>
      <c r="I543" s="8">
        <v>44887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0</v>
      </c>
      <c r="U543" s="6">
        <v>0</v>
      </c>
      <c r="V543" s="6">
        <v>0</v>
      </c>
      <c r="W543" s="6">
        <v>0</v>
      </c>
      <c r="AI543" s="2">
        <v>714265</v>
      </c>
      <c r="AJ543" s="2">
        <v>51761</v>
      </c>
      <c r="AK543" s="2">
        <v>31886.83</v>
      </c>
      <c r="AL543" s="2">
        <v>2310.7600000000002</v>
      </c>
      <c r="AM543" s="5">
        <v>6839.52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45961.56</v>
      </c>
      <c r="AT543" s="12">
        <v>41037.11</v>
      </c>
      <c r="AU543" s="2">
        <v>0</v>
      </c>
      <c r="AV543" s="5">
        <v>3830.13</v>
      </c>
      <c r="AX543" s="2">
        <v>714265</v>
      </c>
      <c r="AY543" s="2">
        <v>51761</v>
      </c>
      <c r="AZ543" s="2">
        <v>31886.83</v>
      </c>
      <c r="BA543" s="2">
        <v>2310.7600000000002</v>
      </c>
      <c r="BB543" s="5">
        <v>6839.52</v>
      </c>
      <c r="BC543" s="12">
        <v>0</v>
      </c>
      <c r="BD543" s="2">
        <v>0</v>
      </c>
      <c r="BE543" s="2">
        <v>0</v>
      </c>
      <c r="BF543" s="2">
        <v>0</v>
      </c>
      <c r="BG543" s="5">
        <v>0</v>
      </c>
      <c r="BH543" s="2">
        <v>45961.56</v>
      </c>
      <c r="BI543" s="12">
        <v>41037.11</v>
      </c>
      <c r="BJ543" s="2">
        <v>0</v>
      </c>
      <c r="BK543" s="5">
        <v>3830.13</v>
      </c>
      <c r="BL543" s="1" t="s">
        <v>137</v>
      </c>
    </row>
    <row r="544" spans="1:64" x14ac:dyDescent="0.3">
      <c r="A544" t="s">
        <v>1076</v>
      </c>
      <c r="B544" s="1" t="s">
        <v>1076</v>
      </c>
      <c r="C544" s="9" t="s">
        <v>1077</v>
      </c>
      <c r="D544" s="1" t="s">
        <v>95</v>
      </c>
      <c r="E544" s="1" t="s">
        <v>135</v>
      </c>
      <c r="F544" s="10" t="s">
        <v>136</v>
      </c>
      <c r="G544" s="1">
        <v>0</v>
      </c>
      <c r="H544" s="1">
        <v>0.05</v>
      </c>
      <c r="I544" s="8">
        <v>44767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0</v>
      </c>
      <c r="P544" s="6">
        <v>0</v>
      </c>
      <c r="Q544" s="6">
        <v>0</v>
      </c>
      <c r="R544" s="6">
        <v>0</v>
      </c>
      <c r="S544" s="7">
        <v>0</v>
      </c>
      <c r="T544" s="11">
        <v>0</v>
      </c>
      <c r="U544" s="6">
        <v>0</v>
      </c>
      <c r="V544" s="6">
        <v>0</v>
      </c>
      <c r="W544" s="6">
        <v>0</v>
      </c>
      <c r="AI544" s="2">
        <v>303113</v>
      </c>
      <c r="AJ544" s="2">
        <v>25982</v>
      </c>
      <c r="AK544" s="2">
        <v>13531.83</v>
      </c>
      <c r="AL544" s="2">
        <v>1159.9100000000001</v>
      </c>
      <c r="AM544" s="5">
        <v>2938.35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19745.7</v>
      </c>
      <c r="AT544" s="12">
        <v>17630.09</v>
      </c>
      <c r="AU544" s="2">
        <v>0</v>
      </c>
      <c r="AV544" s="5">
        <v>1645.48</v>
      </c>
      <c r="AX544" s="2">
        <v>303113</v>
      </c>
      <c r="AY544" s="2">
        <v>25982</v>
      </c>
      <c r="AZ544" s="2">
        <v>13531.83</v>
      </c>
      <c r="BA544" s="2">
        <v>1159.9100000000001</v>
      </c>
      <c r="BB544" s="5">
        <v>2938.35</v>
      </c>
      <c r="BC544" s="12">
        <v>0</v>
      </c>
      <c r="BD544" s="2">
        <v>0</v>
      </c>
      <c r="BE544" s="2">
        <v>0</v>
      </c>
      <c r="BF544" s="2">
        <v>0</v>
      </c>
      <c r="BG544" s="5">
        <v>0</v>
      </c>
      <c r="BH544" s="2">
        <v>19745.7</v>
      </c>
      <c r="BI544" s="12">
        <v>17630.09</v>
      </c>
      <c r="BJ544" s="2">
        <v>0</v>
      </c>
      <c r="BK544" s="5">
        <v>1645.48</v>
      </c>
      <c r="BL544" s="1" t="s">
        <v>137</v>
      </c>
    </row>
    <row r="545" spans="1:64" x14ac:dyDescent="0.3">
      <c r="A545" t="s">
        <v>1076</v>
      </c>
      <c r="B545" s="1" t="s">
        <v>1078</v>
      </c>
      <c r="C545" s="9" t="s">
        <v>1079</v>
      </c>
      <c r="D545" s="1" t="s">
        <v>95</v>
      </c>
      <c r="E545" s="1" t="s">
        <v>135</v>
      </c>
      <c r="F545" s="10" t="s">
        <v>136</v>
      </c>
      <c r="G545" s="1">
        <v>0</v>
      </c>
      <c r="H545" s="1">
        <v>0.05</v>
      </c>
      <c r="I545" s="8">
        <v>44967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0</v>
      </c>
      <c r="U545" s="6">
        <v>0</v>
      </c>
      <c r="V545" s="6">
        <v>0</v>
      </c>
      <c r="W545" s="6">
        <v>0</v>
      </c>
      <c r="AI545" s="2">
        <v>79543</v>
      </c>
      <c r="AJ545" s="2">
        <v>9788</v>
      </c>
      <c r="AK545" s="2">
        <v>3551.03</v>
      </c>
      <c r="AL545" s="2">
        <v>436.96</v>
      </c>
      <c r="AM545" s="5">
        <v>797.6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5359.86</v>
      </c>
      <c r="AT545" s="12">
        <v>4785.59</v>
      </c>
      <c r="AU545" s="2">
        <v>0</v>
      </c>
      <c r="AV545" s="5">
        <v>446.66</v>
      </c>
      <c r="AX545" s="2">
        <v>79543</v>
      </c>
      <c r="AY545" s="2">
        <v>9788</v>
      </c>
      <c r="AZ545" s="2">
        <v>3551.03</v>
      </c>
      <c r="BA545" s="2">
        <v>436.96</v>
      </c>
      <c r="BB545" s="5">
        <v>797.6</v>
      </c>
      <c r="BC545" s="12">
        <v>0</v>
      </c>
      <c r="BD545" s="2">
        <v>0</v>
      </c>
      <c r="BE545" s="2">
        <v>0</v>
      </c>
      <c r="BF545" s="2">
        <v>0</v>
      </c>
      <c r="BG545" s="5">
        <v>0</v>
      </c>
      <c r="BH545" s="2">
        <v>5359.86</v>
      </c>
      <c r="BI545" s="12">
        <v>4785.59</v>
      </c>
      <c r="BJ545" s="2">
        <v>0</v>
      </c>
      <c r="BK545" s="5">
        <v>446.66</v>
      </c>
      <c r="BL545" s="1" t="s">
        <v>137</v>
      </c>
    </row>
    <row r="546" spans="1:64" x14ac:dyDescent="0.3">
      <c r="A546" t="s">
        <v>1080</v>
      </c>
      <c r="B546" s="1" t="s">
        <v>1080</v>
      </c>
      <c r="C546" s="9" t="s">
        <v>1081</v>
      </c>
      <c r="D546" s="1" t="s">
        <v>95</v>
      </c>
      <c r="E546" s="1" t="s">
        <v>135</v>
      </c>
      <c r="F546" s="10" t="s">
        <v>136</v>
      </c>
      <c r="G546" s="1">
        <v>3.5000000000000003E-2</v>
      </c>
      <c r="H546" s="1">
        <v>0.05</v>
      </c>
      <c r="I546" s="8">
        <v>44441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0</v>
      </c>
      <c r="U546" s="6">
        <v>0</v>
      </c>
      <c r="V546" s="6">
        <v>0</v>
      </c>
      <c r="W546" s="6">
        <v>0</v>
      </c>
      <c r="AI546" s="2">
        <v>138805</v>
      </c>
      <c r="AJ546" s="2">
        <v>37997</v>
      </c>
      <c r="AK546" s="2">
        <v>6196.65</v>
      </c>
      <c r="AL546" s="2">
        <v>1696.29</v>
      </c>
      <c r="AM546" s="5">
        <v>1578.59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10608.11</v>
      </c>
      <c r="AT546" s="12">
        <v>9471.5299999999988</v>
      </c>
      <c r="AU546" s="2">
        <v>0</v>
      </c>
      <c r="AV546" s="5">
        <v>884.01</v>
      </c>
      <c r="AX546" s="2">
        <v>138805</v>
      </c>
      <c r="AY546" s="2">
        <v>37997</v>
      </c>
      <c r="AZ546" s="2">
        <v>6196.65</v>
      </c>
      <c r="BA546" s="2">
        <v>1696.29</v>
      </c>
      <c r="BB546" s="5">
        <v>1578.59</v>
      </c>
      <c r="BC546" s="12">
        <v>0</v>
      </c>
      <c r="BD546" s="2">
        <v>0</v>
      </c>
      <c r="BE546" s="2">
        <v>0</v>
      </c>
      <c r="BF546" s="2">
        <v>0</v>
      </c>
      <c r="BG546" s="5">
        <v>0</v>
      </c>
      <c r="BH546" s="2">
        <v>10608.11</v>
      </c>
      <c r="BI546" s="12">
        <v>9471.5299999999988</v>
      </c>
      <c r="BJ546" s="2">
        <v>0</v>
      </c>
      <c r="BK546" s="5">
        <v>884.01</v>
      </c>
      <c r="BL546" s="1" t="s">
        <v>137</v>
      </c>
    </row>
    <row r="547" spans="1:64" x14ac:dyDescent="0.3">
      <c r="A547" t="s">
        <v>1082</v>
      </c>
      <c r="B547" s="1" t="s">
        <v>1082</v>
      </c>
      <c r="C547" s="9" t="s">
        <v>1083</v>
      </c>
      <c r="D547" s="1" t="s">
        <v>95</v>
      </c>
      <c r="E547" s="1" t="s">
        <v>135</v>
      </c>
      <c r="F547" s="10" t="s">
        <v>1075</v>
      </c>
      <c r="G547" s="1">
        <v>0</v>
      </c>
      <c r="H547" s="1">
        <v>0.05</v>
      </c>
      <c r="I547" s="8">
        <v>44770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621816</v>
      </c>
      <c r="AJ547" s="2">
        <v>122391</v>
      </c>
      <c r="AK547" s="2">
        <v>27759.64</v>
      </c>
      <c r="AL547" s="2">
        <v>5463.88</v>
      </c>
      <c r="AM547" s="5">
        <v>6644.71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44652.42</v>
      </c>
      <c r="AT547" s="12">
        <v>39868.229999999996</v>
      </c>
      <c r="AU547" s="2">
        <v>0</v>
      </c>
      <c r="AV547" s="5">
        <v>3721.04</v>
      </c>
      <c r="AX547" s="2">
        <v>621816</v>
      </c>
      <c r="AY547" s="2">
        <v>122391</v>
      </c>
      <c r="AZ547" s="2">
        <v>27759.64</v>
      </c>
      <c r="BA547" s="2">
        <v>5463.88</v>
      </c>
      <c r="BB547" s="5">
        <v>6644.71</v>
      </c>
      <c r="BC547" s="12">
        <v>0</v>
      </c>
      <c r="BD547" s="2">
        <v>0</v>
      </c>
      <c r="BE547" s="2">
        <v>0</v>
      </c>
      <c r="BF547" s="2">
        <v>0</v>
      </c>
      <c r="BG547" s="5">
        <v>0</v>
      </c>
      <c r="BH547" s="2">
        <v>44652.42</v>
      </c>
      <c r="BI547" s="12">
        <v>39868.229999999996</v>
      </c>
      <c r="BJ547" s="2">
        <v>0</v>
      </c>
      <c r="BK547" s="5">
        <v>3721.04</v>
      </c>
      <c r="BL547" s="1" t="s">
        <v>137</v>
      </c>
    </row>
    <row r="548" spans="1:64" x14ac:dyDescent="0.3">
      <c r="A548" t="s">
        <v>1088</v>
      </c>
      <c r="B548" s="1" t="s">
        <v>1089</v>
      </c>
      <c r="C548" s="9" t="s">
        <v>1090</v>
      </c>
      <c r="D548" s="1" t="s">
        <v>95</v>
      </c>
      <c r="E548" s="1" t="s">
        <v>128</v>
      </c>
      <c r="F548" s="10" t="s">
        <v>309</v>
      </c>
      <c r="G548" s="1">
        <v>0</v>
      </c>
      <c r="H548" s="1">
        <v>0.05</v>
      </c>
      <c r="I548" s="8">
        <v>44755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0</v>
      </c>
      <c r="U548" s="6">
        <v>0</v>
      </c>
      <c r="V548" s="6">
        <v>0</v>
      </c>
      <c r="W548" s="6">
        <v>0</v>
      </c>
      <c r="AI548" s="2">
        <v>295658</v>
      </c>
      <c r="AJ548" s="2">
        <v>0</v>
      </c>
      <c r="AK548" s="2">
        <v>13199.02</v>
      </c>
      <c r="AL548" s="2">
        <v>0</v>
      </c>
      <c r="AM548" s="5">
        <v>2639.8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17739.48</v>
      </c>
      <c r="AT548" s="12">
        <v>15838.82</v>
      </c>
      <c r="AU548" s="2">
        <v>0</v>
      </c>
      <c r="AV548" s="5">
        <v>1478.29</v>
      </c>
      <c r="AX548" s="2">
        <v>295658</v>
      </c>
      <c r="AY548" s="2">
        <v>0</v>
      </c>
      <c r="AZ548" s="2">
        <v>13199.02</v>
      </c>
      <c r="BA548" s="2">
        <v>0</v>
      </c>
      <c r="BB548" s="5">
        <v>2639.8</v>
      </c>
      <c r="BC548" s="12">
        <v>0</v>
      </c>
      <c r="BD548" s="2">
        <v>0</v>
      </c>
      <c r="BE548" s="2">
        <v>0</v>
      </c>
      <c r="BF548" s="2">
        <v>0</v>
      </c>
      <c r="BG548" s="5">
        <v>0</v>
      </c>
      <c r="BH548" s="2">
        <v>17739.48</v>
      </c>
      <c r="BI548" s="12">
        <v>15838.82</v>
      </c>
      <c r="BJ548" s="2">
        <v>0</v>
      </c>
      <c r="BK548" s="5">
        <v>1478.29</v>
      </c>
      <c r="BL548" s="1" t="s">
        <v>130</v>
      </c>
    </row>
    <row r="549" spans="1:64" x14ac:dyDescent="0.3">
      <c r="A549" t="s">
        <v>1088</v>
      </c>
      <c r="B549" s="1" t="s">
        <v>1091</v>
      </c>
      <c r="C549" s="9" t="s">
        <v>1092</v>
      </c>
      <c r="D549" s="1" t="s">
        <v>95</v>
      </c>
      <c r="E549" s="1" t="s">
        <v>128</v>
      </c>
      <c r="F549" s="10" t="s">
        <v>309</v>
      </c>
      <c r="G549" s="1">
        <v>0</v>
      </c>
      <c r="H549" s="1">
        <v>0.05</v>
      </c>
      <c r="I549" s="8">
        <v>44755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0</v>
      </c>
      <c r="U549" s="6">
        <v>0</v>
      </c>
      <c r="V549" s="6">
        <v>0</v>
      </c>
      <c r="W549" s="6">
        <v>0</v>
      </c>
      <c r="AI549" s="2">
        <v>217983</v>
      </c>
      <c r="AJ549" s="2">
        <v>0</v>
      </c>
      <c r="AK549" s="2">
        <v>9731.3799999999992</v>
      </c>
      <c r="AL549" s="2">
        <v>0</v>
      </c>
      <c r="AM549" s="5">
        <v>1946.28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13078.98</v>
      </c>
      <c r="AT549" s="12">
        <v>11677.66</v>
      </c>
      <c r="AU549" s="2">
        <v>0</v>
      </c>
      <c r="AV549" s="5">
        <v>1089.92</v>
      </c>
      <c r="AX549" s="2">
        <v>217983</v>
      </c>
      <c r="AY549" s="2">
        <v>0</v>
      </c>
      <c r="AZ549" s="2">
        <v>9731.3799999999992</v>
      </c>
      <c r="BA549" s="2">
        <v>0</v>
      </c>
      <c r="BB549" s="5">
        <v>1946.28</v>
      </c>
      <c r="BC549" s="12">
        <v>0</v>
      </c>
      <c r="BD549" s="2">
        <v>0</v>
      </c>
      <c r="BE549" s="2">
        <v>0</v>
      </c>
      <c r="BF549" s="2">
        <v>0</v>
      </c>
      <c r="BG549" s="5">
        <v>0</v>
      </c>
      <c r="BH549" s="2">
        <v>13078.98</v>
      </c>
      <c r="BI549" s="12">
        <v>11677.66</v>
      </c>
      <c r="BJ549" s="2">
        <v>0</v>
      </c>
      <c r="BK549" s="5">
        <v>1089.92</v>
      </c>
      <c r="BL549" s="1" t="s">
        <v>130</v>
      </c>
    </row>
    <row r="550" spans="1:64" x14ac:dyDescent="0.3">
      <c r="A550" t="s">
        <v>1088</v>
      </c>
      <c r="B550" s="1" t="s">
        <v>1088</v>
      </c>
      <c r="C550" s="9" t="s">
        <v>1093</v>
      </c>
      <c r="D550" s="1" t="s">
        <v>95</v>
      </c>
      <c r="E550" s="1" t="s">
        <v>128</v>
      </c>
      <c r="F550" s="10" t="s">
        <v>309</v>
      </c>
      <c r="G550" s="1">
        <v>0.04</v>
      </c>
      <c r="H550" s="1">
        <v>0.05</v>
      </c>
      <c r="I550" s="8">
        <v>44755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0</v>
      </c>
      <c r="U550" s="6">
        <v>0</v>
      </c>
      <c r="V550" s="6">
        <v>0</v>
      </c>
      <c r="W550" s="6">
        <v>0</v>
      </c>
      <c r="AI550" s="2">
        <v>456061</v>
      </c>
      <c r="AJ550" s="2">
        <v>16995</v>
      </c>
      <c r="AK550" s="2">
        <v>20359.87</v>
      </c>
      <c r="AL550" s="2">
        <v>758.71</v>
      </c>
      <c r="AM550" s="5">
        <v>4223.71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28383.360000000001</v>
      </c>
      <c r="AT550" s="12">
        <v>25342.289999999997</v>
      </c>
      <c r="AU550" s="2">
        <v>0</v>
      </c>
      <c r="AV550" s="5">
        <v>2365.2800000000002</v>
      </c>
      <c r="AX550" s="2">
        <v>456061</v>
      </c>
      <c r="AY550" s="2">
        <v>16995</v>
      </c>
      <c r="AZ550" s="2">
        <v>20359.87</v>
      </c>
      <c r="BA550" s="2">
        <v>758.71</v>
      </c>
      <c r="BB550" s="5">
        <v>4223.71</v>
      </c>
      <c r="BC550" s="12">
        <v>0</v>
      </c>
      <c r="BD550" s="2">
        <v>0</v>
      </c>
      <c r="BE550" s="2">
        <v>0</v>
      </c>
      <c r="BF550" s="2">
        <v>0</v>
      </c>
      <c r="BG550" s="5">
        <v>0</v>
      </c>
      <c r="BH550" s="2">
        <v>28383.360000000001</v>
      </c>
      <c r="BI550" s="12">
        <v>25342.289999999997</v>
      </c>
      <c r="BJ550" s="2">
        <v>0</v>
      </c>
      <c r="BK550" s="5">
        <v>2365.2800000000002</v>
      </c>
      <c r="BL550" s="1" t="s">
        <v>130</v>
      </c>
    </row>
    <row r="551" spans="1:64" x14ac:dyDescent="0.3">
      <c r="A551" t="s">
        <v>1088</v>
      </c>
      <c r="B551" s="1" t="s">
        <v>1094</v>
      </c>
      <c r="C551" s="9" t="s">
        <v>1095</v>
      </c>
      <c r="D551" s="1" t="s">
        <v>95</v>
      </c>
      <c r="E551" s="1" t="s">
        <v>128</v>
      </c>
      <c r="F551" s="10" t="s">
        <v>309</v>
      </c>
      <c r="G551" s="1">
        <v>0</v>
      </c>
      <c r="H551" s="1">
        <v>0.05</v>
      </c>
      <c r="I551" s="8">
        <v>44755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0</v>
      </c>
      <c r="U551" s="6">
        <v>0</v>
      </c>
      <c r="V551" s="6">
        <v>0</v>
      </c>
      <c r="W551" s="6">
        <v>0</v>
      </c>
      <c r="AI551" s="2">
        <v>415322</v>
      </c>
      <c r="AJ551" s="2">
        <v>0</v>
      </c>
      <c r="AK551" s="2">
        <v>18541.16</v>
      </c>
      <c r="AL551" s="2">
        <v>0</v>
      </c>
      <c r="AM551" s="5">
        <v>3708.23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24919.32</v>
      </c>
      <c r="AT551" s="12">
        <v>22249.39</v>
      </c>
      <c r="AU551" s="2">
        <v>0</v>
      </c>
      <c r="AV551" s="5">
        <v>2076.61</v>
      </c>
      <c r="AX551" s="2">
        <v>415322</v>
      </c>
      <c r="AY551" s="2">
        <v>0</v>
      </c>
      <c r="AZ551" s="2">
        <v>18541.16</v>
      </c>
      <c r="BA551" s="2">
        <v>0</v>
      </c>
      <c r="BB551" s="5">
        <v>3708.23</v>
      </c>
      <c r="BC551" s="12">
        <v>0</v>
      </c>
      <c r="BD551" s="2">
        <v>0</v>
      </c>
      <c r="BE551" s="2">
        <v>0</v>
      </c>
      <c r="BF551" s="2">
        <v>0</v>
      </c>
      <c r="BG551" s="5">
        <v>0</v>
      </c>
      <c r="BH551" s="2">
        <v>24919.32</v>
      </c>
      <c r="BI551" s="12">
        <v>22249.39</v>
      </c>
      <c r="BJ551" s="2">
        <v>0</v>
      </c>
      <c r="BK551" s="5">
        <v>2076.61</v>
      </c>
      <c r="BL551" s="1" t="s">
        <v>130</v>
      </c>
    </row>
    <row r="552" spans="1:64" x14ac:dyDescent="0.3">
      <c r="A552" t="s">
        <v>1088</v>
      </c>
      <c r="B552" s="1" t="s">
        <v>1096</v>
      </c>
      <c r="C552" s="9" t="s">
        <v>1097</v>
      </c>
      <c r="D552" s="1" t="s">
        <v>95</v>
      </c>
      <c r="E552" s="1" t="s">
        <v>128</v>
      </c>
      <c r="F552" s="10" t="s">
        <v>309</v>
      </c>
      <c r="G552" s="1">
        <v>0</v>
      </c>
      <c r="H552" s="1">
        <v>0.05</v>
      </c>
      <c r="I552" s="8">
        <v>44765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0</v>
      </c>
      <c r="U552" s="6">
        <v>0</v>
      </c>
      <c r="V552" s="6">
        <v>0</v>
      </c>
      <c r="W552" s="6">
        <v>0</v>
      </c>
      <c r="AI552" s="2">
        <v>175335</v>
      </c>
      <c r="AJ552" s="2">
        <v>25560</v>
      </c>
      <c r="AK552" s="2">
        <v>7827.46</v>
      </c>
      <c r="AL552" s="2">
        <v>1141.07</v>
      </c>
      <c r="AM552" s="5">
        <v>1793.71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12053.71</v>
      </c>
      <c r="AT552" s="12">
        <v>10762.240000000002</v>
      </c>
      <c r="AU552" s="2">
        <v>0</v>
      </c>
      <c r="AV552" s="5">
        <v>1004.48</v>
      </c>
      <c r="AX552" s="2">
        <v>175335</v>
      </c>
      <c r="AY552" s="2">
        <v>25560</v>
      </c>
      <c r="AZ552" s="2">
        <v>7827.46</v>
      </c>
      <c r="BA552" s="2">
        <v>1141.07</v>
      </c>
      <c r="BB552" s="5">
        <v>1793.71</v>
      </c>
      <c r="BC552" s="12">
        <v>0</v>
      </c>
      <c r="BD552" s="2">
        <v>0</v>
      </c>
      <c r="BE552" s="2">
        <v>0</v>
      </c>
      <c r="BF552" s="2">
        <v>0</v>
      </c>
      <c r="BG552" s="5">
        <v>0</v>
      </c>
      <c r="BH552" s="2">
        <v>12053.71</v>
      </c>
      <c r="BI552" s="12">
        <v>10762.240000000002</v>
      </c>
      <c r="BJ552" s="2">
        <v>0</v>
      </c>
      <c r="BK552" s="5">
        <v>1004.48</v>
      </c>
      <c r="BL552" s="1" t="s">
        <v>130</v>
      </c>
    </row>
    <row r="553" spans="1:64" x14ac:dyDescent="0.3">
      <c r="A553" t="s">
        <v>1088</v>
      </c>
      <c r="B553" s="1" t="s">
        <v>1098</v>
      </c>
      <c r="C553" s="9" t="s">
        <v>1099</v>
      </c>
      <c r="D553" s="1" t="s">
        <v>95</v>
      </c>
      <c r="E553" s="1" t="s">
        <v>128</v>
      </c>
      <c r="F553" s="10" t="s">
        <v>309</v>
      </c>
      <c r="G553" s="1">
        <v>0</v>
      </c>
      <c r="H553" s="1">
        <v>0.05</v>
      </c>
      <c r="I553" s="8">
        <v>44848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0</v>
      </c>
      <c r="U553" s="6">
        <v>0</v>
      </c>
      <c r="V553" s="6">
        <v>0</v>
      </c>
      <c r="W553" s="6">
        <v>0</v>
      </c>
      <c r="AI553" s="2">
        <v>519205</v>
      </c>
      <c r="AJ553" s="2">
        <v>0</v>
      </c>
      <c r="AK553" s="2">
        <v>23178.79</v>
      </c>
      <c r="AL553" s="2">
        <v>0</v>
      </c>
      <c r="AM553" s="5">
        <v>4635.76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31152.3</v>
      </c>
      <c r="AT553" s="12">
        <v>27814.550000000003</v>
      </c>
      <c r="AU553" s="2">
        <v>0</v>
      </c>
      <c r="AV553" s="5">
        <v>2596.02</v>
      </c>
      <c r="AX553" s="2">
        <v>519205</v>
      </c>
      <c r="AY553" s="2">
        <v>0</v>
      </c>
      <c r="AZ553" s="2">
        <v>23178.79</v>
      </c>
      <c r="BA553" s="2">
        <v>0</v>
      </c>
      <c r="BB553" s="5">
        <v>4635.76</v>
      </c>
      <c r="BC553" s="12">
        <v>0</v>
      </c>
      <c r="BD553" s="2">
        <v>0</v>
      </c>
      <c r="BE553" s="2">
        <v>0</v>
      </c>
      <c r="BF553" s="2">
        <v>0</v>
      </c>
      <c r="BG553" s="5">
        <v>0</v>
      </c>
      <c r="BH553" s="2">
        <v>31152.3</v>
      </c>
      <c r="BI553" s="12">
        <v>27814.550000000003</v>
      </c>
      <c r="BJ553" s="2">
        <v>0</v>
      </c>
      <c r="BK553" s="5">
        <v>2596.02</v>
      </c>
      <c r="BL553" s="1" t="s">
        <v>130</v>
      </c>
    </row>
    <row r="554" spans="1:64" x14ac:dyDescent="0.3">
      <c r="A554" t="s">
        <v>1088</v>
      </c>
      <c r="B554" s="1" t="s">
        <v>1100</v>
      </c>
      <c r="C554" s="9" t="s">
        <v>1101</v>
      </c>
      <c r="D554" s="1" t="s">
        <v>95</v>
      </c>
      <c r="E554" s="1" t="s">
        <v>128</v>
      </c>
      <c r="F554" s="10" t="s">
        <v>309</v>
      </c>
      <c r="G554" s="1">
        <v>0</v>
      </c>
      <c r="H554" s="1">
        <v>0.05</v>
      </c>
      <c r="I554" s="8">
        <v>44828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0</v>
      </c>
      <c r="U554" s="6">
        <v>0</v>
      </c>
      <c r="V554" s="6">
        <v>0</v>
      </c>
      <c r="W554" s="6">
        <v>0</v>
      </c>
      <c r="AI554" s="2">
        <v>369599</v>
      </c>
      <c r="AJ554" s="2">
        <v>0</v>
      </c>
      <c r="AK554" s="2">
        <v>16499.96</v>
      </c>
      <c r="AL554" s="2">
        <v>0</v>
      </c>
      <c r="AM554" s="5">
        <v>3299.99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22175.94</v>
      </c>
      <c r="AT554" s="12">
        <v>19799.949999999997</v>
      </c>
      <c r="AU554" s="2">
        <v>0</v>
      </c>
      <c r="AV554" s="5">
        <v>1848</v>
      </c>
      <c r="AX554" s="2">
        <v>369599</v>
      </c>
      <c r="AY554" s="2">
        <v>0</v>
      </c>
      <c r="AZ554" s="2">
        <v>16499.96</v>
      </c>
      <c r="BA554" s="2">
        <v>0</v>
      </c>
      <c r="BB554" s="5">
        <v>3299.99</v>
      </c>
      <c r="BC554" s="12">
        <v>0</v>
      </c>
      <c r="BD554" s="2">
        <v>0</v>
      </c>
      <c r="BE554" s="2">
        <v>0</v>
      </c>
      <c r="BF554" s="2">
        <v>0</v>
      </c>
      <c r="BG554" s="5">
        <v>0</v>
      </c>
      <c r="BH554" s="2">
        <v>22175.94</v>
      </c>
      <c r="BI554" s="12">
        <v>19799.949999999997</v>
      </c>
      <c r="BJ554" s="2">
        <v>0</v>
      </c>
      <c r="BK554" s="5">
        <v>1848</v>
      </c>
      <c r="BL554" s="1" t="s">
        <v>130</v>
      </c>
    </row>
    <row r="555" spans="1:64" x14ac:dyDescent="0.3">
      <c r="A555" t="s">
        <v>1088</v>
      </c>
      <c r="B555" s="1" t="s">
        <v>1102</v>
      </c>
      <c r="C555" s="9" t="s">
        <v>1103</v>
      </c>
      <c r="D555" s="1" t="s">
        <v>95</v>
      </c>
      <c r="E555" s="1" t="s">
        <v>128</v>
      </c>
      <c r="F555" s="10" t="s">
        <v>309</v>
      </c>
      <c r="G555" s="1">
        <v>0</v>
      </c>
      <c r="H555" s="1">
        <v>0.05</v>
      </c>
      <c r="I555" s="8">
        <v>45107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0</v>
      </c>
      <c r="U555" s="6">
        <v>0</v>
      </c>
      <c r="V555" s="6">
        <v>0</v>
      </c>
      <c r="W555" s="6">
        <v>0</v>
      </c>
      <c r="AI555" s="2">
        <v>177811</v>
      </c>
      <c r="AJ555" s="2">
        <v>0</v>
      </c>
      <c r="AK555" s="2">
        <v>7937.99</v>
      </c>
      <c r="AL555" s="2">
        <v>0</v>
      </c>
      <c r="AM555" s="5">
        <v>1587.6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10668.66</v>
      </c>
      <c r="AT555" s="12">
        <v>9525.59</v>
      </c>
      <c r="AU555" s="2">
        <v>0</v>
      </c>
      <c r="AV555" s="5">
        <v>889.06</v>
      </c>
      <c r="AX555" s="2">
        <v>177811</v>
      </c>
      <c r="AY555" s="2">
        <v>0</v>
      </c>
      <c r="AZ555" s="2">
        <v>7937.99</v>
      </c>
      <c r="BA555" s="2">
        <v>0</v>
      </c>
      <c r="BB555" s="5">
        <v>1587.6</v>
      </c>
      <c r="BC555" s="12">
        <v>0</v>
      </c>
      <c r="BD555" s="2">
        <v>0</v>
      </c>
      <c r="BE555" s="2">
        <v>0</v>
      </c>
      <c r="BF555" s="2">
        <v>0</v>
      </c>
      <c r="BG555" s="5">
        <v>0</v>
      </c>
      <c r="BH555" s="2">
        <v>10668.66</v>
      </c>
      <c r="BI555" s="12">
        <v>9525.59</v>
      </c>
      <c r="BJ555" s="2">
        <v>0</v>
      </c>
      <c r="BK555" s="5">
        <v>889.06</v>
      </c>
      <c r="BL555" s="1" t="s">
        <v>130</v>
      </c>
    </row>
    <row r="556" spans="1:64" x14ac:dyDescent="0.3">
      <c r="A556" t="s">
        <v>1088</v>
      </c>
      <c r="B556" s="1" t="s">
        <v>1104</v>
      </c>
      <c r="C556" s="9" t="s">
        <v>1105</v>
      </c>
      <c r="D556" s="1" t="s">
        <v>95</v>
      </c>
      <c r="E556" s="1" t="s">
        <v>128</v>
      </c>
      <c r="F556" s="10" t="s">
        <v>309</v>
      </c>
      <c r="G556" s="1">
        <v>0</v>
      </c>
      <c r="H556" s="1">
        <v>0.05</v>
      </c>
      <c r="I556" s="8">
        <v>45323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0</v>
      </c>
      <c r="U556" s="6">
        <v>0</v>
      </c>
      <c r="V556" s="6">
        <v>0</v>
      </c>
      <c r="W556" s="6">
        <v>0</v>
      </c>
      <c r="AI556" s="2">
        <v>140970</v>
      </c>
      <c r="AJ556" s="2">
        <v>0</v>
      </c>
      <c r="AK556" s="2">
        <v>6293.3</v>
      </c>
      <c r="AL556" s="2">
        <v>0</v>
      </c>
      <c r="AM556" s="5">
        <v>1258.6600000000001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8458.2000000000007</v>
      </c>
      <c r="AT556" s="12">
        <v>7551.96</v>
      </c>
      <c r="AU556" s="2">
        <v>0</v>
      </c>
      <c r="AV556" s="5">
        <v>704.85</v>
      </c>
      <c r="AX556" s="2">
        <v>140970</v>
      </c>
      <c r="AY556" s="2">
        <v>0</v>
      </c>
      <c r="AZ556" s="2">
        <v>6293.3</v>
      </c>
      <c r="BA556" s="2">
        <v>0</v>
      </c>
      <c r="BB556" s="5">
        <v>1258.6600000000001</v>
      </c>
      <c r="BC556" s="12">
        <v>0</v>
      </c>
      <c r="BD556" s="2">
        <v>0</v>
      </c>
      <c r="BE556" s="2">
        <v>0</v>
      </c>
      <c r="BF556" s="2">
        <v>0</v>
      </c>
      <c r="BG556" s="5">
        <v>0</v>
      </c>
      <c r="BH556" s="2">
        <v>8458.2000000000007</v>
      </c>
      <c r="BI556" s="12">
        <v>7551.96</v>
      </c>
      <c r="BJ556" s="2">
        <v>0</v>
      </c>
      <c r="BK556" s="5">
        <v>704.85</v>
      </c>
      <c r="BL556" s="1" t="s">
        <v>130</v>
      </c>
    </row>
    <row r="557" spans="1:64" x14ac:dyDescent="0.3">
      <c r="A557" t="s">
        <v>1088</v>
      </c>
      <c r="B557" s="1" t="s">
        <v>1106</v>
      </c>
      <c r="C557" s="9" t="s">
        <v>1107</v>
      </c>
      <c r="D557" s="1" t="s">
        <v>95</v>
      </c>
      <c r="E557" s="1" t="s">
        <v>128</v>
      </c>
      <c r="F557" s="10" t="s">
        <v>309</v>
      </c>
      <c r="G557" s="1">
        <v>0</v>
      </c>
      <c r="H557" s="1">
        <v>0.05</v>
      </c>
      <c r="I557" s="8">
        <v>45281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0</v>
      </c>
      <c r="U557" s="6">
        <v>0</v>
      </c>
      <c r="V557" s="6">
        <v>0</v>
      </c>
      <c r="W557" s="6">
        <v>0</v>
      </c>
      <c r="AI557" s="2">
        <v>371128</v>
      </c>
      <c r="AJ557" s="2">
        <v>0</v>
      </c>
      <c r="AK557" s="2">
        <v>16568.21</v>
      </c>
      <c r="AL557" s="2">
        <v>0</v>
      </c>
      <c r="AM557" s="5">
        <v>3313.64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22267.67</v>
      </c>
      <c r="AT557" s="12">
        <v>19881.849999999999</v>
      </c>
      <c r="AU557" s="2">
        <v>0</v>
      </c>
      <c r="AV557" s="5">
        <v>1855.64</v>
      </c>
      <c r="AX557" s="2">
        <v>371128</v>
      </c>
      <c r="AY557" s="2">
        <v>0</v>
      </c>
      <c r="AZ557" s="2">
        <v>16568.21</v>
      </c>
      <c r="BA557" s="2">
        <v>0</v>
      </c>
      <c r="BB557" s="5">
        <v>3313.64</v>
      </c>
      <c r="BC557" s="12">
        <v>0</v>
      </c>
      <c r="BD557" s="2">
        <v>0</v>
      </c>
      <c r="BE557" s="2">
        <v>0</v>
      </c>
      <c r="BF557" s="2">
        <v>0</v>
      </c>
      <c r="BG557" s="5">
        <v>0</v>
      </c>
      <c r="BH557" s="2">
        <v>22267.67</v>
      </c>
      <c r="BI557" s="12">
        <v>19881.849999999999</v>
      </c>
      <c r="BJ557" s="2">
        <v>0</v>
      </c>
      <c r="BK557" s="5">
        <v>1855.64</v>
      </c>
      <c r="BL557" s="1" t="s">
        <v>130</v>
      </c>
    </row>
    <row r="558" spans="1:64" x14ac:dyDescent="0.3">
      <c r="A558" t="s">
        <v>1088</v>
      </c>
      <c r="B558" s="1" t="s">
        <v>1108</v>
      </c>
      <c r="C558" s="9" t="s">
        <v>1109</v>
      </c>
      <c r="D558" s="1" t="s">
        <v>95</v>
      </c>
      <c r="E558" s="1" t="s">
        <v>128</v>
      </c>
      <c r="F558" s="10" t="s">
        <v>309</v>
      </c>
      <c r="G558" s="1">
        <v>0</v>
      </c>
      <c r="H558" s="1">
        <v>0.05</v>
      </c>
      <c r="I558" s="8">
        <v>45636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0</v>
      </c>
      <c r="U558" s="6">
        <v>0</v>
      </c>
      <c r="V558" s="6">
        <v>0</v>
      </c>
      <c r="W558" s="6">
        <v>0</v>
      </c>
      <c r="AI558" s="2">
        <v>259327</v>
      </c>
      <c r="AJ558" s="2">
        <v>0</v>
      </c>
      <c r="AK558" s="2">
        <v>11577.1</v>
      </c>
      <c r="AL558" s="2">
        <v>0</v>
      </c>
      <c r="AM558" s="5">
        <v>2315.42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15559.62</v>
      </c>
      <c r="AT558" s="12">
        <v>13892.52</v>
      </c>
      <c r="AU558" s="2">
        <v>0</v>
      </c>
      <c r="AV558" s="5">
        <v>1296.6400000000001</v>
      </c>
      <c r="AX558" s="2">
        <v>259327</v>
      </c>
      <c r="AY558" s="2">
        <v>0</v>
      </c>
      <c r="AZ558" s="2">
        <v>11577.1</v>
      </c>
      <c r="BA558" s="2">
        <v>0</v>
      </c>
      <c r="BB558" s="5">
        <v>2315.42</v>
      </c>
      <c r="BC558" s="12">
        <v>0</v>
      </c>
      <c r="BD558" s="2">
        <v>0</v>
      </c>
      <c r="BE558" s="2">
        <v>0</v>
      </c>
      <c r="BF558" s="2">
        <v>0</v>
      </c>
      <c r="BG558" s="5">
        <v>0</v>
      </c>
      <c r="BH558" s="2">
        <v>15559.62</v>
      </c>
      <c r="BI558" s="12">
        <v>13892.52</v>
      </c>
      <c r="BJ558" s="2">
        <v>0</v>
      </c>
      <c r="BK558" s="5">
        <v>1296.6400000000001</v>
      </c>
      <c r="BL558" s="1" t="s">
        <v>130</v>
      </c>
    </row>
    <row r="559" spans="1:64" x14ac:dyDescent="0.3">
      <c r="A559" t="s">
        <v>1088</v>
      </c>
      <c r="B559" s="1" t="s">
        <v>1110</v>
      </c>
      <c r="C559" s="9" t="s">
        <v>1111</v>
      </c>
      <c r="D559" s="1" t="s">
        <v>95</v>
      </c>
      <c r="E559" s="1" t="s">
        <v>128</v>
      </c>
      <c r="F559" s="10" t="s">
        <v>309</v>
      </c>
      <c r="G559" s="1">
        <v>0</v>
      </c>
      <c r="H559" s="1">
        <v>0.05</v>
      </c>
      <c r="I559" s="8">
        <v>45600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0</v>
      </c>
      <c r="U559" s="6">
        <v>0</v>
      </c>
      <c r="V559" s="6">
        <v>0</v>
      </c>
      <c r="W559" s="6">
        <v>0</v>
      </c>
      <c r="AI559" s="2">
        <v>174640</v>
      </c>
      <c r="AJ559" s="2">
        <v>0</v>
      </c>
      <c r="AK559" s="2">
        <v>7796.43</v>
      </c>
      <c r="AL559" s="2">
        <v>0</v>
      </c>
      <c r="AM559" s="5">
        <v>1559.29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10478.41</v>
      </c>
      <c r="AT559" s="12">
        <v>9355.7200000000012</v>
      </c>
      <c r="AU559" s="2">
        <v>0</v>
      </c>
      <c r="AV559" s="5">
        <v>873.2</v>
      </c>
      <c r="AX559" s="2">
        <v>174640</v>
      </c>
      <c r="AY559" s="2">
        <v>0</v>
      </c>
      <c r="AZ559" s="2">
        <v>7796.43</v>
      </c>
      <c r="BA559" s="2">
        <v>0</v>
      </c>
      <c r="BB559" s="5">
        <v>1559.29</v>
      </c>
      <c r="BC559" s="12">
        <v>0</v>
      </c>
      <c r="BD559" s="2">
        <v>0</v>
      </c>
      <c r="BE559" s="2">
        <v>0</v>
      </c>
      <c r="BF559" s="2">
        <v>0</v>
      </c>
      <c r="BG559" s="5">
        <v>0</v>
      </c>
      <c r="BH559" s="2">
        <v>10478.41</v>
      </c>
      <c r="BI559" s="12">
        <v>9355.7200000000012</v>
      </c>
      <c r="BJ559" s="2">
        <v>0</v>
      </c>
      <c r="BK559" s="5">
        <v>873.2</v>
      </c>
      <c r="BL559" s="1" t="s">
        <v>130</v>
      </c>
    </row>
    <row r="560" spans="1:64" x14ac:dyDescent="0.3">
      <c r="A560" t="s">
        <v>1088</v>
      </c>
      <c r="B560" s="1" t="s">
        <v>1112</v>
      </c>
      <c r="C560" s="9" t="s">
        <v>1113</v>
      </c>
      <c r="D560" s="1" t="s">
        <v>95</v>
      </c>
      <c r="E560" s="1" t="s">
        <v>128</v>
      </c>
      <c r="F560" s="10" t="s">
        <v>309</v>
      </c>
      <c r="G560" s="1">
        <v>0</v>
      </c>
      <c r="H560" s="1">
        <v>0.05</v>
      </c>
      <c r="I560" s="8">
        <v>0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0</v>
      </c>
      <c r="U560" s="6">
        <v>0</v>
      </c>
      <c r="V560" s="6">
        <v>0</v>
      </c>
      <c r="W560" s="6">
        <v>0</v>
      </c>
      <c r="AI560" s="2">
        <v>112493</v>
      </c>
      <c r="AJ560" s="2">
        <v>0</v>
      </c>
      <c r="AK560" s="2">
        <v>5022.01</v>
      </c>
      <c r="AL560" s="2">
        <v>0</v>
      </c>
      <c r="AM560" s="5">
        <v>1004.4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6749.58</v>
      </c>
      <c r="AT560" s="12">
        <v>6026.41</v>
      </c>
      <c r="AU560" s="2">
        <v>0</v>
      </c>
      <c r="AV560" s="5">
        <v>562.46</v>
      </c>
      <c r="AX560" s="2">
        <v>112493</v>
      </c>
      <c r="AY560" s="2">
        <v>0</v>
      </c>
      <c r="AZ560" s="2">
        <v>5022.01</v>
      </c>
      <c r="BA560" s="2">
        <v>0</v>
      </c>
      <c r="BB560" s="5">
        <v>1004.4</v>
      </c>
      <c r="BC560" s="12">
        <v>0</v>
      </c>
      <c r="BD560" s="2">
        <v>0</v>
      </c>
      <c r="BE560" s="2">
        <v>0</v>
      </c>
      <c r="BF560" s="2">
        <v>0</v>
      </c>
      <c r="BG560" s="5">
        <v>0</v>
      </c>
      <c r="BH560" s="2">
        <v>6749.58</v>
      </c>
      <c r="BI560" s="12">
        <v>6026.41</v>
      </c>
      <c r="BJ560" s="2">
        <v>0</v>
      </c>
      <c r="BK560" s="5">
        <v>562.46</v>
      </c>
      <c r="BL560" s="1" t="s">
        <v>130</v>
      </c>
    </row>
    <row r="561" spans="1:64" x14ac:dyDescent="0.3">
      <c r="A561" t="s">
        <v>1088</v>
      </c>
      <c r="B561" s="1" t="s">
        <v>1114</v>
      </c>
      <c r="C561" s="9" t="s">
        <v>1115</v>
      </c>
      <c r="D561" s="1" t="s">
        <v>95</v>
      </c>
      <c r="E561" s="1" t="s">
        <v>128</v>
      </c>
      <c r="F561" s="10" t="s">
        <v>309</v>
      </c>
      <c r="G561" s="1">
        <v>0</v>
      </c>
      <c r="H561" s="1">
        <v>0.05</v>
      </c>
      <c r="I561" s="8">
        <v>0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0</v>
      </c>
      <c r="U561" s="6">
        <v>0</v>
      </c>
      <c r="V561" s="6">
        <v>0</v>
      </c>
      <c r="W561" s="6">
        <v>0</v>
      </c>
      <c r="AI561" s="2">
        <v>0</v>
      </c>
      <c r="AJ561" s="2">
        <v>0</v>
      </c>
      <c r="AK561" s="2">
        <v>0</v>
      </c>
      <c r="AL561" s="2">
        <v>0</v>
      </c>
      <c r="AM561" s="5">
        <v>0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0</v>
      </c>
      <c r="AT561" s="12">
        <v>0</v>
      </c>
      <c r="AU561" s="2">
        <v>0</v>
      </c>
      <c r="AV561" s="5">
        <v>0</v>
      </c>
      <c r="AX561" s="2">
        <v>0</v>
      </c>
      <c r="AY561" s="2">
        <v>0</v>
      </c>
      <c r="AZ561" s="2">
        <v>0</v>
      </c>
      <c r="BA561" s="2">
        <v>0</v>
      </c>
      <c r="BB561" s="5">
        <v>0</v>
      </c>
      <c r="BC561" s="12">
        <v>0</v>
      </c>
      <c r="BD561" s="2">
        <v>0</v>
      </c>
      <c r="BE561" s="2">
        <v>0</v>
      </c>
      <c r="BF561" s="2">
        <v>0</v>
      </c>
      <c r="BG561" s="5">
        <v>0</v>
      </c>
      <c r="BH561" s="2">
        <v>0</v>
      </c>
      <c r="BI561" s="12">
        <v>0</v>
      </c>
      <c r="BJ561" s="2">
        <v>0</v>
      </c>
      <c r="BK561" s="5">
        <v>0</v>
      </c>
      <c r="BL561" s="1" t="s">
        <v>130</v>
      </c>
    </row>
    <row r="562" spans="1:64" x14ac:dyDescent="0.3">
      <c r="A562" t="s">
        <v>1116</v>
      </c>
      <c r="B562" s="1" t="s">
        <v>1116</v>
      </c>
      <c r="C562" s="9" t="s">
        <v>1117</v>
      </c>
      <c r="D562" s="1" t="s">
        <v>95</v>
      </c>
      <c r="E562" s="1" t="s">
        <v>88</v>
      </c>
      <c r="F562" s="10" t="s">
        <v>534</v>
      </c>
      <c r="G562" s="1">
        <v>0</v>
      </c>
      <c r="H562" s="1">
        <v>0.05</v>
      </c>
      <c r="I562" s="8">
        <v>45004</v>
      </c>
      <c r="J562" s="6">
        <v>49780</v>
      </c>
      <c r="K562" s="6">
        <v>15023</v>
      </c>
      <c r="L562" s="6">
        <v>2222.3200000000002</v>
      </c>
      <c r="M562" s="6">
        <v>670.67</v>
      </c>
      <c r="N562" s="7">
        <v>578.6</v>
      </c>
      <c r="O562" s="6">
        <v>-589272.60000000009</v>
      </c>
      <c r="P562" s="6">
        <v>-73431.899999999994</v>
      </c>
      <c r="Q562" s="6">
        <v>-26306.81</v>
      </c>
      <c r="R562" s="6">
        <v>-3278.21</v>
      </c>
      <c r="S562" s="7">
        <v>-5917.01</v>
      </c>
      <c r="T562" s="11">
        <v>-35874.089999999997</v>
      </c>
      <c r="U562" s="6">
        <v>-32030.44</v>
      </c>
      <c r="V562" s="6">
        <v>0</v>
      </c>
      <c r="W562" s="6">
        <v>-2989.5</v>
      </c>
      <c r="AI562" s="2">
        <v>49780</v>
      </c>
      <c r="AJ562" s="2">
        <v>15023</v>
      </c>
      <c r="AK562" s="2">
        <v>2222.3200000000002</v>
      </c>
      <c r="AL562" s="2">
        <v>670.67</v>
      </c>
      <c r="AM562" s="5">
        <v>578.6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3888.18</v>
      </c>
      <c r="AT562" s="12">
        <v>3471.59</v>
      </c>
      <c r="AU562" s="2">
        <v>0</v>
      </c>
      <c r="AV562" s="5">
        <v>324.02</v>
      </c>
      <c r="AX562" s="2">
        <v>0</v>
      </c>
      <c r="AY562" s="2">
        <v>0</v>
      </c>
      <c r="AZ562" s="2">
        <v>0</v>
      </c>
      <c r="BA562" s="2">
        <v>0</v>
      </c>
      <c r="BB562" s="5">
        <v>0</v>
      </c>
      <c r="BC562" s="12">
        <v>589272.60000000009</v>
      </c>
      <c r="BD562" s="2">
        <v>73431.899999999994</v>
      </c>
      <c r="BE562" s="2">
        <v>26306.81</v>
      </c>
      <c r="BF562" s="2">
        <v>3278.21</v>
      </c>
      <c r="BG562" s="5">
        <v>5917.01</v>
      </c>
      <c r="BH562" s="2">
        <v>39762.269999999997</v>
      </c>
      <c r="BI562" s="12">
        <v>35502.03</v>
      </c>
      <c r="BJ562" s="2">
        <v>0</v>
      </c>
      <c r="BK562" s="5">
        <v>3313.52</v>
      </c>
      <c r="BL562" s="1" t="s">
        <v>90</v>
      </c>
    </row>
    <row r="563" spans="1:64" x14ac:dyDescent="0.3">
      <c r="A563" t="s">
        <v>1118</v>
      </c>
      <c r="B563" s="1" t="s">
        <v>1118</v>
      </c>
      <c r="C563" s="9" t="s">
        <v>1119</v>
      </c>
      <c r="D563" s="1" t="s">
        <v>95</v>
      </c>
      <c r="E563" s="1" t="s">
        <v>135</v>
      </c>
      <c r="F563" s="10" t="s">
        <v>435</v>
      </c>
      <c r="G563" s="1">
        <v>0</v>
      </c>
      <c r="H563" s="1">
        <v>0.05</v>
      </c>
      <c r="I563" s="8">
        <v>44879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0</v>
      </c>
      <c r="U563" s="6">
        <v>0</v>
      </c>
      <c r="V563" s="6">
        <v>0</v>
      </c>
      <c r="W563" s="6">
        <v>0</v>
      </c>
      <c r="AI563" s="2">
        <v>1123634</v>
      </c>
      <c r="AJ563" s="2">
        <v>157506</v>
      </c>
      <c r="AK563" s="2">
        <v>50162.23</v>
      </c>
      <c r="AL563" s="2">
        <v>7031.52</v>
      </c>
      <c r="AM563" s="5">
        <v>11438.75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76868.399999999994</v>
      </c>
      <c r="AT563" s="12">
        <v>68632.5</v>
      </c>
      <c r="AU563" s="2">
        <v>0</v>
      </c>
      <c r="AV563" s="5">
        <v>6405.7</v>
      </c>
      <c r="AX563" s="2">
        <v>1123634</v>
      </c>
      <c r="AY563" s="2">
        <v>157506</v>
      </c>
      <c r="AZ563" s="2">
        <v>50162.23</v>
      </c>
      <c r="BA563" s="2">
        <v>7031.52</v>
      </c>
      <c r="BB563" s="5">
        <v>11438.75</v>
      </c>
      <c r="BC563" s="12">
        <v>0</v>
      </c>
      <c r="BD563" s="2">
        <v>0</v>
      </c>
      <c r="BE563" s="2">
        <v>0</v>
      </c>
      <c r="BF563" s="2">
        <v>0</v>
      </c>
      <c r="BG563" s="5">
        <v>0</v>
      </c>
      <c r="BH563" s="2">
        <v>76868.399999999994</v>
      </c>
      <c r="BI563" s="12">
        <v>68632.5</v>
      </c>
      <c r="BJ563" s="2">
        <v>0</v>
      </c>
      <c r="BK563" s="5">
        <v>6405.7</v>
      </c>
      <c r="BL563" s="1" t="s">
        <v>137</v>
      </c>
    </row>
    <row r="564" spans="1:64" x14ac:dyDescent="0.3">
      <c r="A564" t="s">
        <v>1140</v>
      </c>
      <c r="B564" s="1" t="s">
        <v>1140</v>
      </c>
      <c r="C564" s="9" t="s">
        <v>1141</v>
      </c>
      <c r="D564" s="1" t="s">
        <v>95</v>
      </c>
      <c r="E564" s="1" t="s">
        <v>135</v>
      </c>
      <c r="F564" s="10" t="s">
        <v>136</v>
      </c>
      <c r="G564" s="1">
        <v>0</v>
      </c>
      <c r="H564" s="1">
        <v>0.05</v>
      </c>
      <c r="I564" s="8">
        <v>45123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0</v>
      </c>
      <c r="U564" s="6">
        <v>0</v>
      </c>
      <c r="V564" s="6">
        <v>0</v>
      </c>
      <c r="W564" s="6">
        <v>0</v>
      </c>
      <c r="AI564" s="2">
        <v>1087436</v>
      </c>
      <c r="AJ564" s="2">
        <v>134752</v>
      </c>
      <c r="AK564" s="2">
        <v>48546.25</v>
      </c>
      <c r="AL564" s="2">
        <v>6015.71</v>
      </c>
      <c r="AM564" s="5">
        <v>10912.39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73331.27</v>
      </c>
      <c r="AT564" s="12">
        <v>65474.35</v>
      </c>
      <c r="AU564" s="2">
        <v>0</v>
      </c>
      <c r="AV564" s="5">
        <v>6110.94</v>
      </c>
      <c r="AX564" s="2">
        <v>1087436</v>
      </c>
      <c r="AY564" s="2">
        <v>134752</v>
      </c>
      <c r="AZ564" s="2">
        <v>48546.25</v>
      </c>
      <c r="BA564" s="2">
        <v>6015.71</v>
      </c>
      <c r="BB564" s="5">
        <v>10912.39</v>
      </c>
      <c r="BC564" s="12">
        <v>0</v>
      </c>
      <c r="BD564" s="2">
        <v>0</v>
      </c>
      <c r="BE564" s="2">
        <v>0</v>
      </c>
      <c r="BF564" s="2">
        <v>0</v>
      </c>
      <c r="BG564" s="5">
        <v>0</v>
      </c>
      <c r="BH564" s="2">
        <v>73331.27</v>
      </c>
      <c r="BI564" s="12">
        <v>65474.35</v>
      </c>
      <c r="BJ564" s="2">
        <v>0</v>
      </c>
      <c r="BK564" s="5">
        <v>6110.94</v>
      </c>
      <c r="BL564" s="1" t="s">
        <v>137</v>
      </c>
    </row>
    <row r="565" spans="1:64" x14ac:dyDescent="0.3">
      <c r="A565" t="s">
        <v>1142</v>
      </c>
      <c r="B565" s="1" t="s">
        <v>1142</v>
      </c>
      <c r="C565" s="9" t="s">
        <v>1143</v>
      </c>
      <c r="D565" s="1" t="s">
        <v>95</v>
      </c>
      <c r="E565" s="1" t="s">
        <v>135</v>
      </c>
      <c r="F565" s="10" t="s">
        <v>193</v>
      </c>
      <c r="G565" s="1">
        <v>0</v>
      </c>
      <c r="H565" s="1">
        <v>0.05</v>
      </c>
      <c r="I565" s="8">
        <v>44774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0</v>
      </c>
      <c r="U565" s="6">
        <v>0</v>
      </c>
      <c r="V565" s="6">
        <v>0</v>
      </c>
      <c r="W565" s="6">
        <v>0</v>
      </c>
      <c r="AI565" s="2">
        <v>296399</v>
      </c>
      <c r="AJ565" s="2">
        <v>56211</v>
      </c>
      <c r="AK565" s="2">
        <v>13232.1</v>
      </c>
      <c r="AL565" s="2">
        <v>2509.42</v>
      </c>
      <c r="AM565" s="5">
        <v>3148.3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21156.6</v>
      </c>
      <c r="AT565" s="12">
        <v>18889.82</v>
      </c>
      <c r="AU565" s="2">
        <v>0</v>
      </c>
      <c r="AV565" s="5">
        <v>1763.05</v>
      </c>
      <c r="AX565" s="2">
        <v>296399</v>
      </c>
      <c r="AY565" s="2">
        <v>56211</v>
      </c>
      <c r="AZ565" s="2">
        <v>13232.1</v>
      </c>
      <c r="BA565" s="2">
        <v>2509.42</v>
      </c>
      <c r="BB565" s="5">
        <v>3148.3</v>
      </c>
      <c r="BC565" s="12">
        <v>0</v>
      </c>
      <c r="BD565" s="2">
        <v>0</v>
      </c>
      <c r="BE565" s="2">
        <v>0</v>
      </c>
      <c r="BF565" s="2">
        <v>0</v>
      </c>
      <c r="BG565" s="5">
        <v>0</v>
      </c>
      <c r="BH565" s="2">
        <v>21156.6</v>
      </c>
      <c r="BI565" s="12">
        <v>18889.82</v>
      </c>
      <c r="BJ565" s="2">
        <v>0</v>
      </c>
      <c r="BK565" s="5">
        <v>1763.05</v>
      </c>
      <c r="BL565" s="1" t="s">
        <v>137</v>
      </c>
    </row>
    <row r="566" spans="1:64" x14ac:dyDescent="0.3">
      <c r="A566" t="s">
        <v>1144</v>
      </c>
      <c r="B566" s="1" t="s">
        <v>1144</v>
      </c>
      <c r="C566" s="9" t="s">
        <v>1145</v>
      </c>
      <c r="D566" s="1" t="s">
        <v>95</v>
      </c>
      <c r="E566" s="1" t="s">
        <v>135</v>
      </c>
      <c r="F566" s="10" t="s">
        <v>193</v>
      </c>
      <c r="G566" s="1">
        <v>0</v>
      </c>
      <c r="H566" s="1">
        <v>0.05</v>
      </c>
      <c r="I566" s="8">
        <v>44774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148304</v>
      </c>
      <c r="AJ566" s="2">
        <v>40239</v>
      </c>
      <c r="AK566" s="2">
        <v>6620.71</v>
      </c>
      <c r="AL566" s="2">
        <v>1796.38</v>
      </c>
      <c r="AM566" s="5">
        <v>1683.42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11312.57</v>
      </c>
      <c r="AT566" s="12">
        <v>10100.51</v>
      </c>
      <c r="AU566" s="2">
        <v>0</v>
      </c>
      <c r="AV566" s="5">
        <v>942.72</v>
      </c>
      <c r="AX566" s="2">
        <v>148304</v>
      </c>
      <c r="AY566" s="2">
        <v>40239</v>
      </c>
      <c r="AZ566" s="2">
        <v>6620.71</v>
      </c>
      <c r="BA566" s="2">
        <v>1796.38</v>
      </c>
      <c r="BB566" s="5">
        <v>1683.42</v>
      </c>
      <c r="BC566" s="12">
        <v>0</v>
      </c>
      <c r="BD566" s="2">
        <v>0</v>
      </c>
      <c r="BE566" s="2">
        <v>0</v>
      </c>
      <c r="BF566" s="2">
        <v>0</v>
      </c>
      <c r="BG566" s="5">
        <v>0</v>
      </c>
      <c r="BH566" s="2">
        <v>11312.57</v>
      </c>
      <c r="BI566" s="12">
        <v>10100.51</v>
      </c>
      <c r="BJ566" s="2">
        <v>0</v>
      </c>
      <c r="BK566" s="5">
        <v>942.72</v>
      </c>
      <c r="BL566" s="1" t="s">
        <v>137</v>
      </c>
    </row>
    <row r="567" spans="1:64" x14ac:dyDescent="0.3">
      <c r="A567" t="s">
        <v>1144</v>
      </c>
      <c r="B567" s="1" t="s">
        <v>1146</v>
      </c>
      <c r="C567" s="9" t="s">
        <v>1147</v>
      </c>
      <c r="D567" s="1" t="s">
        <v>95</v>
      </c>
      <c r="E567" s="1" t="s">
        <v>135</v>
      </c>
      <c r="F567" s="10" t="s">
        <v>193</v>
      </c>
      <c r="G567" s="1">
        <v>0</v>
      </c>
      <c r="H567" s="1">
        <v>0.05</v>
      </c>
      <c r="I567" s="8">
        <v>44774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0</v>
      </c>
      <c r="U567" s="6">
        <v>0</v>
      </c>
      <c r="V567" s="6">
        <v>0</v>
      </c>
      <c r="W567" s="6">
        <v>0</v>
      </c>
      <c r="AI567" s="2">
        <v>313202</v>
      </c>
      <c r="AJ567" s="2">
        <v>62549</v>
      </c>
      <c r="AK567" s="2">
        <v>13982.23</v>
      </c>
      <c r="AL567" s="2">
        <v>2792.37</v>
      </c>
      <c r="AM567" s="5">
        <v>3354.92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22545.06</v>
      </c>
      <c r="AT567" s="12">
        <v>20129.519999999997</v>
      </c>
      <c r="AU567" s="2">
        <v>0</v>
      </c>
      <c r="AV567" s="5">
        <v>1878.76</v>
      </c>
      <c r="AX567" s="2">
        <v>313202</v>
      </c>
      <c r="AY567" s="2">
        <v>62549</v>
      </c>
      <c r="AZ567" s="2">
        <v>13982.23</v>
      </c>
      <c r="BA567" s="2">
        <v>2792.37</v>
      </c>
      <c r="BB567" s="5">
        <v>3354.92</v>
      </c>
      <c r="BC567" s="12">
        <v>0</v>
      </c>
      <c r="BD567" s="2">
        <v>0</v>
      </c>
      <c r="BE567" s="2">
        <v>0</v>
      </c>
      <c r="BF567" s="2">
        <v>0</v>
      </c>
      <c r="BG567" s="5">
        <v>0</v>
      </c>
      <c r="BH567" s="2">
        <v>22545.06</v>
      </c>
      <c r="BI567" s="12">
        <v>20129.519999999997</v>
      </c>
      <c r="BJ567" s="2">
        <v>0</v>
      </c>
      <c r="BK567" s="5">
        <v>1878.76</v>
      </c>
      <c r="BL567" s="1" t="s">
        <v>137</v>
      </c>
    </row>
    <row r="568" spans="1:64" x14ac:dyDescent="0.3">
      <c r="A568" t="s">
        <v>1144</v>
      </c>
      <c r="B568" s="1" t="s">
        <v>1148</v>
      </c>
      <c r="C568" s="9" t="s">
        <v>1149</v>
      </c>
      <c r="D568" s="1" t="s">
        <v>95</v>
      </c>
      <c r="E568" s="1" t="s">
        <v>135</v>
      </c>
      <c r="F568" s="10" t="s">
        <v>193</v>
      </c>
      <c r="G568" s="1">
        <v>0</v>
      </c>
      <c r="H568" s="1">
        <v>0.05</v>
      </c>
      <c r="I568" s="8">
        <v>44774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0</v>
      </c>
      <c r="U568" s="6">
        <v>0</v>
      </c>
      <c r="V568" s="6">
        <v>0</v>
      </c>
      <c r="W568" s="6">
        <v>0</v>
      </c>
      <c r="AI568" s="2">
        <v>148765</v>
      </c>
      <c r="AJ568" s="2">
        <v>29697</v>
      </c>
      <c r="AK568" s="2">
        <v>6641.29</v>
      </c>
      <c r="AL568" s="2">
        <v>1325.76</v>
      </c>
      <c r="AM568" s="5">
        <v>1593.41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10707.72</v>
      </c>
      <c r="AT568" s="12">
        <v>9560.4600000000009</v>
      </c>
      <c r="AU568" s="2">
        <v>0</v>
      </c>
      <c r="AV568" s="5">
        <v>892.31</v>
      </c>
      <c r="AX568" s="2">
        <v>148765</v>
      </c>
      <c r="AY568" s="2">
        <v>29697</v>
      </c>
      <c r="AZ568" s="2">
        <v>6641.29</v>
      </c>
      <c r="BA568" s="2">
        <v>1325.76</v>
      </c>
      <c r="BB568" s="5">
        <v>1593.41</v>
      </c>
      <c r="BC568" s="12">
        <v>0</v>
      </c>
      <c r="BD568" s="2">
        <v>0</v>
      </c>
      <c r="BE568" s="2">
        <v>0</v>
      </c>
      <c r="BF568" s="2">
        <v>0</v>
      </c>
      <c r="BG568" s="5">
        <v>0</v>
      </c>
      <c r="BH568" s="2">
        <v>10707.72</v>
      </c>
      <c r="BI568" s="12">
        <v>9560.4600000000009</v>
      </c>
      <c r="BJ568" s="2">
        <v>0</v>
      </c>
      <c r="BK568" s="5">
        <v>892.31</v>
      </c>
      <c r="BL568" s="1" t="s">
        <v>137</v>
      </c>
    </row>
    <row r="569" spans="1:64" x14ac:dyDescent="0.3">
      <c r="A569" t="s">
        <v>1150</v>
      </c>
      <c r="B569" s="1" t="s">
        <v>1150</v>
      </c>
      <c r="C569" s="9" t="s">
        <v>1151</v>
      </c>
      <c r="D569" s="1" t="s">
        <v>95</v>
      </c>
      <c r="E569" s="1" t="s">
        <v>88</v>
      </c>
      <c r="F569" s="10" t="s">
        <v>534</v>
      </c>
      <c r="G569" s="1">
        <v>0</v>
      </c>
      <c r="H569" s="1">
        <v>0.05</v>
      </c>
      <c r="I569" s="8">
        <v>44638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  <c r="T569" s="11">
        <v>0</v>
      </c>
      <c r="U569" s="6">
        <v>0</v>
      </c>
      <c r="V569" s="6">
        <v>0</v>
      </c>
      <c r="W569" s="6">
        <v>0</v>
      </c>
      <c r="AI569" s="2">
        <v>188035</v>
      </c>
      <c r="AJ569" s="2">
        <v>17205</v>
      </c>
      <c r="AK569" s="2">
        <v>8394.42</v>
      </c>
      <c r="AL569" s="2">
        <v>768.08</v>
      </c>
      <c r="AM569" s="5">
        <v>1832.5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12314.4</v>
      </c>
      <c r="AT569" s="12">
        <v>10995</v>
      </c>
      <c r="AU569" s="2">
        <v>0</v>
      </c>
      <c r="AV569" s="5">
        <v>1026.2</v>
      </c>
      <c r="AX569" s="2">
        <v>188035</v>
      </c>
      <c r="AY569" s="2">
        <v>17205</v>
      </c>
      <c r="AZ569" s="2">
        <v>8394.42</v>
      </c>
      <c r="BA569" s="2">
        <v>768.08</v>
      </c>
      <c r="BB569" s="5">
        <v>1832.5</v>
      </c>
      <c r="BC569" s="12">
        <v>0</v>
      </c>
      <c r="BD569" s="2">
        <v>0</v>
      </c>
      <c r="BE569" s="2">
        <v>0</v>
      </c>
      <c r="BF569" s="2">
        <v>0</v>
      </c>
      <c r="BG569" s="5">
        <v>0</v>
      </c>
      <c r="BH569" s="2">
        <v>12314.4</v>
      </c>
      <c r="BI569" s="12">
        <v>10995</v>
      </c>
      <c r="BJ569" s="2">
        <v>0</v>
      </c>
      <c r="BK569" s="5">
        <v>1026.2</v>
      </c>
      <c r="BL569" s="1" t="s">
        <v>90</v>
      </c>
    </row>
    <row r="570" spans="1:64" x14ac:dyDescent="0.3">
      <c r="A570" t="s">
        <v>1156</v>
      </c>
      <c r="B570" s="1" t="s">
        <v>1156</v>
      </c>
      <c r="C570" s="9" t="s">
        <v>1157</v>
      </c>
      <c r="D570" s="1" t="s">
        <v>95</v>
      </c>
      <c r="E570" s="1" t="s">
        <v>135</v>
      </c>
      <c r="F570" s="10" t="s">
        <v>435</v>
      </c>
      <c r="G570" s="1">
        <v>0</v>
      </c>
      <c r="H570" s="1">
        <v>0.05</v>
      </c>
      <c r="I570" s="8">
        <v>44942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0</v>
      </c>
      <c r="U570" s="6">
        <v>0</v>
      </c>
      <c r="V570" s="6">
        <v>0</v>
      </c>
      <c r="W570" s="6">
        <v>0</v>
      </c>
      <c r="AI570" s="2">
        <v>394776</v>
      </c>
      <c r="AJ570" s="2">
        <v>62420</v>
      </c>
      <c r="AK570" s="2">
        <v>17623.93</v>
      </c>
      <c r="AL570" s="2">
        <v>2786.61</v>
      </c>
      <c r="AM570" s="5">
        <v>4082.11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27431.77</v>
      </c>
      <c r="AT570" s="12">
        <v>24492.65</v>
      </c>
      <c r="AU570" s="2">
        <v>0</v>
      </c>
      <c r="AV570" s="5">
        <v>2285.98</v>
      </c>
      <c r="AX570" s="2">
        <v>394776</v>
      </c>
      <c r="AY570" s="2">
        <v>62420</v>
      </c>
      <c r="AZ570" s="2">
        <v>17623.93</v>
      </c>
      <c r="BA570" s="2">
        <v>2786.61</v>
      </c>
      <c r="BB570" s="5">
        <v>4082.11</v>
      </c>
      <c r="BC570" s="12">
        <v>0</v>
      </c>
      <c r="BD570" s="2">
        <v>0</v>
      </c>
      <c r="BE570" s="2">
        <v>0</v>
      </c>
      <c r="BF570" s="2">
        <v>0</v>
      </c>
      <c r="BG570" s="5">
        <v>0</v>
      </c>
      <c r="BH570" s="2">
        <v>27431.77</v>
      </c>
      <c r="BI570" s="12">
        <v>24492.65</v>
      </c>
      <c r="BJ570" s="2">
        <v>0</v>
      </c>
      <c r="BK570" s="5">
        <v>2285.98</v>
      </c>
      <c r="BL570" s="1" t="s">
        <v>137</v>
      </c>
    </row>
    <row r="571" spans="1:64" x14ac:dyDescent="0.3">
      <c r="A571" t="s">
        <v>1158</v>
      </c>
      <c r="B571" s="1" t="s">
        <v>1158</v>
      </c>
      <c r="C571" s="9" t="s">
        <v>1159</v>
      </c>
      <c r="D571" s="1" t="s">
        <v>95</v>
      </c>
      <c r="E571" s="1" t="s">
        <v>135</v>
      </c>
      <c r="F571" s="10" t="s">
        <v>193</v>
      </c>
      <c r="G571" s="1">
        <v>0</v>
      </c>
      <c r="H571" s="1">
        <v>0.05</v>
      </c>
      <c r="I571" s="8">
        <v>44948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  <c r="T571" s="11">
        <v>0</v>
      </c>
      <c r="U571" s="6">
        <v>0</v>
      </c>
      <c r="V571" s="6">
        <v>0</v>
      </c>
      <c r="W571" s="6">
        <v>0</v>
      </c>
      <c r="AI571" s="2">
        <v>298480.5</v>
      </c>
      <c r="AJ571" s="2">
        <v>60429</v>
      </c>
      <c r="AK571" s="2">
        <v>13325.03</v>
      </c>
      <c r="AL571" s="2">
        <v>2697.72</v>
      </c>
      <c r="AM571" s="5">
        <v>3204.55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21534.58</v>
      </c>
      <c r="AT571" s="12">
        <v>19227.3</v>
      </c>
      <c r="AU571" s="2">
        <v>0</v>
      </c>
      <c r="AV571" s="5">
        <v>1794.55</v>
      </c>
      <c r="AX571" s="2">
        <v>298480.5</v>
      </c>
      <c r="AY571" s="2">
        <v>60429</v>
      </c>
      <c r="AZ571" s="2">
        <v>13325.03</v>
      </c>
      <c r="BA571" s="2">
        <v>2697.72</v>
      </c>
      <c r="BB571" s="5">
        <v>3204.55</v>
      </c>
      <c r="BC571" s="12">
        <v>0</v>
      </c>
      <c r="BD571" s="2">
        <v>0</v>
      </c>
      <c r="BE571" s="2">
        <v>0</v>
      </c>
      <c r="BF571" s="2">
        <v>0</v>
      </c>
      <c r="BG571" s="5">
        <v>0</v>
      </c>
      <c r="BH571" s="2">
        <v>21534.58</v>
      </c>
      <c r="BI571" s="12">
        <v>19227.3</v>
      </c>
      <c r="BJ571" s="2">
        <v>0</v>
      </c>
      <c r="BK571" s="5">
        <v>1794.55</v>
      </c>
      <c r="BL571" s="1" t="s">
        <v>137</v>
      </c>
    </row>
    <row r="572" spans="1:64" x14ac:dyDescent="0.3">
      <c r="A572" t="s">
        <v>1160</v>
      </c>
      <c r="B572" s="1" t="s">
        <v>1160</v>
      </c>
      <c r="C572" s="9" t="s">
        <v>1161</v>
      </c>
      <c r="D572" s="1" t="s">
        <v>95</v>
      </c>
      <c r="E572" s="1" t="s">
        <v>135</v>
      </c>
      <c r="F572" s="10" t="s">
        <v>435</v>
      </c>
      <c r="G572" s="1">
        <v>0</v>
      </c>
      <c r="H572" s="1">
        <v>0.05</v>
      </c>
      <c r="I572" s="8">
        <v>44040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  <c r="T572" s="11">
        <v>0</v>
      </c>
      <c r="U572" s="6">
        <v>0</v>
      </c>
      <c r="V572" s="6">
        <v>0</v>
      </c>
      <c r="W572" s="6">
        <v>0</v>
      </c>
      <c r="AI572" s="2">
        <v>1022634</v>
      </c>
      <c r="AJ572" s="2">
        <v>113679</v>
      </c>
      <c r="AK572" s="2">
        <v>45653.3</v>
      </c>
      <c r="AL572" s="2">
        <v>5074.96</v>
      </c>
      <c r="AM572" s="5">
        <v>10145.65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68178.78</v>
      </c>
      <c r="AT572" s="12">
        <v>60873.91</v>
      </c>
      <c r="AU572" s="2">
        <v>0</v>
      </c>
      <c r="AV572" s="5">
        <v>5681.56</v>
      </c>
      <c r="AX572" s="2">
        <v>1022634</v>
      </c>
      <c r="AY572" s="2">
        <v>113679</v>
      </c>
      <c r="AZ572" s="2">
        <v>45653.3</v>
      </c>
      <c r="BA572" s="2">
        <v>5074.96</v>
      </c>
      <c r="BB572" s="5">
        <v>10145.65</v>
      </c>
      <c r="BC572" s="12">
        <v>0</v>
      </c>
      <c r="BD572" s="2">
        <v>0</v>
      </c>
      <c r="BE572" s="2">
        <v>0</v>
      </c>
      <c r="BF572" s="2">
        <v>0</v>
      </c>
      <c r="BG572" s="5">
        <v>0</v>
      </c>
      <c r="BH572" s="2">
        <v>68178.78</v>
      </c>
      <c r="BI572" s="12">
        <v>60873.91</v>
      </c>
      <c r="BJ572" s="2">
        <v>0</v>
      </c>
      <c r="BK572" s="5">
        <v>5681.56</v>
      </c>
      <c r="BL572" s="1" t="s">
        <v>302</v>
      </c>
    </row>
    <row r="573" spans="1:64" x14ac:dyDescent="0.3">
      <c r="A573" t="s">
        <v>1162</v>
      </c>
      <c r="B573" s="1" t="s">
        <v>1162</v>
      </c>
      <c r="C573" s="9" t="s">
        <v>1163</v>
      </c>
      <c r="D573" s="1" t="s">
        <v>95</v>
      </c>
      <c r="E573" s="1" t="s">
        <v>135</v>
      </c>
      <c r="F573" s="10" t="s">
        <v>136</v>
      </c>
      <c r="G573" s="1">
        <v>0</v>
      </c>
      <c r="H573" s="1">
        <v>0.05</v>
      </c>
      <c r="I573" s="8">
        <v>44878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0</v>
      </c>
      <c r="U573" s="6">
        <v>0</v>
      </c>
      <c r="V573" s="6">
        <v>0</v>
      </c>
      <c r="W573" s="6">
        <v>0</v>
      </c>
      <c r="AI573" s="2">
        <v>1232128</v>
      </c>
      <c r="AJ573" s="2">
        <v>156216</v>
      </c>
      <c r="AK573" s="2">
        <v>55005.71</v>
      </c>
      <c r="AL573" s="2">
        <v>6973.93</v>
      </c>
      <c r="AM573" s="5">
        <v>12395.93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83300.639999999999</v>
      </c>
      <c r="AT573" s="12">
        <v>74375.570000000007</v>
      </c>
      <c r="AU573" s="2">
        <v>0</v>
      </c>
      <c r="AV573" s="5">
        <v>6941.72</v>
      </c>
      <c r="AX573" s="2">
        <v>1232128</v>
      </c>
      <c r="AY573" s="2">
        <v>156216</v>
      </c>
      <c r="AZ573" s="2">
        <v>55005.71</v>
      </c>
      <c r="BA573" s="2">
        <v>6973.93</v>
      </c>
      <c r="BB573" s="5">
        <v>12395.93</v>
      </c>
      <c r="BC573" s="12">
        <v>0</v>
      </c>
      <c r="BD573" s="2">
        <v>0</v>
      </c>
      <c r="BE573" s="2">
        <v>0</v>
      </c>
      <c r="BF573" s="2">
        <v>0</v>
      </c>
      <c r="BG573" s="5">
        <v>0</v>
      </c>
      <c r="BH573" s="2">
        <v>83300.639999999999</v>
      </c>
      <c r="BI573" s="12">
        <v>74375.570000000007</v>
      </c>
      <c r="BJ573" s="2">
        <v>0</v>
      </c>
      <c r="BK573" s="5">
        <v>6941.72</v>
      </c>
      <c r="BL573" s="1" t="s">
        <v>302</v>
      </c>
    </row>
    <row r="574" spans="1:64" x14ac:dyDescent="0.3">
      <c r="A574" t="s">
        <v>1164</v>
      </c>
      <c r="B574" s="1" t="s">
        <v>1164</v>
      </c>
      <c r="C574" s="9" t="s">
        <v>1165</v>
      </c>
      <c r="D574" s="1" t="s">
        <v>95</v>
      </c>
      <c r="E574" s="1" t="s">
        <v>135</v>
      </c>
      <c r="F574" s="10" t="s">
        <v>193</v>
      </c>
      <c r="G574" s="1">
        <v>0</v>
      </c>
      <c r="H574" s="1">
        <v>0.05</v>
      </c>
      <c r="I574" s="8">
        <v>45000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0</v>
      </c>
      <c r="U574" s="6">
        <v>0</v>
      </c>
      <c r="V574" s="6">
        <v>0</v>
      </c>
      <c r="W574" s="6">
        <v>0</v>
      </c>
      <c r="AI574" s="2">
        <v>474345</v>
      </c>
      <c r="AJ574" s="2">
        <v>47725</v>
      </c>
      <c r="AK574" s="2">
        <v>21176.12</v>
      </c>
      <c r="AL574" s="2">
        <v>2130.58</v>
      </c>
      <c r="AM574" s="5">
        <v>4661.34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31324.2</v>
      </c>
      <c r="AT574" s="12">
        <v>27968.039999999997</v>
      </c>
      <c r="AU574" s="2">
        <v>0</v>
      </c>
      <c r="AV574" s="5">
        <v>2610.35</v>
      </c>
      <c r="AX574" s="2">
        <v>474345</v>
      </c>
      <c r="AY574" s="2">
        <v>47725</v>
      </c>
      <c r="AZ574" s="2">
        <v>21176.12</v>
      </c>
      <c r="BA574" s="2">
        <v>2130.58</v>
      </c>
      <c r="BB574" s="5">
        <v>4661.34</v>
      </c>
      <c r="BC574" s="12">
        <v>0</v>
      </c>
      <c r="BD574" s="2">
        <v>0</v>
      </c>
      <c r="BE574" s="2">
        <v>0</v>
      </c>
      <c r="BF574" s="2">
        <v>0</v>
      </c>
      <c r="BG574" s="5">
        <v>0</v>
      </c>
      <c r="BH574" s="2">
        <v>31324.2</v>
      </c>
      <c r="BI574" s="12">
        <v>27968.039999999997</v>
      </c>
      <c r="BJ574" s="2">
        <v>0</v>
      </c>
      <c r="BK574" s="5">
        <v>2610.35</v>
      </c>
      <c r="BL574" s="1" t="s">
        <v>137</v>
      </c>
    </row>
    <row r="575" spans="1:64" x14ac:dyDescent="0.3">
      <c r="A575" t="s">
        <v>1168</v>
      </c>
      <c r="B575" s="1" t="s">
        <v>1168</v>
      </c>
      <c r="C575" s="9" t="s">
        <v>1169</v>
      </c>
      <c r="D575" s="1" t="s">
        <v>95</v>
      </c>
      <c r="E575" s="1" t="s">
        <v>88</v>
      </c>
      <c r="F575" s="10" t="s">
        <v>1170</v>
      </c>
      <c r="G575" s="1">
        <v>0</v>
      </c>
      <c r="H575" s="1">
        <v>0.05</v>
      </c>
      <c r="I575" s="8">
        <v>44915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0</v>
      </c>
      <c r="U575" s="6">
        <v>0</v>
      </c>
      <c r="V575" s="6">
        <v>0</v>
      </c>
      <c r="W575" s="6">
        <v>0</v>
      </c>
      <c r="AI575" s="2">
        <v>506190</v>
      </c>
      <c r="AJ575" s="2">
        <v>71119</v>
      </c>
      <c r="AK575" s="2">
        <v>22597.77</v>
      </c>
      <c r="AL575" s="2">
        <v>3174.96</v>
      </c>
      <c r="AM575" s="5">
        <v>5154.54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34638.54</v>
      </c>
      <c r="AT575" s="12">
        <v>30927.27</v>
      </c>
      <c r="AU575" s="2">
        <v>0</v>
      </c>
      <c r="AV575" s="5">
        <v>2886.54</v>
      </c>
      <c r="AX575" s="2">
        <v>506190</v>
      </c>
      <c r="AY575" s="2">
        <v>71119</v>
      </c>
      <c r="AZ575" s="2">
        <v>22597.77</v>
      </c>
      <c r="BA575" s="2">
        <v>3174.96</v>
      </c>
      <c r="BB575" s="5">
        <v>5154.54</v>
      </c>
      <c r="BC575" s="12">
        <v>0</v>
      </c>
      <c r="BD575" s="2">
        <v>0</v>
      </c>
      <c r="BE575" s="2">
        <v>0</v>
      </c>
      <c r="BF575" s="2">
        <v>0</v>
      </c>
      <c r="BG575" s="5">
        <v>0</v>
      </c>
      <c r="BH575" s="2">
        <v>34638.54</v>
      </c>
      <c r="BI575" s="12">
        <v>30927.27</v>
      </c>
      <c r="BJ575" s="2">
        <v>0</v>
      </c>
      <c r="BK575" s="5">
        <v>2886.54</v>
      </c>
      <c r="BL575" s="1" t="s">
        <v>90</v>
      </c>
    </row>
    <row r="576" spans="1:64" x14ac:dyDescent="0.3">
      <c r="A576" t="s">
        <v>1168</v>
      </c>
      <c r="B576" s="1" t="s">
        <v>1171</v>
      </c>
      <c r="C576" s="9" t="s">
        <v>1172</v>
      </c>
      <c r="D576" s="1" t="s">
        <v>95</v>
      </c>
      <c r="E576" s="1" t="s">
        <v>88</v>
      </c>
      <c r="F576" s="10" t="s">
        <v>1170</v>
      </c>
      <c r="G576" s="1">
        <v>0</v>
      </c>
      <c r="H576" s="1">
        <v>0.05</v>
      </c>
      <c r="I576" s="8">
        <v>44952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0</v>
      </c>
      <c r="U576" s="6">
        <v>0</v>
      </c>
      <c r="V576" s="6">
        <v>0</v>
      </c>
      <c r="W576" s="6">
        <v>0</v>
      </c>
      <c r="AI576" s="2">
        <v>316943</v>
      </c>
      <c r="AJ576" s="2">
        <v>82010</v>
      </c>
      <c r="AK576" s="2">
        <v>14149.24</v>
      </c>
      <c r="AL576" s="2">
        <v>3661.16</v>
      </c>
      <c r="AM576" s="5">
        <v>3562.08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23937.18</v>
      </c>
      <c r="AT576" s="12">
        <v>21372.480000000003</v>
      </c>
      <c r="AU576" s="2">
        <v>0</v>
      </c>
      <c r="AV576" s="5">
        <v>1994.76</v>
      </c>
      <c r="AX576" s="2">
        <v>316943</v>
      </c>
      <c r="AY576" s="2">
        <v>82010</v>
      </c>
      <c r="AZ576" s="2">
        <v>14149.24</v>
      </c>
      <c r="BA576" s="2">
        <v>3661.16</v>
      </c>
      <c r="BB576" s="5">
        <v>3562.08</v>
      </c>
      <c r="BC576" s="12">
        <v>0</v>
      </c>
      <c r="BD576" s="2">
        <v>0</v>
      </c>
      <c r="BE576" s="2">
        <v>0</v>
      </c>
      <c r="BF576" s="2">
        <v>0</v>
      </c>
      <c r="BG576" s="5">
        <v>0</v>
      </c>
      <c r="BH576" s="2">
        <v>23937.18</v>
      </c>
      <c r="BI576" s="12">
        <v>21372.480000000003</v>
      </c>
      <c r="BJ576" s="2">
        <v>0</v>
      </c>
      <c r="BK576" s="5">
        <v>1994.76</v>
      </c>
      <c r="BL576" s="1" t="s">
        <v>90</v>
      </c>
    </row>
    <row r="577" spans="1:64" x14ac:dyDescent="0.3">
      <c r="A577" t="s">
        <v>1175</v>
      </c>
      <c r="B577" s="1" t="s">
        <v>1175</v>
      </c>
      <c r="C577" s="9" t="s">
        <v>1176</v>
      </c>
      <c r="D577" s="1" t="s">
        <v>95</v>
      </c>
      <c r="E577" s="1" t="s">
        <v>135</v>
      </c>
      <c r="F577" s="10" t="s">
        <v>485</v>
      </c>
      <c r="G577" s="1">
        <v>0</v>
      </c>
      <c r="H577" s="1">
        <v>0.05</v>
      </c>
      <c r="I577" s="8">
        <v>0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0</v>
      </c>
      <c r="U577" s="6">
        <v>0</v>
      </c>
      <c r="V577" s="6">
        <v>0</v>
      </c>
      <c r="W577" s="6">
        <v>0</v>
      </c>
      <c r="AI577" s="2">
        <v>0</v>
      </c>
      <c r="AJ577" s="2">
        <v>0</v>
      </c>
      <c r="AK577" s="2">
        <v>0</v>
      </c>
      <c r="AL577" s="2">
        <v>0</v>
      </c>
      <c r="AM577" s="5">
        <v>0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0</v>
      </c>
      <c r="AT577" s="12">
        <v>0</v>
      </c>
      <c r="AU577" s="2">
        <v>0</v>
      </c>
      <c r="AV577" s="5">
        <v>0</v>
      </c>
      <c r="AX577" s="2">
        <v>0</v>
      </c>
      <c r="AY577" s="2">
        <v>0</v>
      </c>
      <c r="AZ577" s="2">
        <v>0</v>
      </c>
      <c r="BA577" s="2">
        <v>0</v>
      </c>
      <c r="BB577" s="5">
        <v>0</v>
      </c>
      <c r="BC577" s="12">
        <v>0</v>
      </c>
      <c r="BD577" s="2">
        <v>0</v>
      </c>
      <c r="BE577" s="2">
        <v>0</v>
      </c>
      <c r="BF577" s="2">
        <v>0</v>
      </c>
      <c r="BG577" s="5">
        <v>0</v>
      </c>
      <c r="BH577" s="2">
        <v>0</v>
      </c>
      <c r="BI577" s="12">
        <v>0</v>
      </c>
      <c r="BJ577" s="2">
        <v>0</v>
      </c>
      <c r="BK577" s="5">
        <v>0</v>
      </c>
      <c r="BL577" s="1" t="s">
        <v>302</v>
      </c>
    </row>
    <row r="578" spans="1:64" x14ac:dyDescent="0.3">
      <c r="A578" t="s">
        <v>1177</v>
      </c>
      <c r="B578" s="1" t="s">
        <v>1177</v>
      </c>
      <c r="C578" s="9" t="s">
        <v>1178</v>
      </c>
      <c r="D578" s="1" t="s">
        <v>95</v>
      </c>
      <c r="E578" s="1" t="s">
        <v>135</v>
      </c>
      <c r="F578" s="10" t="s">
        <v>435</v>
      </c>
      <c r="G578" s="1">
        <v>0</v>
      </c>
      <c r="H578" s="1">
        <v>0.05</v>
      </c>
      <c r="I578" s="8">
        <v>44948</v>
      </c>
      <c r="J578" s="6">
        <v>0</v>
      </c>
      <c r="K578" s="6">
        <v>0</v>
      </c>
      <c r="L578" s="6">
        <v>0</v>
      </c>
      <c r="M578" s="6">
        <v>0</v>
      </c>
      <c r="N578" s="7">
        <v>0</v>
      </c>
      <c r="O578" s="6">
        <v>0</v>
      </c>
      <c r="P578" s="6">
        <v>0</v>
      </c>
      <c r="Q578" s="6">
        <v>0</v>
      </c>
      <c r="R578" s="6">
        <v>0</v>
      </c>
      <c r="S578" s="7">
        <v>0</v>
      </c>
      <c r="T578" s="11">
        <v>0</v>
      </c>
      <c r="U578" s="6">
        <v>0</v>
      </c>
      <c r="V578" s="6">
        <v>0</v>
      </c>
      <c r="W578" s="6">
        <v>0</v>
      </c>
      <c r="AI578" s="2">
        <v>541645</v>
      </c>
      <c r="AJ578" s="2">
        <v>71500</v>
      </c>
      <c r="AK578" s="2">
        <v>24180.58</v>
      </c>
      <c r="AL578" s="2">
        <v>3191.96</v>
      </c>
      <c r="AM578" s="5">
        <v>5474.51</v>
      </c>
      <c r="AN578" s="12">
        <v>0</v>
      </c>
      <c r="AO578" s="2">
        <v>0</v>
      </c>
      <c r="AP578" s="2">
        <v>0</v>
      </c>
      <c r="AQ578" s="2">
        <v>0</v>
      </c>
      <c r="AR578" s="5">
        <v>0</v>
      </c>
      <c r="AS578" s="2">
        <v>36788.699999999997</v>
      </c>
      <c r="AT578" s="12">
        <v>32847.050000000003</v>
      </c>
      <c r="AU578" s="2">
        <v>0</v>
      </c>
      <c r="AV578" s="5">
        <v>3065.72</v>
      </c>
      <c r="AX578" s="2">
        <v>541645</v>
      </c>
      <c r="AY578" s="2">
        <v>71500</v>
      </c>
      <c r="AZ578" s="2">
        <v>24180.58</v>
      </c>
      <c r="BA578" s="2">
        <v>3191.96</v>
      </c>
      <c r="BB578" s="5">
        <v>5474.51</v>
      </c>
      <c r="BC578" s="12">
        <v>0</v>
      </c>
      <c r="BD578" s="2">
        <v>0</v>
      </c>
      <c r="BE578" s="2">
        <v>0</v>
      </c>
      <c r="BF578" s="2">
        <v>0</v>
      </c>
      <c r="BG578" s="5">
        <v>0</v>
      </c>
      <c r="BH578" s="2">
        <v>36788.699999999997</v>
      </c>
      <c r="BI578" s="12">
        <v>32847.050000000003</v>
      </c>
      <c r="BJ578" s="2">
        <v>0</v>
      </c>
      <c r="BK578" s="5">
        <v>3065.72</v>
      </c>
      <c r="BL578" s="1" t="s">
        <v>137</v>
      </c>
    </row>
    <row r="579" spans="1:64" x14ac:dyDescent="0.3">
      <c r="A579" t="s">
        <v>1179</v>
      </c>
      <c r="B579" s="1" t="s">
        <v>1179</v>
      </c>
      <c r="C579" s="9" t="s">
        <v>1180</v>
      </c>
      <c r="D579" s="1" t="s">
        <v>95</v>
      </c>
      <c r="E579" s="1" t="s">
        <v>135</v>
      </c>
      <c r="F579" s="10" t="s">
        <v>435</v>
      </c>
      <c r="G579" s="1">
        <v>0</v>
      </c>
      <c r="H579" s="1">
        <v>0.05</v>
      </c>
      <c r="I579" s="8">
        <v>45007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244740</v>
      </c>
      <c r="AJ579" s="2">
        <v>52609</v>
      </c>
      <c r="AK579" s="2">
        <v>10925.89</v>
      </c>
      <c r="AL579" s="2">
        <v>2348.62</v>
      </c>
      <c r="AM579" s="5">
        <v>2654.9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17840.939999999999</v>
      </c>
      <c r="AT579" s="12">
        <v>15929.409999999998</v>
      </c>
      <c r="AU579" s="2">
        <v>0</v>
      </c>
      <c r="AV579" s="5">
        <v>1486.74</v>
      </c>
      <c r="AX579" s="2">
        <v>244740</v>
      </c>
      <c r="AY579" s="2">
        <v>52609</v>
      </c>
      <c r="AZ579" s="2">
        <v>10925.89</v>
      </c>
      <c r="BA579" s="2">
        <v>2348.62</v>
      </c>
      <c r="BB579" s="5">
        <v>2654.9</v>
      </c>
      <c r="BC579" s="12">
        <v>0</v>
      </c>
      <c r="BD579" s="2">
        <v>0</v>
      </c>
      <c r="BE579" s="2">
        <v>0</v>
      </c>
      <c r="BF579" s="2">
        <v>0</v>
      </c>
      <c r="BG579" s="5">
        <v>0</v>
      </c>
      <c r="BH579" s="2">
        <v>17840.939999999999</v>
      </c>
      <c r="BI579" s="12">
        <v>15929.409999999998</v>
      </c>
      <c r="BJ579" s="2">
        <v>0</v>
      </c>
      <c r="BK579" s="5">
        <v>1486.74</v>
      </c>
      <c r="BL579" s="1" t="s">
        <v>137</v>
      </c>
    </row>
    <row r="580" spans="1:64" x14ac:dyDescent="0.3">
      <c r="A580" t="s">
        <v>1181</v>
      </c>
      <c r="B580" s="1" t="s">
        <v>1181</v>
      </c>
      <c r="C580" s="9" t="s">
        <v>1182</v>
      </c>
      <c r="D580" s="1" t="s">
        <v>95</v>
      </c>
      <c r="E580" s="1" t="s">
        <v>128</v>
      </c>
      <c r="F580" s="10" t="s">
        <v>309</v>
      </c>
      <c r="G580" s="1">
        <v>0</v>
      </c>
      <c r="H580" s="1">
        <v>0.05</v>
      </c>
      <c r="I580" s="8">
        <v>45092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  <c r="T580" s="11">
        <v>0</v>
      </c>
      <c r="U580" s="6">
        <v>0</v>
      </c>
      <c r="V580" s="6">
        <v>0</v>
      </c>
      <c r="W580" s="6">
        <v>0</v>
      </c>
      <c r="AI580" s="2">
        <v>302016</v>
      </c>
      <c r="AJ580" s="2">
        <v>12390</v>
      </c>
      <c r="AK580" s="2">
        <v>13482.86</v>
      </c>
      <c r="AL580" s="2">
        <v>553.12</v>
      </c>
      <c r="AM580" s="5">
        <v>2807.2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18864.36</v>
      </c>
      <c r="AT580" s="12">
        <v>16843.18</v>
      </c>
      <c r="AU580" s="2">
        <v>0</v>
      </c>
      <c r="AV580" s="5">
        <v>1572.03</v>
      </c>
      <c r="AX580" s="2">
        <v>302016</v>
      </c>
      <c r="AY580" s="2">
        <v>12390</v>
      </c>
      <c r="AZ580" s="2">
        <v>13482.86</v>
      </c>
      <c r="BA580" s="2">
        <v>553.12</v>
      </c>
      <c r="BB580" s="5">
        <v>2807.2</v>
      </c>
      <c r="BC580" s="12">
        <v>0</v>
      </c>
      <c r="BD580" s="2">
        <v>0</v>
      </c>
      <c r="BE580" s="2">
        <v>0</v>
      </c>
      <c r="BF580" s="2">
        <v>0</v>
      </c>
      <c r="BG580" s="5">
        <v>0</v>
      </c>
      <c r="BH580" s="2">
        <v>18864.36</v>
      </c>
      <c r="BI580" s="12">
        <v>16843.18</v>
      </c>
      <c r="BJ580" s="2">
        <v>0</v>
      </c>
      <c r="BK580" s="5">
        <v>1572.03</v>
      </c>
      <c r="BL580" s="1" t="s">
        <v>130</v>
      </c>
    </row>
    <row r="581" spans="1:64" x14ac:dyDescent="0.3">
      <c r="A581" t="s">
        <v>1183</v>
      </c>
      <c r="B581" s="1" t="s">
        <v>1183</v>
      </c>
      <c r="C581" s="9" t="s">
        <v>1184</v>
      </c>
      <c r="D581" s="1" t="s">
        <v>95</v>
      </c>
      <c r="E581" s="1" t="s">
        <v>135</v>
      </c>
      <c r="F581" s="10" t="s">
        <v>136</v>
      </c>
      <c r="G581" s="1">
        <v>0</v>
      </c>
      <c r="H581" s="1">
        <v>0.05</v>
      </c>
      <c r="I581" s="8">
        <v>44944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0</v>
      </c>
      <c r="U581" s="6">
        <v>0</v>
      </c>
      <c r="V581" s="6">
        <v>0</v>
      </c>
      <c r="W581" s="6">
        <v>0</v>
      </c>
      <c r="AI581" s="2">
        <v>784052</v>
      </c>
      <c r="AJ581" s="2">
        <v>112600</v>
      </c>
      <c r="AK581" s="2">
        <v>35002.32</v>
      </c>
      <c r="AL581" s="2">
        <v>5026.79</v>
      </c>
      <c r="AM581" s="5">
        <v>8005.82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53799.12</v>
      </c>
      <c r="AT581" s="12">
        <v>48034.93</v>
      </c>
      <c r="AU581" s="2">
        <v>0</v>
      </c>
      <c r="AV581" s="5">
        <v>4483.26</v>
      </c>
      <c r="AX581" s="2">
        <v>784052</v>
      </c>
      <c r="AY581" s="2">
        <v>112600</v>
      </c>
      <c r="AZ581" s="2">
        <v>35002.32</v>
      </c>
      <c r="BA581" s="2">
        <v>5026.79</v>
      </c>
      <c r="BB581" s="5">
        <v>8005.82</v>
      </c>
      <c r="BC581" s="12">
        <v>0</v>
      </c>
      <c r="BD581" s="2">
        <v>0</v>
      </c>
      <c r="BE581" s="2">
        <v>0</v>
      </c>
      <c r="BF581" s="2">
        <v>0</v>
      </c>
      <c r="BG581" s="5">
        <v>0</v>
      </c>
      <c r="BH581" s="2">
        <v>53799.12</v>
      </c>
      <c r="BI581" s="12">
        <v>48034.93</v>
      </c>
      <c r="BJ581" s="2">
        <v>0</v>
      </c>
      <c r="BK581" s="5">
        <v>4483.26</v>
      </c>
      <c r="BL581" s="1" t="s">
        <v>137</v>
      </c>
    </row>
    <row r="582" spans="1:64" x14ac:dyDescent="0.3">
      <c r="A582" t="s">
        <v>1207</v>
      </c>
      <c r="B582" s="1" t="s">
        <v>1208</v>
      </c>
      <c r="C582" s="9" t="s">
        <v>1209</v>
      </c>
      <c r="D582" s="1" t="s">
        <v>95</v>
      </c>
      <c r="E582" s="1" t="s">
        <v>135</v>
      </c>
      <c r="F582" s="10" t="s">
        <v>136</v>
      </c>
      <c r="G582" s="1">
        <v>4.4999999999999998E-2</v>
      </c>
      <c r="H582" s="1">
        <v>0.05</v>
      </c>
      <c r="I582" s="8">
        <v>44441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0</v>
      </c>
      <c r="U582" s="6">
        <v>0</v>
      </c>
      <c r="V582" s="6">
        <v>0</v>
      </c>
      <c r="W582" s="6">
        <v>0</v>
      </c>
      <c r="AI582" s="2">
        <v>122837</v>
      </c>
      <c r="AJ582" s="2">
        <v>27155</v>
      </c>
      <c r="AK582" s="2">
        <v>5483.79</v>
      </c>
      <c r="AL582" s="2">
        <v>1212.28</v>
      </c>
      <c r="AM582" s="5">
        <v>1339.21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8999.51</v>
      </c>
      <c r="AT582" s="12">
        <v>8035.28</v>
      </c>
      <c r="AU582" s="2">
        <v>0</v>
      </c>
      <c r="AV582" s="5">
        <v>749.96</v>
      </c>
      <c r="AX582" s="2">
        <v>122837</v>
      </c>
      <c r="AY582" s="2">
        <v>27155</v>
      </c>
      <c r="AZ582" s="2">
        <v>5483.79</v>
      </c>
      <c r="BA582" s="2">
        <v>1212.28</v>
      </c>
      <c r="BB582" s="5">
        <v>1339.21</v>
      </c>
      <c r="BC582" s="12">
        <v>0</v>
      </c>
      <c r="BD582" s="2">
        <v>0</v>
      </c>
      <c r="BE582" s="2">
        <v>0</v>
      </c>
      <c r="BF582" s="2">
        <v>0</v>
      </c>
      <c r="BG582" s="5">
        <v>0</v>
      </c>
      <c r="BH582" s="2">
        <v>8999.51</v>
      </c>
      <c r="BI582" s="12">
        <v>8035.28</v>
      </c>
      <c r="BJ582" s="2">
        <v>0</v>
      </c>
      <c r="BK582" s="5">
        <v>749.96</v>
      </c>
      <c r="BL582" s="1" t="s">
        <v>137</v>
      </c>
    </row>
    <row r="583" spans="1:64" x14ac:dyDescent="0.3">
      <c r="A583" t="s">
        <v>1207</v>
      </c>
      <c r="B583" s="1" t="s">
        <v>1207</v>
      </c>
      <c r="C583" s="9" t="s">
        <v>1210</v>
      </c>
      <c r="D583" s="1" t="s">
        <v>95</v>
      </c>
      <c r="E583" s="1" t="s">
        <v>135</v>
      </c>
      <c r="F583" s="10" t="s">
        <v>136</v>
      </c>
      <c r="G583" s="1">
        <v>0.04</v>
      </c>
      <c r="H583" s="1">
        <v>0.05</v>
      </c>
      <c r="I583" s="8">
        <v>44441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0</v>
      </c>
      <c r="U583" s="6">
        <v>0</v>
      </c>
      <c r="V583" s="6">
        <v>0</v>
      </c>
      <c r="W583" s="6">
        <v>0</v>
      </c>
      <c r="AI583" s="2">
        <v>402385.5</v>
      </c>
      <c r="AJ583" s="2">
        <v>109646</v>
      </c>
      <c r="AK583" s="2">
        <v>17963.64</v>
      </c>
      <c r="AL583" s="2">
        <v>4894.91</v>
      </c>
      <c r="AM583" s="5">
        <v>4571.71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30721.89</v>
      </c>
      <c r="AT583" s="12">
        <v>27430.26</v>
      </c>
      <c r="AU583" s="2">
        <v>0</v>
      </c>
      <c r="AV583" s="5">
        <v>2560.16</v>
      </c>
      <c r="AX583" s="2">
        <v>402385.5</v>
      </c>
      <c r="AY583" s="2">
        <v>109646</v>
      </c>
      <c r="AZ583" s="2">
        <v>17963.64</v>
      </c>
      <c r="BA583" s="2">
        <v>4894.91</v>
      </c>
      <c r="BB583" s="5">
        <v>4571.71</v>
      </c>
      <c r="BC583" s="12">
        <v>0</v>
      </c>
      <c r="BD583" s="2">
        <v>0</v>
      </c>
      <c r="BE583" s="2">
        <v>0</v>
      </c>
      <c r="BF583" s="2">
        <v>0</v>
      </c>
      <c r="BG583" s="5">
        <v>0</v>
      </c>
      <c r="BH583" s="2">
        <v>30721.89</v>
      </c>
      <c r="BI583" s="12">
        <v>27430.26</v>
      </c>
      <c r="BJ583" s="2">
        <v>0</v>
      </c>
      <c r="BK583" s="5">
        <v>2560.16</v>
      </c>
      <c r="BL583" s="1" t="s">
        <v>137</v>
      </c>
    </row>
    <row r="584" spans="1:64" x14ac:dyDescent="0.3">
      <c r="A584" t="s">
        <v>1211</v>
      </c>
      <c r="B584" s="1" t="s">
        <v>1211</v>
      </c>
      <c r="C584" s="9" t="s">
        <v>1212</v>
      </c>
      <c r="D584" s="1" t="s">
        <v>95</v>
      </c>
      <c r="E584" s="1" t="s">
        <v>128</v>
      </c>
      <c r="F584" s="10" t="s">
        <v>988</v>
      </c>
      <c r="G584" s="1">
        <v>4.4999999999999998E-2</v>
      </c>
      <c r="H584" s="1">
        <v>0.05</v>
      </c>
      <c r="I584" s="8">
        <v>44956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0</v>
      </c>
      <c r="U584" s="6">
        <v>0</v>
      </c>
      <c r="V584" s="6">
        <v>0</v>
      </c>
      <c r="W584" s="6">
        <v>0</v>
      </c>
      <c r="AI584" s="2">
        <v>119038</v>
      </c>
      <c r="AJ584" s="2">
        <v>21945</v>
      </c>
      <c r="AK584" s="2">
        <v>5314.2</v>
      </c>
      <c r="AL584" s="2">
        <v>979.69</v>
      </c>
      <c r="AM584" s="5">
        <v>1258.78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8458.99</v>
      </c>
      <c r="AT584" s="12">
        <v>7552.6699999999992</v>
      </c>
      <c r="AU584" s="2">
        <v>0</v>
      </c>
      <c r="AV584" s="5">
        <v>704.92</v>
      </c>
      <c r="AX584" s="2">
        <v>119038</v>
      </c>
      <c r="AY584" s="2">
        <v>21945</v>
      </c>
      <c r="AZ584" s="2">
        <v>5314.2</v>
      </c>
      <c r="BA584" s="2">
        <v>979.69</v>
      </c>
      <c r="BB584" s="5">
        <v>1258.78</v>
      </c>
      <c r="BC584" s="12">
        <v>0</v>
      </c>
      <c r="BD584" s="2">
        <v>0</v>
      </c>
      <c r="BE584" s="2">
        <v>0</v>
      </c>
      <c r="BF584" s="2">
        <v>0</v>
      </c>
      <c r="BG584" s="5">
        <v>0</v>
      </c>
      <c r="BH584" s="2">
        <v>8458.99</v>
      </c>
      <c r="BI584" s="12">
        <v>7552.6699999999992</v>
      </c>
      <c r="BJ584" s="2">
        <v>0</v>
      </c>
      <c r="BK584" s="5">
        <v>704.92</v>
      </c>
      <c r="BL584" s="1" t="s">
        <v>130</v>
      </c>
    </row>
    <row r="585" spans="1:64" x14ac:dyDescent="0.3">
      <c r="A585" t="s">
        <v>1211</v>
      </c>
      <c r="B585" s="1" t="s">
        <v>1213</v>
      </c>
      <c r="C585" s="9" t="s">
        <v>1214</v>
      </c>
      <c r="D585" s="1" t="s">
        <v>95</v>
      </c>
      <c r="E585" s="1" t="s">
        <v>128</v>
      </c>
      <c r="F585" s="10" t="s">
        <v>988</v>
      </c>
      <c r="G585" s="1">
        <v>0</v>
      </c>
      <c r="H585" s="1">
        <v>0.05</v>
      </c>
      <c r="I585" s="8">
        <v>45147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0</v>
      </c>
      <c r="U585" s="6">
        <v>0</v>
      </c>
      <c r="V585" s="6">
        <v>0</v>
      </c>
      <c r="W585" s="6">
        <v>0</v>
      </c>
      <c r="AI585" s="2">
        <v>26485</v>
      </c>
      <c r="AJ585" s="2">
        <v>910</v>
      </c>
      <c r="AK585" s="2">
        <v>1182.3699999999999</v>
      </c>
      <c r="AL585" s="2">
        <v>40.619999999999997</v>
      </c>
      <c r="AM585" s="5">
        <v>244.6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1643.7</v>
      </c>
      <c r="AT585" s="12">
        <v>1467.5899999999997</v>
      </c>
      <c r="AU585" s="2">
        <v>0</v>
      </c>
      <c r="AV585" s="5">
        <v>136.97999999999999</v>
      </c>
      <c r="AX585" s="2">
        <v>26485</v>
      </c>
      <c r="AY585" s="2">
        <v>910</v>
      </c>
      <c r="AZ585" s="2">
        <v>1182.3699999999999</v>
      </c>
      <c r="BA585" s="2">
        <v>40.619999999999997</v>
      </c>
      <c r="BB585" s="5">
        <v>244.6</v>
      </c>
      <c r="BC585" s="12">
        <v>0</v>
      </c>
      <c r="BD585" s="2">
        <v>0</v>
      </c>
      <c r="BE585" s="2">
        <v>0</v>
      </c>
      <c r="BF585" s="2">
        <v>0</v>
      </c>
      <c r="BG585" s="5">
        <v>0</v>
      </c>
      <c r="BH585" s="2">
        <v>1643.7</v>
      </c>
      <c r="BI585" s="12">
        <v>1467.5899999999997</v>
      </c>
      <c r="BJ585" s="2">
        <v>0</v>
      </c>
      <c r="BK585" s="5">
        <v>136.97999999999999</v>
      </c>
      <c r="BL585" s="1" t="s">
        <v>130</v>
      </c>
    </row>
    <row r="586" spans="1:64" x14ac:dyDescent="0.3">
      <c r="A586" t="s">
        <v>1211</v>
      </c>
      <c r="B586" s="1" t="s">
        <v>1215</v>
      </c>
      <c r="C586" s="9" t="s">
        <v>1216</v>
      </c>
      <c r="D586" s="1" t="s">
        <v>95</v>
      </c>
      <c r="E586" s="1" t="s">
        <v>128</v>
      </c>
      <c r="F586" s="10" t="s">
        <v>988</v>
      </c>
      <c r="G586" s="1">
        <v>0</v>
      </c>
      <c r="H586" s="1">
        <v>0.05</v>
      </c>
      <c r="I586" s="8">
        <v>45549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0</v>
      </c>
      <c r="U586" s="6">
        <v>0</v>
      </c>
      <c r="V586" s="6">
        <v>0</v>
      </c>
      <c r="W586" s="6">
        <v>0</v>
      </c>
      <c r="AI586" s="2">
        <v>120989</v>
      </c>
      <c r="AJ586" s="2">
        <v>435</v>
      </c>
      <c r="AK586" s="2">
        <v>5401.29</v>
      </c>
      <c r="AL586" s="2">
        <v>19.420000000000002</v>
      </c>
      <c r="AM586" s="5">
        <v>1084.1400000000001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7285.43</v>
      </c>
      <c r="AT586" s="12">
        <v>6504.85</v>
      </c>
      <c r="AU586" s="2">
        <v>0</v>
      </c>
      <c r="AV586" s="5">
        <v>607.12</v>
      </c>
      <c r="AX586" s="2">
        <v>120989</v>
      </c>
      <c r="AY586" s="2">
        <v>435</v>
      </c>
      <c r="AZ586" s="2">
        <v>5401.29</v>
      </c>
      <c r="BA586" s="2">
        <v>19.420000000000002</v>
      </c>
      <c r="BB586" s="5">
        <v>1084.1400000000001</v>
      </c>
      <c r="BC586" s="12">
        <v>0</v>
      </c>
      <c r="BD586" s="2">
        <v>0</v>
      </c>
      <c r="BE586" s="2">
        <v>0</v>
      </c>
      <c r="BF586" s="2">
        <v>0</v>
      </c>
      <c r="BG586" s="5">
        <v>0</v>
      </c>
      <c r="BH586" s="2">
        <v>7285.43</v>
      </c>
      <c r="BI586" s="12">
        <v>6504.85</v>
      </c>
      <c r="BJ586" s="2">
        <v>0</v>
      </c>
      <c r="BK586" s="5">
        <v>607.12</v>
      </c>
      <c r="BL586" s="1" t="s">
        <v>130</v>
      </c>
    </row>
    <row r="587" spans="1:64" x14ac:dyDescent="0.3">
      <c r="A587" t="s">
        <v>1221</v>
      </c>
      <c r="B587" s="1" t="s">
        <v>1222</v>
      </c>
      <c r="C587" s="9" t="s">
        <v>1223</v>
      </c>
      <c r="D587" s="1" t="s">
        <v>95</v>
      </c>
      <c r="E587" s="1" t="s">
        <v>128</v>
      </c>
      <c r="F587" s="10" t="s">
        <v>988</v>
      </c>
      <c r="G587" s="1">
        <v>0</v>
      </c>
      <c r="H587" s="1">
        <v>0.05</v>
      </c>
      <c r="I587" s="8">
        <v>43972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0</v>
      </c>
      <c r="U587" s="6">
        <v>0</v>
      </c>
      <c r="V587" s="6">
        <v>0</v>
      </c>
      <c r="W587" s="6">
        <v>0</v>
      </c>
      <c r="AI587" s="2">
        <v>153681</v>
      </c>
      <c r="AJ587" s="2">
        <v>11406</v>
      </c>
      <c r="AK587" s="2">
        <v>6860.76</v>
      </c>
      <c r="AL587" s="2">
        <v>509.2</v>
      </c>
      <c r="AM587" s="5">
        <v>1473.99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9905.2199999999993</v>
      </c>
      <c r="AT587" s="12">
        <v>8843.9500000000007</v>
      </c>
      <c r="AU587" s="2">
        <v>0</v>
      </c>
      <c r="AV587" s="5">
        <v>825.44</v>
      </c>
      <c r="AX587" s="2">
        <v>153681</v>
      </c>
      <c r="AY587" s="2">
        <v>11406</v>
      </c>
      <c r="AZ587" s="2">
        <v>6860.76</v>
      </c>
      <c r="BA587" s="2">
        <v>509.2</v>
      </c>
      <c r="BB587" s="5">
        <v>1473.99</v>
      </c>
      <c r="BC587" s="12">
        <v>0</v>
      </c>
      <c r="BD587" s="2">
        <v>0</v>
      </c>
      <c r="BE587" s="2">
        <v>0</v>
      </c>
      <c r="BF587" s="2">
        <v>0</v>
      </c>
      <c r="BG587" s="5">
        <v>0</v>
      </c>
      <c r="BH587" s="2">
        <v>9905.2199999999993</v>
      </c>
      <c r="BI587" s="12">
        <v>8843.9500000000007</v>
      </c>
      <c r="BJ587" s="2">
        <v>0</v>
      </c>
      <c r="BK587" s="5">
        <v>825.44</v>
      </c>
      <c r="BL587" s="1" t="s">
        <v>130</v>
      </c>
    </row>
    <row r="588" spans="1:64" x14ac:dyDescent="0.3">
      <c r="A588" t="s">
        <v>1221</v>
      </c>
      <c r="B588" s="1" t="s">
        <v>1221</v>
      </c>
      <c r="C588" s="9" t="s">
        <v>1224</v>
      </c>
      <c r="D588" s="1" t="s">
        <v>95</v>
      </c>
      <c r="E588" s="1" t="s">
        <v>128</v>
      </c>
      <c r="F588" s="10" t="s">
        <v>988</v>
      </c>
      <c r="G588" s="1">
        <v>3.5000000000000003E-2</v>
      </c>
      <c r="H588" s="1">
        <v>0.05</v>
      </c>
      <c r="I588" s="8">
        <v>43972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  <c r="T588" s="11">
        <v>0</v>
      </c>
      <c r="U588" s="6">
        <v>0</v>
      </c>
      <c r="V588" s="6">
        <v>0</v>
      </c>
      <c r="W588" s="6">
        <v>0</v>
      </c>
      <c r="AI588" s="2">
        <v>92488</v>
      </c>
      <c r="AJ588" s="2">
        <v>0</v>
      </c>
      <c r="AK588" s="2">
        <v>4128.93</v>
      </c>
      <c r="AL588" s="2">
        <v>0</v>
      </c>
      <c r="AM588" s="5">
        <v>825.79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5549.29</v>
      </c>
      <c r="AT588" s="12">
        <v>4954.72</v>
      </c>
      <c r="AU588" s="2">
        <v>0</v>
      </c>
      <c r="AV588" s="5">
        <v>462.44</v>
      </c>
      <c r="AX588" s="2">
        <v>92488</v>
      </c>
      <c r="AY588" s="2">
        <v>0</v>
      </c>
      <c r="AZ588" s="2">
        <v>4128.93</v>
      </c>
      <c r="BA588" s="2">
        <v>0</v>
      </c>
      <c r="BB588" s="5">
        <v>825.79</v>
      </c>
      <c r="BC588" s="12">
        <v>0</v>
      </c>
      <c r="BD588" s="2">
        <v>0</v>
      </c>
      <c r="BE588" s="2">
        <v>0</v>
      </c>
      <c r="BF588" s="2">
        <v>0</v>
      </c>
      <c r="BG588" s="5">
        <v>0</v>
      </c>
      <c r="BH588" s="2">
        <v>5549.29</v>
      </c>
      <c r="BI588" s="12">
        <v>4954.72</v>
      </c>
      <c r="BJ588" s="2">
        <v>0</v>
      </c>
      <c r="BK588" s="5">
        <v>462.44</v>
      </c>
      <c r="BL588" s="1" t="s">
        <v>130</v>
      </c>
    </row>
    <row r="589" spans="1:64" x14ac:dyDescent="0.3">
      <c r="A589" t="s">
        <v>1221</v>
      </c>
      <c r="B589" s="1" t="s">
        <v>1225</v>
      </c>
      <c r="C589" s="9" t="s">
        <v>1226</v>
      </c>
      <c r="D589" s="1" t="s">
        <v>95</v>
      </c>
      <c r="E589" s="1" t="s">
        <v>128</v>
      </c>
      <c r="F589" s="10" t="s">
        <v>988</v>
      </c>
      <c r="G589" s="1">
        <v>0</v>
      </c>
      <c r="H589" s="1">
        <v>0.05</v>
      </c>
      <c r="I589" s="8">
        <v>45209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  <c r="T589" s="11">
        <v>0</v>
      </c>
      <c r="U589" s="6">
        <v>0</v>
      </c>
      <c r="V589" s="6">
        <v>0</v>
      </c>
      <c r="W589" s="6">
        <v>0</v>
      </c>
      <c r="AI589" s="2">
        <v>202425</v>
      </c>
      <c r="AJ589" s="2">
        <v>0</v>
      </c>
      <c r="AK589" s="2">
        <v>9036.83</v>
      </c>
      <c r="AL589" s="2">
        <v>0</v>
      </c>
      <c r="AM589" s="5">
        <v>1807.37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12145.5</v>
      </c>
      <c r="AT589" s="12">
        <v>10844.2</v>
      </c>
      <c r="AU589" s="2">
        <v>0</v>
      </c>
      <c r="AV589" s="5">
        <v>1012.12</v>
      </c>
      <c r="AX589" s="2">
        <v>202425</v>
      </c>
      <c r="AY589" s="2">
        <v>0</v>
      </c>
      <c r="AZ589" s="2">
        <v>9036.83</v>
      </c>
      <c r="BA589" s="2">
        <v>0</v>
      </c>
      <c r="BB589" s="5">
        <v>1807.37</v>
      </c>
      <c r="BC589" s="12">
        <v>0</v>
      </c>
      <c r="BD589" s="2">
        <v>0</v>
      </c>
      <c r="BE589" s="2">
        <v>0</v>
      </c>
      <c r="BF589" s="2">
        <v>0</v>
      </c>
      <c r="BG589" s="5">
        <v>0</v>
      </c>
      <c r="BH589" s="2">
        <v>12145.5</v>
      </c>
      <c r="BI589" s="12">
        <v>10844.2</v>
      </c>
      <c r="BJ589" s="2">
        <v>0</v>
      </c>
      <c r="BK589" s="5">
        <v>1012.12</v>
      </c>
      <c r="BL589" s="1" t="s">
        <v>130</v>
      </c>
    </row>
    <row r="590" spans="1:64" x14ac:dyDescent="0.3">
      <c r="A590" t="s">
        <v>1229</v>
      </c>
      <c r="B590" s="1" t="s">
        <v>1229</v>
      </c>
      <c r="C590" s="9" t="s">
        <v>1230</v>
      </c>
      <c r="D590" s="1" t="s">
        <v>95</v>
      </c>
      <c r="E590" s="1" t="s">
        <v>135</v>
      </c>
      <c r="F590" s="10" t="s">
        <v>348</v>
      </c>
      <c r="G590" s="1">
        <v>0</v>
      </c>
      <c r="H590" s="1">
        <v>0.05</v>
      </c>
      <c r="I590" s="8">
        <v>44958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0</v>
      </c>
      <c r="U590" s="6">
        <v>0</v>
      </c>
      <c r="V590" s="6">
        <v>0</v>
      </c>
      <c r="W590" s="6">
        <v>0</v>
      </c>
      <c r="AI590" s="2">
        <v>889597</v>
      </c>
      <c r="AJ590" s="2">
        <v>110781</v>
      </c>
      <c r="AK590" s="2">
        <v>39714.15</v>
      </c>
      <c r="AL590" s="2">
        <v>4945.58</v>
      </c>
      <c r="AM590" s="5">
        <v>8931.9500000000007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60022.68</v>
      </c>
      <c r="AT590" s="12">
        <v>53591.680000000008</v>
      </c>
      <c r="AU590" s="2">
        <v>0</v>
      </c>
      <c r="AV590" s="5">
        <v>5001.8900000000003</v>
      </c>
      <c r="AX590" s="2">
        <v>889597</v>
      </c>
      <c r="AY590" s="2">
        <v>110781</v>
      </c>
      <c r="AZ590" s="2">
        <v>39714.15</v>
      </c>
      <c r="BA590" s="2">
        <v>4945.58</v>
      </c>
      <c r="BB590" s="5">
        <v>8931.9500000000007</v>
      </c>
      <c r="BC590" s="12">
        <v>0</v>
      </c>
      <c r="BD590" s="2">
        <v>0</v>
      </c>
      <c r="BE590" s="2">
        <v>0</v>
      </c>
      <c r="BF590" s="2">
        <v>0</v>
      </c>
      <c r="BG590" s="5">
        <v>0</v>
      </c>
      <c r="BH590" s="2">
        <v>60022.68</v>
      </c>
      <c r="BI590" s="12">
        <v>53591.680000000008</v>
      </c>
      <c r="BJ590" s="2">
        <v>0</v>
      </c>
      <c r="BK590" s="5">
        <v>5001.8900000000003</v>
      </c>
      <c r="BL590" s="1" t="s">
        <v>302</v>
      </c>
    </row>
    <row r="591" spans="1:64" x14ac:dyDescent="0.3">
      <c r="A591" t="s">
        <v>1231</v>
      </c>
      <c r="B591" s="1" t="s">
        <v>1231</v>
      </c>
      <c r="C591" s="9" t="s">
        <v>1232</v>
      </c>
      <c r="D591" s="1" t="s">
        <v>95</v>
      </c>
      <c r="E591" s="1" t="s">
        <v>135</v>
      </c>
      <c r="F591" s="10" t="s">
        <v>348</v>
      </c>
      <c r="G591" s="1">
        <v>0</v>
      </c>
      <c r="H591" s="1">
        <v>0.05</v>
      </c>
      <c r="I591" s="8">
        <v>44958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0</v>
      </c>
      <c r="U591" s="6">
        <v>0</v>
      </c>
      <c r="V591" s="6">
        <v>0</v>
      </c>
      <c r="W591" s="6">
        <v>0</v>
      </c>
      <c r="AI591" s="2">
        <v>930675</v>
      </c>
      <c r="AJ591" s="2">
        <v>129618</v>
      </c>
      <c r="AK591" s="2">
        <v>41547.99</v>
      </c>
      <c r="AL591" s="2">
        <v>5786.52</v>
      </c>
      <c r="AM591" s="5">
        <v>9466.9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63617.58</v>
      </c>
      <c r="AT591" s="12">
        <v>56801.409999999996</v>
      </c>
      <c r="AU591" s="2">
        <v>0</v>
      </c>
      <c r="AV591" s="5">
        <v>5301.46</v>
      </c>
      <c r="AX591" s="2">
        <v>930675</v>
      </c>
      <c r="AY591" s="2">
        <v>129618</v>
      </c>
      <c r="AZ591" s="2">
        <v>41547.99</v>
      </c>
      <c r="BA591" s="2">
        <v>5786.52</v>
      </c>
      <c r="BB591" s="5">
        <v>9466.9</v>
      </c>
      <c r="BC591" s="12">
        <v>0</v>
      </c>
      <c r="BD591" s="2">
        <v>0</v>
      </c>
      <c r="BE591" s="2">
        <v>0</v>
      </c>
      <c r="BF591" s="2">
        <v>0</v>
      </c>
      <c r="BG591" s="5">
        <v>0</v>
      </c>
      <c r="BH591" s="2">
        <v>63617.58</v>
      </c>
      <c r="BI591" s="12">
        <v>56801.409999999996</v>
      </c>
      <c r="BJ591" s="2">
        <v>0</v>
      </c>
      <c r="BK591" s="5">
        <v>5301.46</v>
      </c>
      <c r="BL591" s="1" t="s">
        <v>302</v>
      </c>
    </row>
    <row r="592" spans="1:64" x14ac:dyDescent="0.3">
      <c r="A592" t="s">
        <v>1244</v>
      </c>
      <c r="B592" s="1" t="s">
        <v>1244</v>
      </c>
      <c r="C592" s="9" t="s">
        <v>1245</v>
      </c>
      <c r="D592" s="1" t="s">
        <v>95</v>
      </c>
      <c r="E592" s="1" t="s">
        <v>88</v>
      </c>
      <c r="F592" s="10" t="s">
        <v>1170</v>
      </c>
      <c r="G592" s="1">
        <v>0</v>
      </c>
      <c r="H592" s="1">
        <v>0.05</v>
      </c>
      <c r="I592" s="8">
        <v>45036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0</v>
      </c>
      <c r="U592" s="6">
        <v>0</v>
      </c>
      <c r="V592" s="6">
        <v>0</v>
      </c>
      <c r="W592" s="6">
        <v>0</v>
      </c>
      <c r="AI592" s="2">
        <v>73382</v>
      </c>
      <c r="AJ592" s="2">
        <v>17278</v>
      </c>
      <c r="AK592" s="2">
        <v>3275.98</v>
      </c>
      <c r="AL592" s="2">
        <v>771.34</v>
      </c>
      <c r="AM592" s="5">
        <v>809.46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5439.59</v>
      </c>
      <c r="AT592" s="12">
        <v>4856.7800000000007</v>
      </c>
      <c r="AU592" s="2">
        <v>0</v>
      </c>
      <c r="AV592" s="5">
        <v>453.3</v>
      </c>
      <c r="AX592" s="2">
        <v>73382</v>
      </c>
      <c r="AY592" s="2">
        <v>17278</v>
      </c>
      <c r="AZ592" s="2">
        <v>3275.98</v>
      </c>
      <c r="BA592" s="2">
        <v>771.34</v>
      </c>
      <c r="BB592" s="5">
        <v>809.46</v>
      </c>
      <c r="BC592" s="12">
        <v>0</v>
      </c>
      <c r="BD592" s="2">
        <v>0</v>
      </c>
      <c r="BE592" s="2">
        <v>0</v>
      </c>
      <c r="BF592" s="2">
        <v>0</v>
      </c>
      <c r="BG592" s="5">
        <v>0</v>
      </c>
      <c r="BH592" s="2">
        <v>5439.59</v>
      </c>
      <c r="BI592" s="12">
        <v>4856.7800000000007</v>
      </c>
      <c r="BJ592" s="2">
        <v>0</v>
      </c>
      <c r="BK592" s="5">
        <v>453.3</v>
      </c>
      <c r="BL592" s="1" t="s">
        <v>90</v>
      </c>
    </row>
    <row r="593" spans="1:64" x14ac:dyDescent="0.3">
      <c r="A593" t="s">
        <v>1256</v>
      </c>
      <c r="B593" s="1" t="s">
        <v>1256</v>
      </c>
      <c r="C593" s="9" t="s">
        <v>1257</v>
      </c>
      <c r="D593" s="1" t="s">
        <v>95</v>
      </c>
      <c r="E593" s="1" t="s">
        <v>128</v>
      </c>
      <c r="F593" s="10" t="s">
        <v>129</v>
      </c>
      <c r="G593" s="1">
        <v>0</v>
      </c>
      <c r="H593" s="1">
        <v>0.05</v>
      </c>
      <c r="I593" s="8">
        <v>45062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0</v>
      </c>
      <c r="P593" s="6">
        <v>0</v>
      </c>
      <c r="Q593" s="6">
        <v>0</v>
      </c>
      <c r="R593" s="6">
        <v>0</v>
      </c>
      <c r="S593" s="7">
        <v>0</v>
      </c>
      <c r="T593" s="11">
        <v>0</v>
      </c>
      <c r="U593" s="6">
        <v>0</v>
      </c>
      <c r="V593" s="6">
        <v>0</v>
      </c>
      <c r="W593" s="6">
        <v>0</v>
      </c>
      <c r="AI593" s="2">
        <v>0</v>
      </c>
      <c r="AJ593" s="2">
        <v>0</v>
      </c>
      <c r="AK593" s="2">
        <v>0</v>
      </c>
      <c r="AL593" s="2">
        <v>0</v>
      </c>
      <c r="AM593" s="5">
        <v>0</v>
      </c>
      <c r="AN593" s="12">
        <v>412323</v>
      </c>
      <c r="AO593" s="2">
        <v>17857.2</v>
      </c>
      <c r="AP593" s="2">
        <v>18407.28</v>
      </c>
      <c r="AQ593" s="2">
        <v>797.2</v>
      </c>
      <c r="AR593" s="5">
        <v>3840.89</v>
      </c>
      <c r="AS593" s="2">
        <v>25810.81</v>
      </c>
      <c r="AT593" s="12">
        <v>23045.37</v>
      </c>
      <c r="AU593" s="2">
        <v>0</v>
      </c>
      <c r="AV593" s="5">
        <v>2150.9</v>
      </c>
      <c r="AX593" s="2">
        <v>0</v>
      </c>
      <c r="AY593" s="2">
        <v>0</v>
      </c>
      <c r="AZ593" s="2">
        <v>0</v>
      </c>
      <c r="BA593" s="2">
        <v>0</v>
      </c>
      <c r="BB593" s="5">
        <v>0</v>
      </c>
      <c r="BC593" s="12">
        <v>412323</v>
      </c>
      <c r="BD593" s="2">
        <v>17857.2</v>
      </c>
      <c r="BE593" s="2">
        <v>18407.28</v>
      </c>
      <c r="BF593" s="2">
        <v>797.2</v>
      </c>
      <c r="BG593" s="5">
        <v>3840.89</v>
      </c>
      <c r="BH593" s="2">
        <v>25810.81</v>
      </c>
      <c r="BI593" s="12">
        <v>23045.37</v>
      </c>
      <c r="BJ593" s="2">
        <v>0</v>
      </c>
      <c r="BK593" s="5">
        <v>2150.9</v>
      </c>
      <c r="BL593" s="1" t="s">
        <v>130</v>
      </c>
    </row>
    <row r="594" spans="1:64" x14ac:dyDescent="0.3">
      <c r="A594" t="s">
        <v>1256</v>
      </c>
      <c r="B594" s="1" t="s">
        <v>1258</v>
      </c>
      <c r="C594" s="9" t="s">
        <v>1259</v>
      </c>
      <c r="D594" s="1" t="s">
        <v>95</v>
      </c>
      <c r="E594" s="1" t="s">
        <v>128</v>
      </c>
      <c r="F594" s="10" t="s">
        <v>129</v>
      </c>
      <c r="G594" s="1">
        <v>0</v>
      </c>
      <c r="H594" s="1">
        <v>0.05</v>
      </c>
      <c r="I594" s="8">
        <v>45138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0</v>
      </c>
      <c r="P594" s="6">
        <v>0</v>
      </c>
      <c r="Q594" s="6">
        <v>0</v>
      </c>
      <c r="R594" s="6">
        <v>0</v>
      </c>
      <c r="S594" s="7">
        <v>0</v>
      </c>
      <c r="T594" s="11">
        <v>0</v>
      </c>
      <c r="U594" s="6">
        <v>0</v>
      </c>
      <c r="V594" s="6">
        <v>0</v>
      </c>
      <c r="W594" s="6">
        <v>0</v>
      </c>
      <c r="AI594" s="2">
        <v>0</v>
      </c>
      <c r="AJ594" s="2">
        <v>0</v>
      </c>
      <c r="AK594" s="2">
        <v>0</v>
      </c>
      <c r="AL594" s="2">
        <v>0</v>
      </c>
      <c r="AM594" s="5">
        <v>0</v>
      </c>
      <c r="AN594" s="12">
        <v>347611.50000000006</v>
      </c>
      <c r="AO594" s="2">
        <v>14655.899999999998</v>
      </c>
      <c r="AP594" s="2">
        <v>15518.38</v>
      </c>
      <c r="AQ594" s="2">
        <v>654.29</v>
      </c>
      <c r="AR594" s="5">
        <v>3234.53</v>
      </c>
      <c r="AS594" s="2">
        <v>21736.06</v>
      </c>
      <c r="AT594" s="12">
        <v>19407.199999999997</v>
      </c>
      <c r="AU594" s="2">
        <v>0</v>
      </c>
      <c r="AV594" s="5">
        <v>1811.34</v>
      </c>
      <c r="AX594" s="2">
        <v>0</v>
      </c>
      <c r="AY594" s="2">
        <v>0</v>
      </c>
      <c r="AZ594" s="2">
        <v>0</v>
      </c>
      <c r="BA594" s="2">
        <v>0</v>
      </c>
      <c r="BB594" s="5">
        <v>0</v>
      </c>
      <c r="BC594" s="12">
        <v>347611.50000000006</v>
      </c>
      <c r="BD594" s="2">
        <v>14655.899999999998</v>
      </c>
      <c r="BE594" s="2">
        <v>15518.38</v>
      </c>
      <c r="BF594" s="2">
        <v>654.29</v>
      </c>
      <c r="BG594" s="5">
        <v>3234.53</v>
      </c>
      <c r="BH594" s="2">
        <v>21736.06</v>
      </c>
      <c r="BI594" s="12">
        <v>19407.199999999997</v>
      </c>
      <c r="BJ594" s="2">
        <v>0</v>
      </c>
      <c r="BK594" s="5">
        <v>1811.34</v>
      </c>
      <c r="BL594" s="1" t="s">
        <v>130</v>
      </c>
    </row>
    <row r="595" spans="1:64" x14ac:dyDescent="0.3">
      <c r="A595" t="s">
        <v>1260</v>
      </c>
      <c r="B595" s="1" t="s">
        <v>1260</v>
      </c>
      <c r="C595" s="9" t="s">
        <v>1261</v>
      </c>
      <c r="D595" s="1" t="s">
        <v>95</v>
      </c>
      <c r="E595" s="1" t="s">
        <v>128</v>
      </c>
      <c r="F595" s="10" t="s">
        <v>129</v>
      </c>
      <c r="G595" s="1">
        <v>0</v>
      </c>
      <c r="H595" s="1">
        <v>0.05</v>
      </c>
      <c r="I595" s="8">
        <v>45085</v>
      </c>
      <c r="J595" s="6">
        <v>381121</v>
      </c>
      <c r="K595" s="6">
        <v>936</v>
      </c>
      <c r="L595" s="6">
        <v>17014.330000000002</v>
      </c>
      <c r="M595" s="6">
        <v>41.79</v>
      </c>
      <c r="N595" s="7">
        <v>3411.22</v>
      </c>
      <c r="O595" s="6">
        <v>-539197.80000000005</v>
      </c>
      <c r="P595" s="6">
        <v>-23571.600000000002</v>
      </c>
      <c r="Q595" s="6">
        <v>-24071.33</v>
      </c>
      <c r="R595" s="6">
        <v>-1052.3</v>
      </c>
      <c r="S595" s="7">
        <v>-5024.72</v>
      </c>
      <c r="T595" s="11">
        <v>-10842.730000000003</v>
      </c>
      <c r="U595" s="6">
        <v>-9681.0099999999984</v>
      </c>
      <c r="V595" s="6">
        <v>0</v>
      </c>
      <c r="W595" s="6">
        <v>-903.56999999999994</v>
      </c>
      <c r="AI595" s="2">
        <v>381121</v>
      </c>
      <c r="AJ595" s="2">
        <v>936</v>
      </c>
      <c r="AK595" s="2">
        <v>17014.330000000002</v>
      </c>
      <c r="AL595" s="2">
        <v>41.79</v>
      </c>
      <c r="AM595" s="5">
        <v>3411.22</v>
      </c>
      <c r="AN595" s="12">
        <v>0</v>
      </c>
      <c r="AO595" s="2">
        <v>0</v>
      </c>
      <c r="AP595" s="2">
        <v>0</v>
      </c>
      <c r="AQ595" s="2">
        <v>0</v>
      </c>
      <c r="AR595" s="5">
        <v>0</v>
      </c>
      <c r="AS595" s="2">
        <v>22923.42</v>
      </c>
      <c r="AT595" s="12">
        <v>20467.340000000004</v>
      </c>
      <c r="AU595" s="2">
        <v>0</v>
      </c>
      <c r="AV595" s="5">
        <v>1910.28</v>
      </c>
      <c r="AX595" s="2">
        <v>0</v>
      </c>
      <c r="AY595" s="2">
        <v>0</v>
      </c>
      <c r="AZ595" s="2">
        <v>0</v>
      </c>
      <c r="BA595" s="2">
        <v>0</v>
      </c>
      <c r="BB595" s="5">
        <v>0</v>
      </c>
      <c r="BC595" s="12">
        <v>539197.80000000005</v>
      </c>
      <c r="BD595" s="2">
        <v>23571.600000000002</v>
      </c>
      <c r="BE595" s="2">
        <v>24071.33</v>
      </c>
      <c r="BF595" s="2">
        <v>1052.3</v>
      </c>
      <c r="BG595" s="5">
        <v>5024.72</v>
      </c>
      <c r="BH595" s="2">
        <v>33766.15</v>
      </c>
      <c r="BI595" s="12">
        <v>30148.350000000002</v>
      </c>
      <c r="BJ595" s="2">
        <v>0</v>
      </c>
      <c r="BK595" s="5">
        <v>2813.85</v>
      </c>
      <c r="BL595" s="1" t="s">
        <v>130</v>
      </c>
    </row>
    <row r="596" spans="1:64" x14ac:dyDescent="0.3">
      <c r="A596" t="s">
        <v>1260</v>
      </c>
      <c r="B596" s="1" t="s">
        <v>1262</v>
      </c>
      <c r="C596" s="9" t="s">
        <v>1263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45390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0</v>
      </c>
      <c r="U596" s="6">
        <v>0</v>
      </c>
      <c r="V596" s="6">
        <v>0</v>
      </c>
      <c r="W596" s="6">
        <v>0</v>
      </c>
      <c r="AI596" s="2">
        <v>0</v>
      </c>
      <c r="AJ596" s="2">
        <v>0</v>
      </c>
      <c r="AK596" s="2">
        <v>0</v>
      </c>
      <c r="AL596" s="2">
        <v>0</v>
      </c>
      <c r="AM596" s="5">
        <v>0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0</v>
      </c>
      <c r="AT596" s="12">
        <v>0</v>
      </c>
      <c r="AU596" s="2">
        <v>0</v>
      </c>
      <c r="AV596" s="5">
        <v>0</v>
      </c>
      <c r="AX596" s="2">
        <v>0</v>
      </c>
      <c r="AY596" s="2">
        <v>0</v>
      </c>
      <c r="AZ596" s="2">
        <v>0</v>
      </c>
      <c r="BA596" s="2">
        <v>0</v>
      </c>
      <c r="BB596" s="5">
        <v>0</v>
      </c>
      <c r="BC596" s="12">
        <v>0</v>
      </c>
      <c r="BD596" s="2">
        <v>0</v>
      </c>
      <c r="BE596" s="2">
        <v>0</v>
      </c>
      <c r="BF596" s="2">
        <v>0</v>
      </c>
      <c r="BG596" s="5">
        <v>0</v>
      </c>
      <c r="BH596" s="2">
        <v>0</v>
      </c>
      <c r="BI596" s="12">
        <v>0</v>
      </c>
      <c r="BJ596" s="2">
        <v>0</v>
      </c>
      <c r="BK596" s="5">
        <v>0</v>
      </c>
      <c r="BL596" s="1" t="s">
        <v>130</v>
      </c>
    </row>
    <row r="597" spans="1:64" x14ac:dyDescent="0.3">
      <c r="A597" t="s">
        <v>1264</v>
      </c>
      <c r="B597" s="1" t="s">
        <v>1264</v>
      </c>
      <c r="C597" s="9" t="s">
        <v>1265</v>
      </c>
      <c r="D597" s="1" t="s">
        <v>95</v>
      </c>
      <c r="E597" s="1" t="s">
        <v>135</v>
      </c>
      <c r="F597" s="10" t="s">
        <v>435</v>
      </c>
      <c r="G597" s="1">
        <v>0</v>
      </c>
      <c r="H597" s="1">
        <v>0.05</v>
      </c>
      <c r="I597" s="8">
        <v>45066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0</v>
      </c>
      <c r="U597" s="6">
        <v>0</v>
      </c>
      <c r="V597" s="6">
        <v>0</v>
      </c>
      <c r="W597" s="6">
        <v>0</v>
      </c>
      <c r="AI597" s="2">
        <v>683821</v>
      </c>
      <c r="AJ597" s="2">
        <v>105075</v>
      </c>
      <c r="AK597" s="2">
        <v>30527.72</v>
      </c>
      <c r="AL597" s="2">
        <v>4690.8500000000004</v>
      </c>
      <c r="AM597" s="5">
        <v>7043.71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47333.75</v>
      </c>
      <c r="AT597" s="12">
        <v>42262.28</v>
      </c>
      <c r="AU597" s="2">
        <v>0</v>
      </c>
      <c r="AV597" s="5">
        <v>3944.48</v>
      </c>
      <c r="AX597" s="2">
        <v>683821</v>
      </c>
      <c r="AY597" s="2">
        <v>105075</v>
      </c>
      <c r="AZ597" s="2">
        <v>30527.72</v>
      </c>
      <c r="BA597" s="2">
        <v>4690.8500000000004</v>
      </c>
      <c r="BB597" s="5">
        <v>7043.71</v>
      </c>
      <c r="BC597" s="12">
        <v>0</v>
      </c>
      <c r="BD597" s="2">
        <v>0</v>
      </c>
      <c r="BE597" s="2">
        <v>0</v>
      </c>
      <c r="BF597" s="2">
        <v>0</v>
      </c>
      <c r="BG597" s="5">
        <v>0</v>
      </c>
      <c r="BH597" s="2">
        <v>47333.75</v>
      </c>
      <c r="BI597" s="12">
        <v>42262.28</v>
      </c>
      <c r="BJ597" s="2">
        <v>0</v>
      </c>
      <c r="BK597" s="5">
        <v>3944.48</v>
      </c>
      <c r="BL597" s="1" t="s">
        <v>137</v>
      </c>
    </row>
    <row r="598" spans="1:64" x14ac:dyDescent="0.3">
      <c r="A598" t="s">
        <v>1266</v>
      </c>
      <c r="B598" s="1" t="s">
        <v>1266</v>
      </c>
      <c r="C598" s="9" t="s">
        <v>1267</v>
      </c>
      <c r="D598" s="1" t="s">
        <v>95</v>
      </c>
      <c r="E598" s="1" t="s">
        <v>128</v>
      </c>
      <c r="F598" s="10" t="s">
        <v>129</v>
      </c>
      <c r="G598" s="1">
        <v>0</v>
      </c>
      <c r="H598" s="1">
        <v>0.05</v>
      </c>
      <c r="I598" s="8">
        <v>45091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0</v>
      </c>
      <c r="U598" s="6">
        <v>0</v>
      </c>
      <c r="V598" s="6">
        <v>0</v>
      </c>
      <c r="W598" s="6">
        <v>0</v>
      </c>
      <c r="AI598" s="2">
        <v>529334</v>
      </c>
      <c r="AJ598" s="2">
        <v>9561</v>
      </c>
      <c r="AK598" s="2">
        <v>23630.98</v>
      </c>
      <c r="AL598" s="2">
        <v>426.83</v>
      </c>
      <c r="AM598" s="5">
        <v>4811.5600000000004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32333.69</v>
      </c>
      <c r="AT598" s="12">
        <v>28869.370000000003</v>
      </c>
      <c r="AU598" s="2">
        <v>0</v>
      </c>
      <c r="AV598" s="5">
        <v>2694.48</v>
      </c>
      <c r="AX598" s="2">
        <v>529334</v>
      </c>
      <c r="AY598" s="2">
        <v>9561</v>
      </c>
      <c r="AZ598" s="2">
        <v>23630.98</v>
      </c>
      <c r="BA598" s="2">
        <v>426.83</v>
      </c>
      <c r="BB598" s="5">
        <v>4811.5600000000004</v>
      </c>
      <c r="BC598" s="12">
        <v>0</v>
      </c>
      <c r="BD598" s="2">
        <v>0</v>
      </c>
      <c r="BE598" s="2">
        <v>0</v>
      </c>
      <c r="BF598" s="2">
        <v>0</v>
      </c>
      <c r="BG598" s="5">
        <v>0</v>
      </c>
      <c r="BH598" s="2">
        <v>32333.69</v>
      </c>
      <c r="BI598" s="12">
        <v>28869.370000000003</v>
      </c>
      <c r="BJ598" s="2">
        <v>0</v>
      </c>
      <c r="BK598" s="5">
        <v>2694.48</v>
      </c>
      <c r="BL598" s="1" t="s">
        <v>130</v>
      </c>
    </row>
    <row r="599" spans="1:64" x14ac:dyDescent="0.3">
      <c r="A599" t="s">
        <v>1278</v>
      </c>
      <c r="B599" s="1" t="s">
        <v>1278</v>
      </c>
      <c r="C599" s="9" t="s">
        <v>1279</v>
      </c>
      <c r="D599" s="1" t="s">
        <v>95</v>
      </c>
      <c r="E599" s="1" t="s">
        <v>135</v>
      </c>
      <c r="F599" s="10" t="s">
        <v>193</v>
      </c>
      <c r="G599" s="1">
        <v>0</v>
      </c>
      <c r="H599" s="1">
        <v>0.05</v>
      </c>
      <c r="I599" s="8">
        <v>45107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0</v>
      </c>
      <c r="U599" s="6">
        <v>0</v>
      </c>
      <c r="V599" s="6">
        <v>0</v>
      </c>
      <c r="W599" s="6">
        <v>0</v>
      </c>
      <c r="AI599" s="2">
        <v>437178</v>
      </c>
      <c r="AJ599" s="2">
        <v>34211</v>
      </c>
      <c r="AK599" s="2">
        <v>19516.88</v>
      </c>
      <c r="AL599" s="2">
        <v>1527.28</v>
      </c>
      <c r="AM599" s="5">
        <v>4208.83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28283.35</v>
      </c>
      <c r="AT599" s="12">
        <v>25252.989999999998</v>
      </c>
      <c r="AU599" s="2">
        <v>0</v>
      </c>
      <c r="AV599" s="5">
        <v>2356.9499999999998</v>
      </c>
      <c r="AX599" s="2">
        <v>437178</v>
      </c>
      <c r="AY599" s="2">
        <v>34211</v>
      </c>
      <c r="AZ599" s="2">
        <v>19516.88</v>
      </c>
      <c r="BA599" s="2">
        <v>1527.28</v>
      </c>
      <c r="BB599" s="5">
        <v>4208.83</v>
      </c>
      <c r="BC599" s="12">
        <v>0</v>
      </c>
      <c r="BD599" s="2">
        <v>0</v>
      </c>
      <c r="BE599" s="2">
        <v>0</v>
      </c>
      <c r="BF599" s="2">
        <v>0</v>
      </c>
      <c r="BG599" s="5">
        <v>0</v>
      </c>
      <c r="BH599" s="2">
        <v>28283.35</v>
      </c>
      <c r="BI599" s="12">
        <v>25252.989999999998</v>
      </c>
      <c r="BJ599" s="2">
        <v>0</v>
      </c>
      <c r="BK599" s="5">
        <v>2356.9499999999998</v>
      </c>
      <c r="BL599" s="1" t="s">
        <v>137</v>
      </c>
    </row>
    <row r="600" spans="1:64" x14ac:dyDescent="0.3">
      <c r="A600" t="s">
        <v>1280</v>
      </c>
      <c r="B600" s="1" t="s">
        <v>1280</v>
      </c>
      <c r="C600" s="9" t="s">
        <v>1281</v>
      </c>
      <c r="D600" s="1" t="s">
        <v>95</v>
      </c>
      <c r="E600" s="1" t="s">
        <v>88</v>
      </c>
      <c r="F600" s="10" t="s">
        <v>1170</v>
      </c>
      <c r="G600" s="1">
        <v>0</v>
      </c>
      <c r="H600" s="1">
        <v>0.05</v>
      </c>
      <c r="I600" s="8">
        <v>45135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0</v>
      </c>
      <c r="U600" s="6">
        <v>0</v>
      </c>
      <c r="V600" s="6">
        <v>0</v>
      </c>
      <c r="W600" s="6">
        <v>0</v>
      </c>
      <c r="AI600" s="2">
        <v>97936</v>
      </c>
      <c r="AJ600" s="2">
        <v>23500</v>
      </c>
      <c r="AK600" s="2">
        <v>4372.1400000000003</v>
      </c>
      <c r="AL600" s="2">
        <v>1049.1099999999999</v>
      </c>
      <c r="AM600" s="5">
        <v>1084.25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7286.16</v>
      </c>
      <c r="AT600" s="12">
        <v>6505.5</v>
      </c>
      <c r="AU600" s="2">
        <v>0</v>
      </c>
      <c r="AV600" s="5">
        <v>607.17999999999995</v>
      </c>
      <c r="AX600" s="2">
        <v>97936</v>
      </c>
      <c r="AY600" s="2">
        <v>23500</v>
      </c>
      <c r="AZ600" s="2">
        <v>4372.1400000000003</v>
      </c>
      <c r="BA600" s="2">
        <v>1049.1099999999999</v>
      </c>
      <c r="BB600" s="5">
        <v>1084.25</v>
      </c>
      <c r="BC600" s="12">
        <v>0</v>
      </c>
      <c r="BD600" s="2">
        <v>0</v>
      </c>
      <c r="BE600" s="2">
        <v>0</v>
      </c>
      <c r="BF600" s="2">
        <v>0</v>
      </c>
      <c r="BG600" s="5">
        <v>0</v>
      </c>
      <c r="BH600" s="2">
        <v>7286.16</v>
      </c>
      <c r="BI600" s="12">
        <v>6505.5</v>
      </c>
      <c r="BJ600" s="2">
        <v>0</v>
      </c>
      <c r="BK600" s="5">
        <v>607.17999999999995</v>
      </c>
      <c r="BL600" s="1" t="s">
        <v>90</v>
      </c>
    </row>
    <row r="601" spans="1:64" x14ac:dyDescent="0.3">
      <c r="A601" t="s">
        <v>1284</v>
      </c>
      <c r="B601" s="1" t="s">
        <v>1284</v>
      </c>
      <c r="C601" s="9" t="s">
        <v>1285</v>
      </c>
      <c r="D601" s="1" t="s">
        <v>95</v>
      </c>
      <c r="E601" s="1" t="s">
        <v>135</v>
      </c>
      <c r="F601" s="10" t="s">
        <v>348</v>
      </c>
      <c r="G601" s="1">
        <v>0</v>
      </c>
      <c r="H601" s="1">
        <v>0.05</v>
      </c>
      <c r="I601" s="8">
        <v>45107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  <c r="T601" s="11">
        <v>0</v>
      </c>
      <c r="U601" s="6">
        <v>0</v>
      </c>
      <c r="V601" s="6">
        <v>0</v>
      </c>
      <c r="W601" s="6">
        <v>0</v>
      </c>
      <c r="AI601" s="2">
        <v>871394</v>
      </c>
      <c r="AJ601" s="2">
        <v>102127</v>
      </c>
      <c r="AK601" s="2">
        <v>38901.519999999997</v>
      </c>
      <c r="AL601" s="2">
        <v>4559.24</v>
      </c>
      <c r="AM601" s="5">
        <v>8692.15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58411.26</v>
      </c>
      <c r="AT601" s="12">
        <v>52152.909999999996</v>
      </c>
      <c r="AU601" s="2">
        <v>0</v>
      </c>
      <c r="AV601" s="5">
        <v>4867.6099999999997</v>
      </c>
      <c r="AX601" s="2">
        <v>871394</v>
      </c>
      <c r="AY601" s="2">
        <v>102127</v>
      </c>
      <c r="AZ601" s="2">
        <v>38901.519999999997</v>
      </c>
      <c r="BA601" s="2">
        <v>4559.24</v>
      </c>
      <c r="BB601" s="5">
        <v>8692.15</v>
      </c>
      <c r="BC601" s="12">
        <v>0</v>
      </c>
      <c r="BD601" s="2">
        <v>0</v>
      </c>
      <c r="BE601" s="2">
        <v>0</v>
      </c>
      <c r="BF601" s="2">
        <v>0</v>
      </c>
      <c r="BG601" s="5">
        <v>0</v>
      </c>
      <c r="BH601" s="2">
        <v>58411.26</v>
      </c>
      <c r="BI601" s="12">
        <v>52152.909999999996</v>
      </c>
      <c r="BJ601" s="2">
        <v>0</v>
      </c>
      <c r="BK601" s="5">
        <v>4867.6099999999997</v>
      </c>
      <c r="BL601" s="1" t="s">
        <v>137</v>
      </c>
    </row>
    <row r="602" spans="1:64" x14ac:dyDescent="0.3">
      <c r="A602" t="s">
        <v>1286</v>
      </c>
      <c r="B602" s="1" t="s">
        <v>1286</v>
      </c>
      <c r="C602" s="9" t="s">
        <v>1287</v>
      </c>
      <c r="D602" s="1" t="s">
        <v>95</v>
      </c>
      <c r="E602" s="1" t="s">
        <v>135</v>
      </c>
      <c r="F602" s="10" t="s">
        <v>435</v>
      </c>
      <c r="G602" s="1">
        <v>0</v>
      </c>
      <c r="H602" s="1">
        <v>0.05</v>
      </c>
      <c r="I602" s="8">
        <v>45122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0</v>
      </c>
      <c r="U602" s="6">
        <v>0</v>
      </c>
      <c r="V602" s="6">
        <v>0</v>
      </c>
      <c r="W602" s="6">
        <v>0</v>
      </c>
      <c r="AI602" s="2">
        <v>407904</v>
      </c>
      <c r="AJ602" s="2">
        <v>46319</v>
      </c>
      <c r="AK602" s="2">
        <v>18210</v>
      </c>
      <c r="AL602" s="2">
        <v>2067.81</v>
      </c>
      <c r="AM602" s="5">
        <v>4055.56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27253.37</v>
      </c>
      <c r="AT602" s="12">
        <v>24333.370000000003</v>
      </c>
      <c r="AU602" s="2">
        <v>0</v>
      </c>
      <c r="AV602" s="5">
        <v>2271.12</v>
      </c>
      <c r="AX602" s="2">
        <v>407904</v>
      </c>
      <c r="AY602" s="2">
        <v>46319</v>
      </c>
      <c r="AZ602" s="2">
        <v>18210</v>
      </c>
      <c r="BA602" s="2">
        <v>2067.81</v>
      </c>
      <c r="BB602" s="5">
        <v>4055.56</v>
      </c>
      <c r="BC602" s="12">
        <v>0</v>
      </c>
      <c r="BD602" s="2">
        <v>0</v>
      </c>
      <c r="BE602" s="2">
        <v>0</v>
      </c>
      <c r="BF602" s="2">
        <v>0</v>
      </c>
      <c r="BG602" s="5">
        <v>0</v>
      </c>
      <c r="BH602" s="2">
        <v>27253.37</v>
      </c>
      <c r="BI602" s="12">
        <v>24333.370000000003</v>
      </c>
      <c r="BJ602" s="2">
        <v>0</v>
      </c>
      <c r="BK602" s="5">
        <v>2271.12</v>
      </c>
      <c r="BL602" s="1" t="s">
        <v>137</v>
      </c>
    </row>
    <row r="603" spans="1:64" x14ac:dyDescent="0.3">
      <c r="A603" t="s">
        <v>1288</v>
      </c>
      <c r="B603" s="1" t="s">
        <v>1289</v>
      </c>
      <c r="C603" s="9" t="s">
        <v>1290</v>
      </c>
      <c r="D603" s="1" t="s">
        <v>95</v>
      </c>
      <c r="E603" s="1" t="s">
        <v>128</v>
      </c>
      <c r="F603" s="10" t="s">
        <v>401</v>
      </c>
      <c r="G603" s="1">
        <v>3.5000000000000003E-2</v>
      </c>
      <c r="H603" s="1">
        <v>0.05</v>
      </c>
      <c r="I603" s="8">
        <v>45664</v>
      </c>
      <c r="J603" s="6">
        <v>0</v>
      </c>
      <c r="K603" s="6">
        <v>0</v>
      </c>
      <c r="L603" s="6">
        <v>0</v>
      </c>
      <c r="M603" s="6">
        <v>0</v>
      </c>
      <c r="N603" s="7">
        <v>0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0</v>
      </c>
      <c r="U603" s="6">
        <v>0</v>
      </c>
      <c r="V603" s="6">
        <v>0</v>
      </c>
      <c r="W603" s="6">
        <v>0</v>
      </c>
      <c r="AI603" s="2">
        <v>515092</v>
      </c>
      <c r="AJ603" s="2">
        <v>30795</v>
      </c>
      <c r="AK603" s="2">
        <v>22995.18</v>
      </c>
      <c r="AL603" s="2">
        <v>1374.78</v>
      </c>
      <c r="AM603" s="5">
        <v>4873.99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32753.22</v>
      </c>
      <c r="AT603" s="12">
        <v>29243.949999999997</v>
      </c>
      <c r="AU603" s="2">
        <v>0</v>
      </c>
      <c r="AV603" s="5">
        <v>2729.44</v>
      </c>
      <c r="AX603" s="2">
        <v>515092</v>
      </c>
      <c r="AY603" s="2">
        <v>30795</v>
      </c>
      <c r="AZ603" s="2">
        <v>22995.18</v>
      </c>
      <c r="BA603" s="2">
        <v>1374.78</v>
      </c>
      <c r="BB603" s="5">
        <v>4873.99</v>
      </c>
      <c r="BC603" s="12">
        <v>0</v>
      </c>
      <c r="BD603" s="2">
        <v>0</v>
      </c>
      <c r="BE603" s="2">
        <v>0</v>
      </c>
      <c r="BF603" s="2">
        <v>0</v>
      </c>
      <c r="BG603" s="5">
        <v>0</v>
      </c>
      <c r="BH603" s="2">
        <v>32753.22</v>
      </c>
      <c r="BI603" s="12">
        <v>29243.949999999997</v>
      </c>
      <c r="BJ603" s="2">
        <v>0</v>
      </c>
      <c r="BK603" s="5">
        <v>2729.44</v>
      </c>
      <c r="BL603" s="1" t="s">
        <v>326</v>
      </c>
    </row>
    <row r="604" spans="1:64" x14ac:dyDescent="0.3">
      <c r="A604" t="s">
        <v>1288</v>
      </c>
      <c r="B604" s="1" t="s">
        <v>1291</v>
      </c>
      <c r="C604" s="9" t="s">
        <v>1292</v>
      </c>
      <c r="D604" s="1" t="s">
        <v>95</v>
      </c>
      <c r="E604" s="1" t="s">
        <v>128</v>
      </c>
      <c r="F604" s="10" t="s">
        <v>401</v>
      </c>
      <c r="G604" s="1">
        <v>3.5000000000000003E-2</v>
      </c>
      <c r="H604" s="1">
        <v>0.05</v>
      </c>
      <c r="I604" s="8">
        <v>45664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11">
        <v>0</v>
      </c>
      <c r="U604" s="6">
        <v>0</v>
      </c>
      <c r="V604" s="6">
        <v>0</v>
      </c>
      <c r="W604" s="6">
        <v>0</v>
      </c>
      <c r="AI604" s="2">
        <v>789627</v>
      </c>
      <c r="AJ604" s="2">
        <v>44745</v>
      </c>
      <c r="AK604" s="2">
        <v>35251.21</v>
      </c>
      <c r="AL604" s="2">
        <v>1997.54</v>
      </c>
      <c r="AM604" s="5">
        <v>7449.75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50062.32</v>
      </c>
      <c r="AT604" s="12">
        <v>44698.5</v>
      </c>
      <c r="AU604" s="2">
        <v>0</v>
      </c>
      <c r="AV604" s="5">
        <v>4171.8599999999997</v>
      </c>
      <c r="AX604" s="2">
        <v>789627</v>
      </c>
      <c r="AY604" s="2">
        <v>44745</v>
      </c>
      <c r="AZ604" s="2">
        <v>35251.21</v>
      </c>
      <c r="BA604" s="2">
        <v>1997.54</v>
      </c>
      <c r="BB604" s="5">
        <v>7449.75</v>
      </c>
      <c r="BC604" s="12">
        <v>0</v>
      </c>
      <c r="BD604" s="2">
        <v>0</v>
      </c>
      <c r="BE604" s="2">
        <v>0</v>
      </c>
      <c r="BF604" s="2">
        <v>0</v>
      </c>
      <c r="BG604" s="5">
        <v>0</v>
      </c>
      <c r="BH604" s="2">
        <v>50062.32</v>
      </c>
      <c r="BI604" s="12">
        <v>44698.5</v>
      </c>
      <c r="BJ604" s="2">
        <v>0</v>
      </c>
      <c r="BK604" s="5">
        <v>4171.8599999999997</v>
      </c>
      <c r="BL604" s="1" t="s">
        <v>326</v>
      </c>
    </row>
    <row r="605" spans="1:64" x14ac:dyDescent="0.3">
      <c r="A605" t="s">
        <v>1288</v>
      </c>
      <c r="B605" s="1" t="s">
        <v>1288</v>
      </c>
      <c r="C605" s="9" t="s">
        <v>1293</v>
      </c>
      <c r="D605" s="1" t="s">
        <v>95</v>
      </c>
      <c r="E605" s="1" t="s">
        <v>128</v>
      </c>
      <c r="F605" s="10" t="s">
        <v>401</v>
      </c>
      <c r="G605" s="1">
        <v>0</v>
      </c>
      <c r="H605" s="1">
        <v>0.05</v>
      </c>
      <c r="I605" s="8">
        <v>45160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0</v>
      </c>
      <c r="U605" s="6">
        <v>0</v>
      </c>
      <c r="V605" s="6">
        <v>0</v>
      </c>
      <c r="W605" s="6">
        <v>0</v>
      </c>
      <c r="AI605" s="2">
        <v>162876</v>
      </c>
      <c r="AJ605" s="2">
        <v>9240</v>
      </c>
      <c r="AK605" s="2">
        <v>7271.25</v>
      </c>
      <c r="AL605" s="2">
        <v>412.5</v>
      </c>
      <c r="AM605" s="5">
        <v>1536.75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10326.959999999999</v>
      </c>
      <c r="AT605" s="12">
        <v>9220.5</v>
      </c>
      <c r="AU605" s="2">
        <v>0</v>
      </c>
      <c r="AV605" s="5">
        <v>860.58</v>
      </c>
      <c r="AX605" s="2">
        <v>162876</v>
      </c>
      <c r="AY605" s="2">
        <v>9240</v>
      </c>
      <c r="AZ605" s="2">
        <v>7271.25</v>
      </c>
      <c r="BA605" s="2">
        <v>412.5</v>
      </c>
      <c r="BB605" s="5">
        <v>1536.75</v>
      </c>
      <c r="BC605" s="12">
        <v>0</v>
      </c>
      <c r="BD605" s="2">
        <v>0</v>
      </c>
      <c r="BE605" s="2">
        <v>0</v>
      </c>
      <c r="BF605" s="2">
        <v>0</v>
      </c>
      <c r="BG605" s="5">
        <v>0</v>
      </c>
      <c r="BH605" s="2">
        <v>10326.959999999999</v>
      </c>
      <c r="BI605" s="12">
        <v>9220.5</v>
      </c>
      <c r="BJ605" s="2">
        <v>0</v>
      </c>
      <c r="BK605" s="5">
        <v>860.58</v>
      </c>
      <c r="BL605" s="1" t="s">
        <v>326</v>
      </c>
    </row>
    <row r="606" spans="1:64" x14ac:dyDescent="0.3">
      <c r="A606" t="s">
        <v>1288</v>
      </c>
      <c r="B606" s="1" t="s">
        <v>1294</v>
      </c>
      <c r="C606" s="9" t="s">
        <v>1295</v>
      </c>
      <c r="D606" s="1" t="s">
        <v>95</v>
      </c>
      <c r="E606" s="1" t="s">
        <v>128</v>
      </c>
      <c r="F606" s="10" t="s">
        <v>401</v>
      </c>
      <c r="G606" s="1">
        <v>0</v>
      </c>
      <c r="H606" s="1">
        <v>0.05</v>
      </c>
      <c r="I606" s="8">
        <v>44306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0</v>
      </c>
      <c r="U606" s="6">
        <v>0</v>
      </c>
      <c r="V606" s="6">
        <v>0</v>
      </c>
      <c r="W606" s="6">
        <v>0</v>
      </c>
      <c r="AI606" s="2">
        <v>369521</v>
      </c>
      <c r="AJ606" s="2">
        <v>8696</v>
      </c>
      <c r="AK606" s="2">
        <v>16496.47</v>
      </c>
      <c r="AL606" s="2">
        <v>388.21</v>
      </c>
      <c r="AM606" s="5">
        <v>3376.94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22693.01</v>
      </c>
      <c r="AT606" s="12">
        <v>20261.62</v>
      </c>
      <c r="AU606" s="2">
        <v>0</v>
      </c>
      <c r="AV606" s="5">
        <v>1891.08</v>
      </c>
      <c r="AX606" s="2">
        <v>369521</v>
      </c>
      <c r="AY606" s="2">
        <v>8696</v>
      </c>
      <c r="AZ606" s="2">
        <v>16496.47</v>
      </c>
      <c r="BA606" s="2">
        <v>388.21</v>
      </c>
      <c r="BB606" s="5">
        <v>3376.94</v>
      </c>
      <c r="BC606" s="12">
        <v>0</v>
      </c>
      <c r="BD606" s="2">
        <v>0</v>
      </c>
      <c r="BE606" s="2">
        <v>0</v>
      </c>
      <c r="BF606" s="2">
        <v>0</v>
      </c>
      <c r="BG606" s="5">
        <v>0</v>
      </c>
      <c r="BH606" s="2">
        <v>22693.01</v>
      </c>
      <c r="BI606" s="12">
        <v>20261.62</v>
      </c>
      <c r="BJ606" s="2">
        <v>0</v>
      </c>
      <c r="BK606" s="5">
        <v>1891.08</v>
      </c>
      <c r="BL606" s="1" t="s">
        <v>326</v>
      </c>
    </row>
    <row r="607" spans="1:64" x14ac:dyDescent="0.3">
      <c r="A607" t="s">
        <v>1304</v>
      </c>
      <c r="B607" s="1" t="s">
        <v>1304</v>
      </c>
      <c r="C607" s="9" t="s">
        <v>1305</v>
      </c>
      <c r="D607" s="1" t="s">
        <v>95</v>
      </c>
      <c r="E607" s="1" t="s">
        <v>88</v>
      </c>
      <c r="F607" s="10" t="s">
        <v>1170</v>
      </c>
      <c r="G607" s="1">
        <v>0</v>
      </c>
      <c r="H607" s="1">
        <v>0.05</v>
      </c>
      <c r="I607" s="8">
        <v>45316</v>
      </c>
      <c r="J607" s="6">
        <v>0</v>
      </c>
      <c r="K607" s="6">
        <v>0</v>
      </c>
      <c r="L607" s="6">
        <v>0</v>
      </c>
      <c r="M607" s="6">
        <v>0</v>
      </c>
      <c r="N607" s="7">
        <v>0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0</v>
      </c>
      <c r="U607" s="6">
        <v>0</v>
      </c>
      <c r="V607" s="6">
        <v>0</v>
      </c>
      <c r="W607" s="6">
        <v>0</v>
      </c>
      <c r="AI607" s="2">
        <v>321992</v>
      </c>
      <c r="AJ607" s="2">
        <v>41865</v>
      </c>
      <c r="AK607" s="2">
        <v>14374.64</v>
      </c>
      <c r="AL607" s="2">
        <v>1868.97</v>
      </c>
      <c r="AM607" s="5">
        <v>3248.72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21831.41</v>
      </c>
      <c r="AT607" s="12">
        <v>19492.329999999998</v>
      </c>
      <c r="AU607" s="2">
        <v>0</v>
      </c>
      <c r="AV607" s="5">
        <v>1819.28</v>
      </c>
      <c r="AX607" s="2">
        <v>321992</v>
      </c>
      <c r="AY607" s="2">
        <v>41865</v>
      </c>
      <c r="AZ607" s="2">
        <v>14374.64</v>
      </c>
      <c r="BA607" s="2">
        <v>1868.97</v>
      </c>
      <c r="BB607" s="5">
        <v>3248.72</v>
      </c>
      <c r="BC607" s="12">
        <v>0</v>
      </c>
      <c r="BD607" s="2">
        <v>0</v>
      </c>
      <c r="BE607" s="2">
        <v>0</v>
      </c>
      <c r="BF607" s="2">
        <v>0</v>
      </c>
      <c r="BG607" s="5">
        <v>0</v>
      </c>
      <c r="BH607" s="2">
        <v>21831.41</v>
      </c>
      <c r="BI607" s="12">
        <v>19492.329999999998</v>
      </c>
      <c r="BJ607" s="2">
        <v>0</v>
      </c>
      <c r="BK607" s="5">
        <v>1819.28</v>
      </c>
      <c r="BL607" s="1" t="s">
        <v>90</v>
      </c>
    </row>
    <row r="608" spans="1:64" x14ac:dyDescent="0.3">
      <c r="A608" t="s">
        <v>1306</v>
      </c>
      <c r="B608" s="1" t="s">
        <v>1306</v>
      </c>
      <c r="C608" s="9" t="s">
        <v>1307</v>
      </c>
      <c r="D608" s="1" t="s">
        <v>95</v>
      </c>
      <c r="E608" s="1" t="s">
        <v>128</v>
      </c>
      <c r="F608" s="10" t="s">
        <v>129</v>
      </c>
      <c r="G608" s="1">
        <v>0</v>
      </c>
      <c r="H608" s="1">
        <v>0.05</v>
      </c>
      <c r="I608" s="8">
        <v>45199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0</v>
      </c>
      <c r="U608" s="6">
        <v>0</v>
      </c>
      <c r="V608" s="6">
        <v>0</v>
      </c>
      <c r="W608" s="6">
        <v>0</v>
      </c>
      <c r="AI608" s="2">
        <v>174100</v>
      </c>
      <c r="AJ608" s="2">
        <v>53874</v>
      </c>
      <c r="AK608" s="2">
        <v>7772.32</v>
      </c>
      <c r="AL608" s="2">
        <v>2405.09</v>
      </c>
      <c r="AM608" s="5">
        <v>2035.48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13678.44</v>
      </c>
      <c r="AT608" s="12">
        <v>12212.89</v>
      </c>
      <c r="AU608" s="2">
        <v>0</v>
      </c>
      <c r="AV608" s="5">
        <v>1139.8699999999999</v>
      </c>
      <c r="AX608" s="2">
        <v>174100</v>
      </c>
      <c r="AY608" s="2">
        <v>53874</v>
      </c>
      <c r="AZ608" s="2">
        <v>7772.32</v>
      </c>
      <c r="BA608" s="2">
        <v>2405.09</v>
      </c>
      <c r="BB608" s="5">
        <v>2035.48</v>
      </c>
      <c r="BC608" s="12">
        <v>0</v>
      </c>
      <c r="BD608" s="2">
        <v>0</v>
      </c>
      <c r="BE608" s="2">
        <v>0</v>
      </c>
      <c r="BF608" s="2">
        <v>0</v>
      </c>
      <c r="BG608" s="5">
        <v>0</v>
      </c>
      <c r="BH608" s="2">
        <v>13678.44</v>
      </c>
      <c r="BI608" s="12">
        <v>12212.89</v>
      </c>
      <c r="BJ608" s="2">
        <v>0</v>
      </c>
      <c r="BK608" s="5">
        <v>1139.8699999999999</v>
      </c>
      <c r="BL608" s="1" t="s">
        <v>130</v>
      </c>
    </row>
    <row r="609" spans="1:64" x14ac:dyDescent="0.3">
      <c r="A609" t="s">
        <v>1318</v>
      </c>
      <c r="B609" s="1" t="s">
        <v>1318</v>
      </c>
      <c r="C609" s="9" t="s">
        <v>1319</v>
      </c>
      <c r="D609" s="1" t="s">
        <v>95</v>
      </c>
      <c r="E609" s="1" t="s">
        <v>88</v>
      </c>
      <c r="F609" s="10" t="s">
        <v>218</v>
      </c>
      <c r="G609" s="1">
        <v>0</v>
      </c>
      <c r="H609" s="1">
        <v>0.05</v>
      </c>
      <c r="I609" s="8">
        <v>45615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0</v>
      </c>
      <c r="U609" s="6">
        <v>0</v>
      </c>
      <c r="V609" s="6">
        <v>0</v>
      </c>
      <c r="W609" s="6">
        <v>0</v>
      </c>
      <c r="AI609" s="2">
        <v>481894</v>
      </c>
      <c r="AJ609" s="2">
        <v>32996</v>
      </c>
      <c r="AK609" s="2">
        <v>21513.119999999999</v>
      </c>
      <c r="AL609" s="2">
        <v>1473.04</v>
      </c>
      <c r="AM609" s="5">
        <v>4597.2299999999996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30893.4</v>
      </c>
      <c r="AT609" s="12">
        <v>27583.39</v>
      </c>
      <c r="AU609" s="2">
        <v>0</v>
      </c>
      <c r="AV609" s="5">
        <v>2574.4499999999998</v>
      </c>
      <c r="AX609" s="2">
        <v>481894</v>
      </c>
      <c r="AY609" s="2">
        <v>32996</v>
      </c>
      <c r="AZ609" s="2">
        <v>21513.119999999999</v>
      </c>
      <c r="BA609" s="2">
        <v>1473.04</v>
      </c>
      <c r="BB609" s="5">
        <v>4597.2299999999996</v>
      </c>
      <c r="BC609" s="12">
        <v>0</v>
      </c>
      <c r="BD609" s="2">
        <v>0</v>
      </c>
      <c r="BE609" s="2">
        <v>0</v>
      </c>
      <c r="BF609" s="2">
        <v>0</v>
      </c>
      <c r="BG609" s="5">
        <v>0</v>
      </c>
      <c r="BH609" s="2">
        <v>30893.4</v>
      </c>
      <c r="BI609" s="12">
        <v>27583.39</v>
      </c>
      <c r="BJ609" s="2">
        <v>0</v>
      </c>
      <c r="BK609" s="5">
        <v>2574.4499999999998</v>
      </c>
      <c r="BL609" s="1" t="s">
        <v>90</v>
      </c>
    </row>
    <row r="610" spans="1:64" x14ac:dyDescent="0.3">
      <c r="A610" t="s">
        <v>1320</v>
      </c>
      <c r="B610" s="1" t="s">
        <v>1320</v>
      </c>
      <c r="C610" s="9" t="s">
        <v>1321</v>
      </c>
      <c r="D610" s="1" t="s">
        <v>95</v>
      </c>
      <c r="E610" s="1" t="s">
        <v>88</v>
      </c>
      <c r="F610" s="10" t="s">
        <v>96</v>
      </c>
      <c r="G610" s="1">
        <v>0</v>
      </c>
      <c r="H610" s="1">
        <v>0.05</v>
      </c>
      <c r="I610" s="8">
        <v>45185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0</v>
      </c>
      <c r="U610" s="6">
        <v>0</v>
      </c>
      <c r="V610" s="6">
        <v>0</v>
      </c>
      <c r="W610" s="6">
        <v>0</v>
      </c>
      <c r="AI610" s="2">
        <v>294984</v>
      </c>
      <c r="AJ610" s="2">
        <v>112813</v>
      </c>
      <c r="AK610" s="2">
        <v>13168.93</v>
      </c>
      <c r="AL610" s="2">
        <v>5036.29</v>
      </c>
      <c r="AM610" s="5">
        <v>3641.04</v>
      </c>
      <c r="AN610" s="12">
        <v>0</v>
      </c>
      <c r="AO610" s="2">
        <v>0</v>
      </c>
      <c r="AP610" s="2">
        <v>0</v>
      </c>
      <c r="AQ610" s="2">
        <v>0</v>
      </c>
      <c r="AR610" s="5">
        <v>0</v>
      </c>
      <c r="AS610" s="2">
        <v>24467.81</v>
      </c>
      <c r="AT610" s="12">
        <v>21846.260000000002</v>
      </c>
      <c r="AU610" s="2">
        <v>0</v>
      </c>
      <c r="AV610" s="5">
        <v>2038.98</v>
      </c>
      <c r="AX610" s="2">
        <v>294984</v>
      </c>
      <c r="AY610" s="2">
        <v>112813</v>
      </c>
      <c r="AZ610" s="2">
        <v>13168.93</v>
      </c>
      <c r="BA610" s="2">
        <v>5036.29</v>
      </c>
      <c r="BB610" s="5">
        <v>3641.04</v>
      </c>
      <c r="BC610" s="12">
        <v>0</v>
      </c>
      <c r="BD610" s="2">
        <v>0</v>
      </c>
      <c r="BE610" s="2">
        <v>0</v>
      </c>
      <c r="BF610" s="2">
        <v>0</v>
      </c>
      <c r="BG610" s="5">
        <v>0</v>
      </c>
      <c r="BH610" s="2">
        <v>24467.81</v>
      </c>
      <c r="BI610" s="12">
        <v>21846.260000000002</v>
      </c>
      <c r="BJ610" s="2">
        <v>0</v>
      </c>
      <c r="BK610" s="5">
        <v>2038.98</v>
      </c>
      <c r="BL610" s="1" t="s">
        <v>90</v>
      </c>
    </row>
    <row r="611" spans="1:64" x14ac:dyDescent="0.3">
      <c r="A611" t="s">
        <v>1322</v>
      </c>
      <c r="B611" s="1" t="s">
        <v>1322</v>
      </c>
      <c r="C611" s="9" t="s">
        <v>1323</v>
      </c>
      <c r="D611" s="1" t="s">
        <v>95</v>
      </c>
      <c r="E611" s="1" t="s">
        <v>135</v>
      </c>
      <c r="F611" s="10" t="s">
        <v>435</v>
      </c>
      <c r="G611" s="1">
        <v>0</v>
      </c>
      <c r="H611" s="1">
        <v>0.05</v>
      </c>
      <c r="I611" s="8">
        <v>45184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0</v>
      </c>
      <c r="U611" s="6">
        <v>0</v>
      </c>
      <c r="V611" s="6">
        <v>0</v>
      </c>
      <c r="W611" s="6">
        <v>0</v>
      </c>
      <c r="AI611" s="2">
        <v>327107</v>
      </c>
      <c r="AJ611" s="2">
        <v>61625</v>
      </c>
      <c r="AK611" s="2">
        <v>14602.99</v>
      </c>
      <c r="AL611" s="2">
        <v>2751.12</v>
      </c>
      <c r="AM611" s="5">
        <v>3470.82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23323.919999999998</v>
      </c>
      <c r="AT611" s="12">
        <v>20824.93</v>
      </c>
      <c r="AU611" s="2">
        <v>0</v>
      </c>
      <c r="AV611" s="5">
        <v>1943.66</v>
      </c>
      <c r="AX611" s="2">
        <v>327107</v>
      </c>
      <c r="AY611" s="2">
        <v>61625</v>
      </c>
      <c r="AZ611" s="2">
        <v>14602.99</v>
      </c>
      <c r="BA611" s="2">
        <v>2751.12</v>
      </c>
      <c r="BB611" s="5">
        <v>3470.82</v>
      </c>
      <c r="BC611" s="12">
        <v>0</v>
      </c>
      <c r="BD611" s="2">
        <v>0</v>
      </c>
      <c r="BE611" s="2">
        <v>0</v>
      </c>
      <c r="BF611" s="2">
        <v>0</v>
      </c>
      <c r="BG611" s="5">
        <v>0</v>
      </c>
      <c r="BH611" s="2">
        <v>23323.919999999998</v>
      </c>
      <c r="BI611" s="12">
        <v>20824.93</v>
      </c>
      <c r="BJ611" s="2">
        <v>0</v>
      </c>
      <c r="BK611" s="5">
        <v>1943.66</v>
      </c>
      <c r="BL611" s="1" t="s">
        <v>137</v>
      </c>
    </row>
    <row r="612" spans="1:64" x14ac:dyDescent="0.3">
      <c r="A612" t="s">
        <v>1322</v>
      </c>
      <c r="B612" s="1" t="s">
        <v>1324</v>
      </c>
      <c r="C612" s="9" t="s">
        <v>1325</v>
      </c>
      <c r="D612" s="1" t="s">
        <v>95</v>
      </c>
      <c r="E612" s="1" t="s">
        <v>135</v>
      </c>
      <c r="F612" s="10" t="s">
        <v>435</v>
      </c>
      <c r="G612" s="1">
        <v>0</v>
      </c>
      <c r="H612" s="1">
        <v>0.05</v>
      </c>
      <c r="I612" s="8">
        <v>45367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0</v>
      </c>
      <c r="U612" s="6">
        <v>0</v>
      </c>
      <c r="V612" s="6">
        <v>0</v>
      </c>
      <c r="W612" s="6">
        <v>0</v>
      </c>
      <c r="AI612" s="2">
        <v>172334</v>
      </c>
      <c r="AJ612" s="2">
        <v>8585</v>
      </c>
      <c r="AK612" s="2">
        <v>7693.48</v>
      </c>
      <c r="AL612" s="2">
        <v>383.26</v>
      </c>
      <c r="AM612" s="5">
        <v>1615.35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10855.14</v>
      </c>
      <c r="AT612" s="12">
        <v>9692.09</v>
      </c>
      <c r="AU612" s="2">
        <v>0</v>
      </c>
      <c r="AV612" s="5">
        <v>904.6</v>
      </c>
      <c r="AX612" s="2">
        <v>172334</v>
      </c>
      <c r="AY612" s="2">
        <v>8585</v>
      </c>
      <c r="AZ612" s="2">
        <v>7693.48</v>
      </c>
      <c r="BA612" s="2">
        <v>383.26</v>
      </c>
      <c r="BB612" s="5">
        <v>1615.35</v>
      </c>
      <c r="BC612" s="12">
        <v>0</v>
      </c>
      <c r="BD612" s="2">
        <v>0</v>
      </c>
      <c r="BE612" s="2">
        <v>0</v>
      </c>
      <c r="BF612" s="2">
        <v>0</v>
      </c>
      <c r="BG612" s="5">
        <v>0</v>
      </c>
      <c r="BH612" s="2">
        <v>10855.14</v>
      </c>
      <c r="BI612" s="12">
        <v>9692.09</v>
      </c>
      <c r="BJ612" s="2">
        <v>0</v>
      </c>
      <c r="BK612" s="5">
        <v>904.6</v>
      </c>
      <c r="BL612" s="1" t="s">
        <v>436</v>
      </c>
    </row>
    <row r="613" spans="1:64" x14ac:dyDescent="0.3">
      <c r="A613" t="s">
        <v>1344</v>
      </c>
      <c r="B613" s="1" t="s">
        <v>1344</v>
      </c>
      <c r="C613" s="9" t="s">
        <v>1345</v>
      </c>
      <c r="D613" s="1" t="s">
        <v>95</v>
      </c>
      <c r="E613" s="1" t="s">
        <v>88</v>
      </c>
      <c r="F613" s="10" t="s">
        <v>1170</v>
      </c>
      <c r="G613" s="1">
        <v>0</v>
      </c>
      <c r="H613" s="1">
        <v>0.05</v>
      </c>
      <c r="I613" s="8">
        <v>45280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0</v>
      </c>
      <c r="U613" s="6">
        <v>0</v>
      </c>
      <c r="V613" s="6">
        <v>0</v>
      </c>
      <c r="W613" s="6">
        <v>0</v>
      </c>
      <c r="AI613" s="2">
        <v>45644</v>
      </c>
      <c r="AJ613" s="2">
        <v>15832</v>
      </c>
      <c r="AK613" s="2">
        <v>2037.68</v>
      </c>
      <c r="AL613" s="2">
        <v>706.79</v>
      </c>
      <c r="AM613" s="5">
        <v>548.89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3688.56</v>
      </c>
      <c r="AT613" s="12">
        <v>3293.36</v>
      </c>
      <c r="AU613" s="2">
        <v>0</v>
      </c>
      <c r="AV613" s="5">
        <v>307.38</v>
      </c>
      <c r="AX613" s="2">
        <v>45644</v>
      </c>
      <c r="AY613" s="2">
        <v>15832</v>
      </c>
      <c r="AZ613" s="2">
        <v>2037.68</v>
      </c>
      <c r="BA613" s="2">
        <v>706.79</v>
      </c>
      <c r="BB613" s="5">
        <v>548.89</v>
      </c>
      <c r="BC613" s="12">
        <v>0</v>
      </c>
      <c r="BD613" s="2">
        <v>0</v>
      </c>
      <c r="BE613" s="2">
        <v>0</v>
      </c>
      <c r="BF613" s="2">
        <v>0</v>
      </c>
      <c r="BG613" s="5">
        <v>0</v>
      </c>
      <c r="BH613" s="2">
        <v>3688.56</v>
      </c>
      <c r="BI613" s="12">
        <v>3293.36</v>
      </c>
      <c r="BJ613" s="2">
        <v>0</v>
      </c>
      <c r="BK613" s="5">
        <v>307.38</v>
      </c>
      <c r="BL613" s="1" t="s">
        <v>90</v>
      </c>
    </row>
    <row r="614" spans="1:64" x14ac:dyDescent="0.3">
      <c r="A614" t="s">
        <v>1346</v>
      </c>
      <c r="B614" s="1" t="s">
        <v>1346</v>
      </c>
      <c r="C614" s="9" t="s">
        <v>1347</v>
      </c>
      <c r="D614" s="1" t="s">
        <v>95</v>
      </c>
      <c r="E614" s="1" t="s">
        <v>88</v>
      </c>
      <c r="F614" s="10" t="s">
        <v>1348</v>
      </c>
      <c r="G614" s="1">
        <v>0</v>
      </c>
      <c r="H614" s="1">
        <v>0.05</v>
      </c>
      <c r="I614" s="8">
        <v>45270</v>
      </c>
      <c r="J614" s="6">
        <v>0</v>
      </c>
      <c r="K614" s="6">
        <v>0</v>
      </c>
      <c r="L614" s="6">
        <v>0</v>
      </c>
      <c r="M614" s="6">
        <v>0</v>
      </c>
      <c r="N614" s="7">
        <v>0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0</v>
      </c>
      <c r="U614" s="6">
        <v>0</v>
      </c>
      <c r="V614" s="6">
        <v>0</v>
      </c>
      <c r="W614" s="6">
        <v>0</v>
      </c>
      <c r="AI614" s="2">
        <v>158704</v>
      </c>
      <c r="AJ614" s="2">
        <v>35464</v>
      </c>
      <c r="AK614" s="2">
        <v>7085</v>
      </c>
      <c r="AL614" s="2">
        <v>1583.21</v>
      </c>
      <c r="AM614" s="5">
        <v>1733.64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11650.07</v>
      </c>
      <c r="AT614" s="12">
        <v>10401.849999999999</v>
      </c>
      <c r="AU614" s="2">
        <v>0</v>
      </c>
      <c r="AV614" s="5">
        <v>970.84</v>
      </c>
      <c r="AX614" s="2">
        <v>158704</v>
      </c>
      <c r="AY614" s="2">
        <v>35464</v>
      </c>
      <c r="AZ614" s="2">
        <v>7085</v>
      </c>
      <c r="BA614" s="2">
        <v>1583.21</v>
      </c>
      <c r="BB614" s="5">
        <v>1733.64</v>
      </c>
      <c r="BC614" s="12">
        <v>0</v>
      </c>
      <c r="BD614" s="2">
        <v>0</v>
      </c>
      <c r="BE614" s="2">
        <v>0</v>
      </c>
      <c r="BF614" s="2">
        <v>0</v>
      </c>
      <c r="BG614" s="5">
        <v>0</v>
      </c>
      <c r="BH614" s="2">
        <v>11650.07</v>
      </c>
      <c r="BI614" s="12">
        <v>10401.849999999999</v>
      </c>
      <c r="BJ614" s="2">
        <v>0</v>
      </c>
      <c r="BK614" s="5">
        <v>970.84</v>
      </c>
      <c r="BL614" s="1" t="s">
        <v>90</v>
      </c>
    </row>
    <row r="615" spans="1:64" x14ac:dyDescent="0.3">
      <c r="A615" t="s">
        <v>1349</v>
      </c>
      <c r="B615" s="1" t="s">
        <v>1349</v>
      </c>
      <c r="C615" s="9" t="s">
        <v>1350</v>
      </c>
      <c r="D615" s="1" t="s">
        <v>95</v>
      </c>
      <c r="E615" s="1" t="s">
        <v>135</v>
      </c>
      <c r="F615" s="10" t="s">
        <v>435</v>
      </c>
      <c r="G615" s="1">
        <v>0</v>
      </c>
      <c r="H615" s="1">
        <v>0.05</v>
      </c>
      <c r="I615" s="8">
        <v>45270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  <c r="T615" s="11">
        <v>0</v>
      </c>
      <c r="U615" s="6">
        <v>0</v>
      </c>
      <c r="V615" s="6">
        <v>0</v>
      </c>
      <c r="W615" s="6">
        <v>0</v>
      </c>
      <c r="AI615" s="2">
        <v>355194</v>
      </c>
      <c r="AJ615" s="2">
        <v>98502</v>
      </c>
      <c r="AK615" s="2">
        <v>15856.88</v>
      </c>
      <c r="AL615" s="2">
        <v>4397.41</v>
      </c>
      <c r="AM615" s="5">
        <v>4050.86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27221.77</v>
      </c>
      <c r="AT615" s="12">
        <v>24305.15</v>
      </c>
      <c r="AU615" s="2">
        <v>0</v>
      </c>
      <c r="AV615" s="5">
        <v>2268.48</v>
      </c>
      <c r="AX615" s="2">
        <v>355194</v>
      </c>
      <c r="AY615" s="2">
        <v>98502</v>
      </c>
      <c r="AZ615" s="2">
        <v>15856.88</v>
      </c>
      <c r="BA615" s="2">
        <v>4397.41</v>
      </c>
      <c r="BB615" s="5">
        <v>4050.86</v>
      </c>
      <c r="BC615" s="12">
        <v>0</v>
      </c>
      <c r="BD615" s="2">
        <v>0</v>
      </c>
      <c r="BE615" s="2">
        <v>0</v>
      </c>
      <c r="BF615" s="2">
        <v>0</v>
      </c>
      <c r="BG615" s="5">
        <v>0</v>
      </c>
      <c r="BH615" s="2">
        <v>27221.77</v>
      </c>
      <c r="BI615" s="12">
        <v>24305.15</v>
      </c>
      <c r="BJ615" s="2">
        <v>0</v>
      </c>
      <c r="BK615" s="5">
        <v>2268.48</v>
      </c>
      <c r="BL615" s="1" t="s">
        <v>137</v>
      </c>
    </row>
    <row r="616" spans="1:64" x14ac:dyDescent="0.3">
      <c r="A616" t="s">
        <v>1355</v>
      </c>
      <c r="B616" s="1" t="s">
        <v>1355</v>
      </c>
      <c r="C616" s="9" t="s">
        <v>1356</v>
      </c>
      <c r="D616" s="1" t="s">
        <v>95</v>
      </c>
      <c r="E616" s="1" t="s">
        <v>88</v>
      </c>
      <c r="F616" s="10" t="s">
        <v>96</v>
      </c>
      <c r="G616" s="1">
        <v>0</v>
      </c>
      <c r="H616" s="1">
        <v>0.05</v>
      </c>
      <c r="I616" s="8">
        <v>45390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0</v>
      </c>
      <c r="U616" s="6">
        <v>0</v>
      </c>
      <c r="V616" s="6">
        <v>0</v>
      </c>
      <c r="W616" s="6">
        <v>0</v>
      </c>
      <c r="AI616" s="2">
        <v>473014.25</v>
      </c>
      <c r="AJ616" s="2">
        <v>67876</v>
      </c>
      <c r="AK616" s="2">
        <v>21116.71</v>
      </c>
      <c r="AL616" s="2">
        <v>3030.18</v>
      </c>
      <c r="AM616" s="5">
        <v>4829.37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32453.41</v>
      </c>
      <c r="AT616" s="12">
        <v>28976.26</v>
      </c>
      <c r="AU616" s="2">
        <v>0</v>
      </c>
      <c r="AV616" s="5">
        <v>2704.45</v>
      </c>
      <c r="AX616" s="2">
        <v>473014.25</v>
      </c>
      <c r="AY616" s="2">
        <v>67876</v>
      </c>
      <c r="AZ616" s="2">
        <v>21116.71</v>
      </c>
      <c r="BA616" s="2">
        <v>3030.18</v>
      </c>
      <c r="BB616" s="5">
        <v>4829.37</v>
      </c>
      <c r="BC616" s="12">
        <v>0</v>
      </c>
      <c r="BD616" s="2">
        <v>0</v>
      </c>
      <c r="BE616" s="2">
        <v>0</v>
      </c>
      <c r="BF616" s="2">
        <v>0</v>
      </c>
      <c r="BG616" s="5">
        <v>0</v>
      </c>
      <c r="BH616" s="2">
        <v>32453.41</v>
      </c>
      <c r="BI616" s="12">
        <v>28976.26</v>
      </c>
      <c r="BJ616" s="2">
        <v>0</v>
      </c>
      <c r="BK616" s="5">
        <v>2704.45</v>
      </c>
      <c r="BL616" s="1" t="s">
        <v>90</v>
      </c>
    </row>
    <row r="617" spans="1:64" x14ac:dyDescent="0.3">
      <c r="A617" t="s">
        <v>1355</v>
      </c>
      <c r="B617" s="1" t="s">
        <v>1357</v>
      </c>
      <c r="C617" s="9" t="s">
        <v>1358</v>
      </c>
      <c r="D617" s="1" t="s">
        <v>95</v>
      </c>
      <c r="E617" s="1" t="s">
        <v>88</v>
      </c>
      <c r="F617" s="10" t="s">
        <v>96</v>
      </c>
      <c r="G617" s="1">
        <v>0</v>
      </c>
      <c r="H617" s="1">
        <v>0.05</v>
      </c>
      <c r="I617" s="8">
        <v>45729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0</v>
      </c>
      <c r="U617" s="6">
        <v>0</v>
      </c>
      <c r="V617" s="6">
        <v>0</v>
      </c>
      <c r="W617" s="6">
        <v>0</v>
      </c>
      <c r="AI617" s="2">
        <v>360149.4</v>
      </c>
      <c r="AJ617" s="2">
        <v>37511</v>
      </c>
      <c r="AK617" s="2">
        <v>16078.1</v>
      </c>
      <c r="AL617" s="2">
        <v>1674.6</v>
      </c>
      <c r="AM617" s="5">
        <v>3550.54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23859.63</v>
      </c>
      <c r="AT617" s="12">
        <v>21303.24</v>
      </c>
      <c r="AU617" s="2">
        <v>0</v>
      </c>
      <c r="AV617" s="5">
        <v>1988.3</v>
      </c>
      <c r="AX617" s="2">
        <v>360149.4</v>
      </c>
      <c r="AY617" s="2">
        <v>37511</v>
      </c>
      <c r="AZ617" s="2">
        <v>16078.1</v>
      </c>
      <c r="BA617" s="2">
        <v>1674.6</v>
      </c>
      <c r="BB617" s="5">
        <v>3550.54</v>
      </c>
      <c r="BC617" s="12">
        <v>0</v>
      </c>
      <c r="BD617" s="2">
        <v>0</v>
      </c>
      <c r="BE617" s="2">
        <v>0</v>
      </c>
      <c r="BF617" s="2">
        <v>0</v>
      </c>
      <c r="BG617" s="5">
        <v>0</v>
      </c>
      <c r="BH617" s="2">
        <v>23859.63</v>
      </c>
      <c r="BI617" s="12">
        <v>21303.24</v>
      </c>
      <c r="BJ617" s="2">
        <v>0</v>
      </c>
      <c r="BK617" s="5">
        <v>1988.3</v>
      </c>
      <c r="BL617" s="1" t="s">
        <v>90</v>
      </c>
    </row>
    <row r="618" spans="1:64" x14ac:dyDescent="0.3">
      <c r="A618" t="s">
        <v>1359</v>
      </c>
      <c r="B618" s="1" t="s">
        <v>1359</v>
      </c>
      <c r="C618" s="9" t="s">
        <v>1360</v>
      </c>
      <c r="D618" s="1" t="s">
        <v>95</v>
      </c>
      <c r="E618" s="1" t="s">
        <v>135</v>
      </c>
      <c r="F618" s="10" t="s">
        <v>435</v>
      </c>
      <c r="G618" s="1">
        <v>0</v>
      </c>
      <c r="H618" s="1">
        <v>0.05</v>
      </c>
      <c r="I618" s="8">
        <v>45273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0</v>
      </c>
      <c r="U618" s="6">
        <v>0</v>
      </c>
      <c r="V618" s="6">
        <v>0</v>
      </c>
      <c r="W618" s="6">
        <v>0</v>
      </c>
      <c r="AI618" s="2">
        <v>465585</v>
      </c>
      <c r="AJ618" s="2">
        <v>90265</v>
      </c>
      <c r="AK618" s="2">
        <v>20785.04</v>
      </c>
      <c r="AL618" s="2">
        <v>4029.69</v>
      </c>
      <c r="AM618" s="5">
        <v>4962.95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33351</v>
      </c>
      <c r="AT618" s="12">
        <v>29777.68</v>
      </c>
      <c r="AU618" s="2">
        <v>0</v>
      </c>
      <c r="AV618" s="5">
        <v>2779.25</v>
      </c>
      <c r="AX618" s="2">
        <v>465585</v>
      </c>
      <c r="AY618" s="2">
        <v>90265</v>
      </c>
      <c r="AZ618" s="2">
        <v>20785.04</v>
      </c>
      <c r="BA618" s="2">
        <v>4029.69</v>
      </c>
      <c r="BB618" s="5">
        <v>4962.95</v>
      </c>
      <c r="BC618" s="12">
        <v>0</v>
      </c>
      <c r="BD618" s="2">
        <v>0</v>
      </c>
      <c r="BE618" s="2">
        <v>0</v>
      </c>
      <c r="BF618" s="2">
        <v>0</v>
      </c>
      <c r="BG618" s="5">
        <v>0</v>
      </c>
      <c r="BH618" s="2">
        <v>33351</v>
      </c>
      <c r="BI618" s="12">
        <v>29777.68</v>
      </c>
      <c r="BJ618" s="2">
        <v>0</v>
      </c>
      <c r="BK618" s="5">
        <v>2779.25</v>
      </c>
      <c r="BL618" s="1" t="s">
        <v>137</v>
      </c>
    </row>
    <row r="619" spans="1:64" x14ac:dyDescent="0.3">
      <c r="A619" t="s">
        <v>1361</v>
      </c>
      <c r="B619" s="1" t="s">
        <v>1362</v>
      </c>
      <c r="C619" s="9" t="s">
        <v>1363</v>
      </c>
      <c r="D619" s="1" t="s">
        <v>95</v>
      </c>
      <c r="E619" s="1" t="s">
        <v>128</v>
      </c>
      <c r="F619" s="10" t="s">
        <v>355</v>
      </c>
      <c r="G619" s="1">
        <v>0.04</v>
      </c>
      <c r="H619" s="1">
        <v>0.05</v>
      </c>
      <c r="I619" s="8">
        <v>44679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  <c r="T619" s="11">
        <v>0</v>
      </c>
      <c r="U619" s="6">
        <v>0</v>
      </c>
      <c r="V619" s="6">
        <v>0</v>
      </c>
      <c r="W619" s="6">
        <v>0</v>
      </c>
      <c r="AI619" s="2">
        <v>1187785</v>
      </c>
      <c r="AJ619" s="2">
        <v>158525</v>
      </c>
      <c r="AK619" s="2">
        <v>53026.12</v>
      </c>
      <c r="AL619" s="2">
        <v>7077.01</v>
      </c>
      <c r="AM619" s="5">
        <v>12020.62</v>
      </c>
      <c r="AN619" s="12">
        <v>0</v>
      </c>
      <c r="AO619" s="2">
        <v>0</v>
      </c>
      <c r="AP619" s="2">
        <v>0</v>
      </c>
      <c r="AQ619" s="2">
        <v>0</v>
      </c>
      <c r="AR619" s="5">
        <v>0</v>
      </c>
      <c r="AS619" s="2">
        <v>80778.600000000006</v>
      </c>
      <c r="AT619" s="12">
        <v>72123.75</v>
      </c>
      <c r="AU619" s="2">
        <v>0</v>
      </c>
      <c r="AV619" s="5">
        <v>6731.55</v>
      </c>
      <c r="AX619" s="2">
        <v>1187785</v>
      </c>
      <c r="AY619" s="2">
        <v>158525</v>
      </c>
      <c r="AZ619" s="2">
        <v>53026.12</v>
      </c>
      <c r="BA619" s="2">
        <v>7077.01</v>
      </c>
      <c r="BB619" s="5">
        <v>12020.62</v>
      </c>
      <c r="BC619" s="12">
        <v>0</v>
      </c>
      <c r="BD619" s="2">
        <v>0</v>
      </c>
      <c r="BE619" s="2">
        <v>0</v>
      </c>
      <c r="BF619" s="2">
        <v>0</v>
      </c>
      <c r="BG619" s="5">
        <v>0</v>
      </c>
      <c r="BH619" s="2">
        <v>80778.600000000006</v>
      </c>
      <c r="BI619" s="12">
        <v>72123.75</v>
      </c>
      <c r="BJ619" s="2">
        <v>0</v>
      </c>
      <c r="BK619" s="5">
        <v>6731.55</v>
      </c>
      <c r="BL619" s="1" t="s">
        <v>130</v>
      </c>
    </row>
    <row r="620" spans="1:64" x14ac:dyDescent="0.3">
      <c r="A620" t="s">
        <v>1361</v>
      </c>
      <c r="B620" s="1" t="s">
        <v>1364</v>
      </c>
      <c r="C620" s="9" t="s">
        <v>1365</v>
      </c>
      <c r="D620" s="1" t="s">
        <v>95</v>
      </c>
      <c r="E620" s="1" t="s">
        <v>128</v>
      </c>
      <c r="F620" s="10" t="s">
        <v>355</v>
      </c>
      <c r="G620" s="1">
        <v>0.04</v>
      </c>
      <c r="H620" s="1">
        <v>0.05</v>
      </c>
      <c r="I620" s="8">
        <v>44679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-38741.5</v>
      </c>
      <c r="P620" s="6">
        <v>0</v>
      </c>
      <c r="Q620" s="6">
        <v>-1729.54</v>
      </c>
      <c r="R620" s="6">
        <v>0</v>
      </c>
      <c r="S620" s="7">
        <v>-345.91</v>
      </c>
      <c r="T620" s="11">
        <v>-2324.5100000000002</v>
      </c>
      <c r="U620" s="6">
        <v>-2075.4499999999998</v>
      </c>
      <c r="V620" s="6">
        <v>0</v>
      </c>
      <c r="W620" s="6">
        <v>-193.71000000000004</v>
      </c>
      <c r="AI620" s="2">
        <v>92752</v>
      </c>
      <c r="AJ620" s="2">
        <v>0</v>
      </c>
      <c r="AK620" s="2">
        <v>4140.71</v>
      </c>
      <c r="AL620" s="2">
        <v>0</v>
      </c>
      <c r="AM620" s="5">
        <v>828.14</v>
      </c>
      <c r="AN620" s="12">
        <v>0</v>
      </c>
      <c r="AO620" s="2">
        <v>0</v>
      </c>
      <c r="AP620" s="2">
        <v>0</v>
      </c>
      <c r="AQ620" s="2">
        <v>0</v>
      </c>
      <c r="AR620" s="5">
        <v>0</v>
      </c>
      <c r="AS620" s="2">
        <v>5565.11</v>
      </c>
      <c r="AT620" s="12">
        <v>4968.8500000000004</v>
      </c>
      <c r="AU620" s="2">
        <v>0</v>
      </c>
      <c r="AV620" s="5">
        <v>463.76</v>
      </c>
      <c r="AX620" s="2">
        <v>92752</v>
      </c>
      <c r="AY620" s="2">
        <v>0</v>
      </c>
      <c r="AZ620" s="2">
        <v>4140.71</v>
      </c>
      <c r="BA620" s="2">
        <v>0</v>
      </c>
      <c r="BB620" s="5">
        <v>828.14</v>
      </c>
      <c r="BC620" s="12">
        <v>38741.5</v>
      </c>
      <c r="BD620" s="2">
        <v>0</v>
      </c>
      <c r="BE620" s="2">
        <v>1729.54</v>
      </c>
      <c r="BF620" s="2">
        <v>0</v>
      </c>
      <c r="BG620" s="5">
        <v>345.91</v>
      </c>
      <c r="BH620" s="2">
        <v>7889.62</v>
      </c>
      <c r="BI620" s="12">
        <v>7044.3</v>
      </c>
      <c r="BJ620" s="2">
        <v>0</v>
      </c>
      <c r="BK620" s="5">
        <v>657.47</v>
      </c>
      <c r="BL620" s="1" t="s">
        <v>130</v>
      </c>
    </row>
    <row r="621" spans="1:64" x14ac:dyDescent="0.3">
      <c r="A621" t="s">
        <v>1361</v>
      </c>
      <c r="B621" s="1" t="s">
        <v>1366</v>
      </c>
      <c r="C621" s="9" t="s">
        <v>1367</v>
      </c>
      <c r="D621" s="1" t="s">
        <v>95</v>
      </c>
      <c r="E621" s="1" t="s">
        <v>128</v>
      </c>
      <c r="F621" s="10" t="s">
        <v>355</v>
      </c>
      <c r="G621" s="1">
        <v>0.04</v>
      </c>
      <c r="H621" s="1">
        <v>0.05</v>
      </c>
      <c r="I621" s="8">
        <v>44679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  <c r="T621" s="11">
        <v>0</v>
      </c>
      <c r="U621" s="6">
        <v>0</v>
      </c>
      <c r="V621" s="6">
        <v>0</v>
      </c>
      <c r="W621" s="6">
        <v>0</v>
      </c>
      <c r="AI621" s="2">
        <v>180907</v>
      </c>
      <c r="AJ621" s="2">
        <v>0</v>
      </c>
      <c r="AK621" s="2">
        <v>8076.21</v>
      </c>
      <c r="AL621" s="2">
        <v>0</v>
      </c>
      <c r="AM621" s="5">
        <v>1615.24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10854.42</v>
      </c>
      <c r="AT621" s="12">
        <v>9691.4500000000007</v>
      </c>
      <c r="AU621" s="2">
        <v>0</v>
      </c>
      <c r="AV621" s="5">
        <v>904.54</v>
      </c>
      <c r="AX621" s="2">
        <v>180907</v>
      </c>
      <c r="AY621" s="2">
        <v>0</v>
      </c>
      <c r="AZ621" s="2">
        <v>8076.21</v>
      </c>
      <c r="BA621" s="2">
        <v>0</v>
      </c>
      <c r="BB621" s="5">
        <v>1615.24</v>
      </c>
      <c r="BC621" s="12">
        <v>0</v>
      </c>
      <c r="BD621" s="2">
        <v>0</v>
      </c>
      <c r="BE621" s="2">
        <v>0</v>
      </c>
      <c r="BF621" s="2">
        <v>0</v>
      </c>
      <c r="BG621" s="5">
        <v>0</v>
      </c>
      <c r="BH621" s="2">
        <v>10854.42</v>
      </c>
      <c r="BI621" s="12">
        <v>9691.4500000000007</v>
      </c>
      <c r="BJ621" s="2">
        <v>0</v>
      </c>
      <c r="BK621" s="5">
        <v>904.54</v>
      </c>
      <c r="BL621" s="1" t="s">
        <v>130</v>
      </c>
    </row>
    <row r="622" spans="1:64" x14ac:dyDescent="0.3">
      <c r="A622" t="s">
        <v>1361</v>
      </c>
      <c r="B622" s="1" t="s">
        <v>1368</v>
      </c>
      <c r="C622" s="9" t="s">
        <v>1369</v>
      </c>
      <c r="D622" s="1" t="s">
        <v>95</v>
      </c>
      <c r="E622" s="1" t="s">
        <v>128</v>
      </c>
      <c r="F622" s="10" t="s">
        <v>355</v>
      </c>
      <c r="G622" s="1">
        <v>0.04</v>
      </c>
      <c r="H622" s="1">
        <v>0.05</v>
      </c>
      <c r="I622" s="8">
        <v>44679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0</v>
      </c>
      <c r="AJ622" s="2">
        <v>0</v>
      </c>
      <c r="AK622" s="2">
        <v>0</v>
      </c>
      <c r="AL622" s="2">
        <v>0</v>
      </c>
      <c r="AM622" s="5">
        <v>0</v>
      </c>
      <c r="AN622" s="12">
        <v>0</v>
      </c>
      <c r="AO622" s="2">
        <v>0</v>
      </c>
      <c r="AP622" s="2">
        <v>0</v>
      </c>
      <c r="AQ622" s="2">
        <v>0</v>
      </c>
      <c r="AR622" s="5">
        <v>0</v>
      </c>
      <c r="AS622" s="2">
        <v>0</v>
      </c>
      <c r="AT622" s="12">
        <v>0</v>
      </c>
      <c r="AU622" s="2">
        <v>0</v>
      </c>
      <c r="AV622" s="5">
        <v>0</v>
      </c>
      <c r="AX622" s="2">
        <v>0</v>
      </c>
      <c r="AY622" s="2">
        <v>0</v>
      </c>
      <c r="AZ622" s="2">
        <v>0</v>
      </c>
      <c r="BA622" s="2">
        <v>0</v>
      </c>
      <c r="BB622" s="5">
        <v>0</v>
      </c>
      <c r="BC622" s="12">
        <v>0</v>
      </c>
      <c r="BD622" s="2">
        <v>0</v>
      </c>
      <c r="BE622" s="2">
        <v>0</v>
      </c>
      <c r="BF622" s="2">
        <v>0</v>
      </c>
      <c r="BG622" s="5">
        <v>0</v>
      </c>
      <c r="BH622" s="2">
        <v>0</v>
      </c>
      <c r="BI622" s="12">
        <v>0</v>
      </c>
      <c r="BJ622" s="2">
        <v>0</v>
      </c>
      <c r="BK622" s="5">
        <v>0</v>
      </c>
      <c r="BL622" s="1" t="s">
        <v>130</v>
      </c>
    </row>
    <row r="623" spans="1:64" x14ac:dyDescent="0.3">
      <c r="A623" t="s">
        <v>1361</v>
      </c>
      <c r="B623" s="1" t="s">
        <v>1370</v>
      </c>
      <c r="C623" s="9" t="s">
        <v>1371</v>
      </c>
      <c r="D623" s="1" t="s">
        <v>95</v>
      </c>
      <c r="E623" s="1" t="s">
        <v>128</v>
      </c>
      <c r="F623" s="10" t="s">
        <v>355</v>
      </c>
      <c r="G623" s="1">
        <v>3.5000000000000003E-2</v>
      </c>
      <c r="H623" s="1">
        <v>0.05</v>
      </c>
      <c r="I623" s="8">
        <v>45725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0</v>
      </c>
      <c r="U623" s="6">
        <v>0</v>
      </c>
      <c r="V623" s="6">
        <v>0</v>
      </c>
      <c r="W623" s="6">
        <v>0</v>
      </c>
      <c r="AI623" s="2">
        <v>403183</v>
      </c>
      <c r="AJ623" s="2">
        <v>46305</v>
      </c>
      <c r="AK623" s="2">
        <v>17999.240000000002</v>
      </c>
      <c r="AL623" s="2">
        <v>2067.19</v>
      </c>
      <c r="AM623" s="5">
        <v>4013.29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26969.29</v>
      </c>
      <c r="AT623" s="12">
        <v>24079.72</v>
      </c>
      <c r="AU623" s="2">
        <v>0</v>
      </c>
      <c r="AV623" s="5">
        <v>2247.44</v>
      </c>
      <c r="AX623" s="2">
        <v>403183</v>
      </c>
      <c r="AY623" s="2">
        <v>46305</v>
      </c>
      <c r="AZ623" s="2">
        <v>17999.240000000002</v>
      </c>
      <c r="BA623" s="2">
        <v>2067.19</v>
      </c>
      <c r="BB623" s="5">
        <v>4013.29</v>
      </c>
      <c r="BC623" s="12">
        <v>0</v>
      </c>
      <c r="BD623" s="2">
        <v>0</v>
      </c>
      <c r="BE623" s="2">
        <v>0</v>
      </c>
      <c r="BF623" s="2">
        <v>0</v>
      </c>
      <c r="BG623" s="5">
        <v>0</v>
      </c>
      <c r="BH623" s="2">
        <v>26969.29</v>
      </c>
      <c r="BI623" s="12">
        <v>24079.72</v>
      </c>
      <c r="BJ623" s="2">
        <v>0</v>
      </c>
      <c r="BK623" s="5">
        <v>2247.44</v>
      </c>
      <c r="BL623" s="1" t="s">
        <v>130</v>
      </c>
    </row>
    <row r="624" spans="1:64" x14ac:dyDescent="0.3">
      <c r="A624" t="s">
        <v>1361</v>
      </c>
      <c r="B624" s="1" t="s">
        <v>1372</v>
      </c>
      <c r="C624" s="9" t="s">
        <v>1373</v>
      </c>
      <c r="D624" s="1" t="s">
        <v>95</v>
      </c>
      <c r="E624" s="1" t="s">
        <v>128</v>
      </c>
      <c r="F624" s="10" t="s">
        <v>355</v>
      </c>
      <c r="G624" s="1">
        <v>3.5000000000000003E-2</v>
      </c>
      <c r="H624" s="1">
        <v>0.05</v>
      </c>
      <c r="I624" s="8">
        <v>45725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  <c r="T624" s="11">
        <v>0</v>
      </c>
      <c r="U624" s="6">
        <v>0</v>
      </c>
      <c r="V624" s="6">
        <v>0</v>
      </c>
      <c r="W624" s="6">
        <v>0</v>
      </c>
      <c r="AI624" s="2">
        <v>311569</v>
      </c>
      <c r="AJ624" s="2">
        <v>42855</v>
      </c>
      <c r="AK624" s="2">
        <v>13909.33</v>
      </c>
      <c r="AL624" s="2">
        <v>1913.17</v>
      </c>
      <c r="AM624" s="5">
        <v>3164.5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21265.439999999999</v>
      </c>
      <c r="AT624" s="12">
        <v>18987</v>
      </c>
      <c r="AU624" s="2">
        <v>0</v>
      </c>
      <c r="AV624" s="5">
        <v>1772.12</v>
      </c>
      <c r="AX624" s="2">
        <v>311569</v>
      </c>
      <c r="AY624" s="2">
        <v>42855</v>
      </c>
      <c r="AZ624" s="2">
        <v>13909.33</v>
      </c>
      <c r="BA624" s="2">
        <v>1913.17</v>
      </c>
      <c r="BB624" s="5">
        <v>3164.5</v>
      </c>
      <c r="BC624" s="12">
        <v>0</v>
      </c>
      <c r="BD624" s="2">
        <v>0</v>
      </c>
      <c r="BE624" s="2">
        <v>0</v>
      </c>
      <c r="BF624" s="2">
        <v>0</v>
      </c>
      <c r="BG624" s="5">
        <v>0</v>
      </c>
      <c r="BH624" s="2">
        <v>21265.439999999999</v>
      </c>
      <c r="BI624" s="12">
        <v>18987</v>
      </c>
      <c r="BJ624" s="2">
        <v>0</v>
      </c>
      <c r="BK624" s="5">
        <v>1772.12</v>
      </c>
      <c r="BL624" s="1" t="s">
        <v>130</v>
      </c>
    </row>
    <row r="625" spans="1:64" x14ac:dyDescent="0.3">
      <c r="A625" t="s">
        <v>1361</v>
      </c>
      <c r="B625" s="1" t="s">
        <v>1361</v>
      </c>
      <c r="C625" s="9" t="s">
        <v>1374</v>
      </c>
      <c r="D625" s="1" t="s">
        <v>95</v>
      </c>
      <c r="E625" s="1" t="s">
        <v>128</v>
      </c>
      <c r="F625" s="10" t="s">
        <v>355</v>
      </c>
      <c r="G625" s="1">
        <v>0</v>
      </c>
      <c r="H625" s="1">
        <v>0.05</v>
      </c>
      <c r="I625" s="8">
        <v>45272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0</v>
      </c>
      <c r="U625" s="6">
        <v>0</v>
      </c>
      <c r="V625" s="6">
        <v>0</v>
      </c>
      <c r="W625" s="6">
        <v>0</v>
      </c>
      <c r="AI625" s="2">
        <v>615001</v>
      </c>
      <c r="AJ625" s="2">
        <v>67030</v>
      </c>
      <c r="AK625" s="2">
        <v>27455.4</v>
      </c>
      <c r="AL625" s="2">
        <v>2992.41</v>
      </c>
      <c r="AM625" s="5">
        <v>6089.56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40921.85</v>
      </c>
      <c r="AT625" s="12">
        <v>36537.370000000003</v>
      </c>
      <c r="AU625" s="2">
        <v>0</v>
      </c>
      <c r="AV625" s="5">
        <v>3410.16</v>
      </c>
      <c r="AX625" s="2">
        <v>615001</v>
      </c>
      <c r="AY625" s="2">
        <v>67030</v>
      </c>
      <c r="AZ625" s="2">
        <v>27455.4</v>
      </c>
      <c r="BA625" s="2">
        <v>2992.41</v>
      </c>
      <c r="BB625" s="5">
        <v>6089.56</v>
      </c>
      <c r="BC625" s="12">
        <v>0</v>
      </c>
      <c r="BD625" s="2">
        <v>0</v>
      </c>
      <c r="BE625" s="2">
        <v>0</v>
      </c>
      <c r="BF625" s="2">
        <v>0</v>
      </c>
      <c r="BG625" s="5">
        <v>0</v>
      </c>
      <c r="BH625" s="2">
        <v>40921.85</v>
      </c>
      <c r="BI625" s="12">
        <v>36537.370000000003</v>
      </c>
      <c r="BJ625" s="2">
        <v>0</v>
      </c>
      <c r="BK625" s="5">
        <v>3410.16</v>
      </c>
      <c r="BL625" s="1" t="s">
        <v>130</v>
      </c>
    </row>
    <row r="626" spans="1:64" x14ac:dyDescent="0.3">
      <c r="A626" t="s">
        <v>1385</v>
      </c>
      <c r="B626" s="1" t="s">
        <v>1385</v>
      </c>
      <c r="C626" s="9" t="s">
        <v>1386</v>
      </c>
      <c r="D626" s="1" t="s">
        <v>95</v>
      </c>
      <c r="E626" s="1" t="s">
        <v>88</v>
      </c>
      <c r="F626" s="10" t="s">
        <v>534</v>
      </c>
      <c r="G626" s="1">
        <v>0</v>
      </c>
      <c r="H626" s="1">
        <v>0.05</v>
      </c>
      <c r="I626" s="8">
        <v>45292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0</v>
      </c>
      <c r="U626" s="6">
        <v>0</v>
      </c>
      <c r="V626" s="6">
        <v>0</v>
      </c>
      <c r="W626" s="6">
        <v>0</v>
      </c>
      <c r="AI626" s="2">
        <v>444105</v>
      </c>
      <c r="AJ626" s="2">
        <v>214137</v>
      </c>
      <c r="AK626" s="2">
        <v>19826.12</v>
      </c>
      <c r="AL626" s="2">
        <v>9559.69</v>
      </c>
      <c r="AM626" s="5">
        <v>5877.16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39494.53</v>
      </c>
      <c r="AT626" s="12">
        <v>35262.97</v>
      </c>
      <c r="AU626" s="2">
        <v>0</v>
      </c>
      <c r="AV626" s="5">
        <v>3291.21</v>
      </c>
      <c r="AX626" s="2">
        <v>444105</v>
      </c>
      <c r="AY626" s="2">
        <v>214137</v>
      </c>
      <c r="AZ626" s="2">
        <v>19826.12</v>
      </c>
      <c r="BA626" s="2">
        <v>9559.69</v>
      </c>
      <c r="BB626" s="5">
        <v>5877.16</v>
      </c>
      <c r="BC626" s="12">
        <v>0</v>
      </c>
      <c r="BD626" s="2">
        <v>0</v>
      </c>
      <c r="BE626" s="2">
        <v>0</v>
      </c>
      <c r="BF626" s="2">
        <v>0</v>
      </c>
      <c r="BG626" s="5">
        <v>0</v>
      </c>
      <c r="BH626" s="2">
        <v>39494.53</v>
      </c>
      <c r="BI626" s="12">
        <v>35262.97</v>
      </c>
      <c r="BJ626" s="2">
        <v>0</v>
      </c>
      <c r="BK626" s="5">
        <v>3291.21</v>
      </c>
      <c r="BL626" s="1" t="s">
        <v>90</v>
      </c>
    </row>
    <row r="627" spans="1:64" x14ac:dyDescent="0.3">
      <c r="A627" t="s">
        <v>1385</v>
      </c>
      <c r="B627" s="1" t="s">
        <v>1387</v>
      </c>
      <c r="C627" s="9" t="s">
        <v>1388</v>
      </c>
      <c r="D627" s="1" t="s">
        <v>95</v>
      </c>
      <c r="E627" s="1" t="s">
        <v>88</v>
      </c>
      <c r="F627" s="10" t="s">
        <v>534</v>
      </c>
      <c r="G627" s="1">
        <v>0</v>
      </c>
      <c r="H627" s="1">
        <v>0.05</v>
      </c>
      <c r="I627" s="8">
        <v>45292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267606</v>
      </c>
      <c r="AJ627" s="2">
        <v>110798</v>
      </c>
      <c r="AK627" s="2">
        <v>11946.7</v>
      </c>
      <c r="AL627" s="2">
        <v>4946.34</v>
      </c>
      <c r="AM627" s="5">
        <v>3378.61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22704.25</v>
      </c>
      <c r="AT627" s="12">
        <v>20271.650000000001</v>
      </c>
      <c r="AU627" s="2">
        <v>0</v>
      </c>
      <c r="AV627" s="5">
        <v>1892.02</v>
      </c>
      <c r="AX627" s="2">
        <v>267606</v>
      </c>
      <c r="AY627" s="2">
        <v>110798</v>
      </c>
      <c r="AZ627" s="2">
        <v>11946.7</v>
      </c>
      <c r="BA627" s="2">
        <v>4946.34</v>
      </c>
      <c r="BB627" s="5">
        <v>3378.61</v>
      </c>
      <c r="BC627" s="12">
        <v>0</v>
      </c>
      <c r="BD627" s="2">
        <v>0</v>
      </c>
      <c r="BE627" s="2">
        <v>0</v>
      </c>
      <c r="BF627" s="2">
        <v>0</v>
      </c>
      <c r="BG627" s="5">
        <v>0</v>
      </c>
      <c r="BH627" s="2">
        <v>22704.25</v>
      </c>
      <c r="BI627" s="12">
        <v>20271.650000000001</v>
      </c>
      <c r="BJ627" s="2">
        <v>0</v>
      </c>
      <c r="BK627" s="5">
        <v>1892.02</v>
      </c>
      <c r="BL627" s="1" t="s">
        <v>90</v>
      </c>
    </row>
    <row r="628" spans="1:64" x14ac:dyDescent="0.3">
      <c r="A628" t="s">
        <v>1389</v>
      </c>
      <c r="B628" s="1" t="s">
        <v>1389</v>
      </c>
      <c r="C628" s="9" t="s">
        <v>1390</v>
      </c>
      <c r="D628" s="1" t="s">
        <v>95</v>
      </c>
      <c r="E628" s="1" t="s">
        <v>128</v>
      </c>
      <c r="F628" s="10" t="s">
        <v>325</v>
      </c>
      <c r="G628" s="1">
        <v>0</v>
      </c>
      <c r="H628" s="1">
        <v>0.05</v>
      </c>
      <c r="I628" s="8">
        <v>45382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0</v>
      </c>
      <c r="U628" s="6">
        <v>0</v>
      </c>
      <c r="V628" s="6">
        <v>0</v>
      </c>
      <c r="W628" s="6">
        <v>0</v>
      </c>
      <c r="AI628" s="2">
        <v>853759.25</v>
      </c>
      <c r="AJ628" s="2">
        <v>62945</v>
      </c>
      <c r="AK628" s="2">
        <v>38114.25</v>
      </c>
      <c r="AL628" s="2">
        <v>2810.04</v>
      </c>
      <c r="AM628" s="5">
        <v>8184.86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55002.25</v>
      </c>
      <c r="AT628" s="12">
        <v>49109.15</v>
      </c>
      <c r="AU628" s="2">
        <v>0</v>
      </c>
      <c r="AV628" s="5">
        <v>4583.5200000000004</v>
      </c>
      <c r="AX628" s="2">
        <v>853759.25</v>
      </c>
      <c r="AY628" s="2">
        <v>62945</v>
      </c>
      <c r="AZ628" s="2">
        <v>38114.25</v>
      </c>
      <c r="BA628" s="2">
        <v>2810.04</v>
      </c>
      <c r="BB628" s="5">
        <v>8184.86</v>
      </c>
      <c r="BC628" s="12">
        <v>0</v>
      </c>
      <c r="BD628" s="2">
        <v>0</v>
      </c>
      <c r="BE628" s="2">
        <v>0</v>
      </c>
      <c r="BF628" s="2">
        <v>0</v>
      </c>
      <c r="BG628" s="5">
        <v>0</v>
      </c>
      <c r="BH628" s="2">
        <v>55002.25</v>
      </c>
      <c r="BI628" s="12">
        <v>49109.15</v>
      </c>
      <c r="BJ628" s="2">
        <v>0</v>
      </c>
      <c r="BK628" s="5">
        <v>4583.5200000000004</v>
      </c>
      <c r="BL628" s="1" t="s">
        <v>326</v>
      </c>
    </row>
    <row r="629" spans="1:64" x14ac:dyDescent="0.3">
      <c r="A629" t="s">
        <v>1391</v>
      </c>
      <c r="B629" s="1" t="s">
        <v>1391</v>
      </c>
      <c r="C629" s="9" t="s">
        <v>1392</v>
      </c>
      <c r="D629" s="1" t="s">
        <v>95</v>
      </c>
      <c r="E629" s="1" t="s">
        <v>88</v>
      </c>
      <c r="F629" s="10" t="s">
        <v>218</v>
      </c>
      <c r="G629" s="1">
        <v>0</v>
      </c>
      <c r="H629" s="1">
        <v>0.05</v>
      </c>
      <c r="I629" s="8">
        <v>45464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0</v>
      </c>
      <c r="U629" s="6">
        <v>0</v>
      </c>
      <c r="V629" s="6">
        <v>0</v>
      </c>
      <c r="W629" s="6">
        <v>0</v>
      </c>
      <c r="AI629" s="2">
        <v>603544</v>
      </c>
      <c r="AJ629" s="2">
        <v>81231</v>
      </c>
      <c r="AK629" s="2">
        <v>26943.93</v>
      </c>
      <c r="AL629" s="2">
        <v>3626.38</v>
      </c>
      <c r="AM629" s="5">
        <v>6114.06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41086.49</v>
      </c>
      <c r="AT629" s="12">
        <v>36684.370000000003</v>
      </c>
      <c r="AU629" s="2">
        <v>0</v>
      </c>
      <c r="AV629" s="5">
        <v>3423.88</v>
      </c>
      <c r="AX629" s="2">
        <v>603544</v>
      </c>
      <c r="AY629" s="2">
        <v>81231</v>
      </c>
      <c r="AZ629" s="2">
        <v>26943.93</v>
      </c>
      <c r="BA629" s="2">
        <v>3626.38</v>
      </c>
      <c r="BB629" s="5">
        <v>6114.06</v>
      </c>
      <c r="BC629" s="12">
        <v>0</v>
      </c>
      <c r="BD629" s="2">
        <v>0</v>
      </c>
      <c r="BE629" s="2">
        <v>0</v>
      </c>
      <c r="BF629" s="2">
        <v>0</v>
      </c>
      <c r="BG629" s="5">
        <v>0</v>
      </c>
      <c r="BH629" s="2">
        <v>41086.49</v>
      </c>
      <c r="BI629" s="12">
        <v>36684.370000000003</v>
      </c>
      <c r="BJ629" s="2">
        <v>0</v>
      </c>
      <c r="BK629" s="5">
        <v>3423.88</v>
      </c>
      <c r="BL629" s="1" t="s">
        <v>90</v>
      </c>
    </row>
    <row r="630" spans="1:64" x14ac:dyDescent="0.3">
      <c r="A630" t="s">
        <v>1393</v>
      </c>
      <c r="B630" s="1" t="s">
        <v>1393</v>
      </c>
      <c r="C630" s="9" t="s">
        <v>1394</v>
      </c>
      <c r="D630" s="1" t="s">
        <v>95</v>
      </c>
      <c r="E630" s="1" t="s">
        <v>135</v>
      </c>
      <c r="F630" s="10" t="s">
        <v>136</v>
      </c>
      <c r="G630" s="1">
        <v>0</v>
      </c>
      <c r="H630" s="1">
        <v>0.05</v>
      </c>
      <c r="I630" s="8">
        <v>45397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0</v>
      </c>
      <c r="U630" s="6">
        <v>0</v>
      </c>
      <c r="V630" s="6">
        <v>0</v>
      </c>
      <c r="W630" s="6">
        <v>0</v>
      </c>
      <c r="AI630" s="2">
        <v>367462</v>
      </c>
      <c r="AJ630" s="2">
        <v>32030</v>
      </c>
      <c r="AK630" s="2">
        <v>16404.55</v>
      </c>
      <c r="AL630" s="2">
        <v>1429.91</v>
      </c>
      <c r="AM630" s="5">
        <v>3566.89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23969.51</v>
      </c>
      <c r="AT630" s="12">
        <v>21401.35</v>
      </c>
      <c r="AU630" s="2">
        <v>0</v>
      </c>
      <c r="AV630" s="5">
        <v>1997.46</v>
      </c>
      <c r="AX630" s="2">
        <v>367462</v>
      </c>
      <c r="AY630" s="2">
        <v>32030</v>
      </c>
      <c r="AZ630" s="2">
        <v>16404.55</v>
      </c>
      <c r="BA630" s="2">
        <v>1429.91</v>
      </c>
      <c r="BB630" s="5">
        <v>3566.89</v>
      </c>
      <c r="BC630" s="12">
        <v>0</v>
      </c>
      <c r="BD630" s="2">
        <v>0</v>
      </c>
      <c r="BE630" s="2">
        <v>0</v>
      </c>
      <c r="BF630" s="2">
        <v>0</v>
      </c>
      <c r="BG630" s="5">
        <v>0</v>
      </c>
      <c r="BH630" s="2">
        <v>23969.51</v>
      </c>
      <c r="BI630" s="12">
        <v>21401.35</v>
      </c>
      <c r="BJ630" s="2">
        <v>0</v>
      </c>
      <c r="BK630" s="5">
        <v>1997.46</v>
      </c>
      <c r="BL630" s="1" t="s">
        <v>137</v>
      </c>
    </row>
    <row r="631" spans="1:64" x14ac:dyDescent="0.3">
      <c r="A631" t="s">
        <v>1395</v>
      </c>
      <c r="B631" s="1" t="s">
        <v>1395</v>
      </c>
      <c r="C631" s="9" t="s">
        <v>1396</v>
      </c>
      <c r="D631" s="1" t="s">
        <v>95</v>
      </c>
      <c r="E631" s="1" t="s">
        <v>128</v>
      </c>
      <c r="F631" s="10" t="s">
        <v>309</v>
      </c>
      <c r="G631" s="1">
        <v>0</v>
      </c>
      <c r="H631" s="1">
        <v>0.05</v>
      </c>
      <c r="I631" s="8">
        <v>45367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0</v>
      </c>
      <c r="U631" s="6">
        <v>0</v>
      </c>
      <c r="V631" s="6">
        <v>0</v>
      </c>
      <c r="W631" s="6">
        <v>0</v>
      </c>
      <c r="AI631" s="2">
        <v>459319</v>
      </c>
      <c r="AJ631" s="2">
        <v>15377</v>
      </c>
      <c r="AK631" s="2">
        <v>20505.310000000001</v>
      </c>
      <c r="AL631" s="2">
        <v>686.47</v>
      </c>
      <c r="AM631" s="5">
        <v>4238.3599999999997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28481.759999999998</v>
      </c>
      <c r="AT631" s="12">
        <v>25430.140000000003</v>
      </c>
      <c r="AU631" s="2">
        <v>0</v>
      </c>
      <c r="AV631" s="5">
        <v>2373.48</v>
      </c>
      <c r="AX631" s="2">
        <v>459319</v>
      </c>
      <c r="AY631" s="2">
        <v>15377</v>
      </c>
      <c r="AZ631" s="2">
        <v>20505.310000000001</v>
      </c>
      <c r="BA631" s="2">
        <v>686.47</v>
      </c>
      <c r="BB631" s="5">
        <v>4238.3599999999997</v>
      </c>
      <c r="BC631" s="12">
        <v>0</v>
      </c>
      <c r="BD631" s="2">
        <v>0</v>
      </c>
      <c r="BE631" s="2">
        <v>0</v>
      </c>
      <c r="BF631" s="2">
        <v>0</v>
      </c>
      <c r="BG631" s="5">
        <v>0</v>
      </c>
      <c r="BH631" s="2">
        <v>28481.759999999998</v>
      </c>
      <c r="BI631" s="12">
        <v>25430.140000000003</v>
      </c>
      <c r="BJ631" s="2">
        <v>0</v>
      </c>
      <c r="BK631" s="5">
        <v>2373.48</v>
      </c>
      <c r="BL631" s="1" t="s">
        <v>130</v>
      </c>
    </row>
    <row r="632" spans="1:64" x14ac:dyDescent="0.3">
      <c r="A632" t="s">
        <v>1395</v>
      </c>
      <c r="B632" s="1" t="s">
        <v>1397</v>
      </c>
      <c r="C632" s="9" t="s">
        <v>1398</v>
      </c>
      <c r="D632" s="1" t="s">
        <v>95</v>
      </c>
      <c r="E632" s="1" t="s">
        <v>128</v>
      </c>
      <c r="F632" s="10" t="s">
        <v>309</v>
      </c>
      <c r="G632" s="1">
        <v>0</v>
      </c>
      <c r="H632" s="1">
        <v>0.05</v>
      </c>
      <c r="I632" s="8">
        <v>45367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0</v>
      </c>
      <c r="U632" s="6">
        <v>0</v>
      </c>
      <c r="V632" s="6">
        <v>0</v>
      </c>
      <c r="W632" s="6">
        <v>0</v>
      </c>
      <c r="AI632" s="2">
        <v>333694</v>
      </c>
      <c r="AJ632" s="2">
        <v>16104</v>
      </c>
      <c r="AK632" s="2">
        <v>14897.05</v>
      </c>
      <c r="AL632" s="2">
        <v>718.93</v>
      </c>
      <c r="AM632" s="5">
        <v>3123.2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20987.88</v>
      </c>
      <c r="AT632" s="12">
        <v>18739.18</v>
      </c>
      <c r="AU632" s="2">
        <v>0</v>
      </c>
      <c r="AV632" s="5">
        <v>1748.99</v>
      </c>
      <c r="AX632" s="2">
        <v>333694</v>
      </c>
      <c r="AY632" s="2">
        <v>16104</v>
      </c>
      <c r="AZ632" s="2">
        <v>14897.05</v>
      </c>
      <c r="BA632" s="2">
        <v>718.93</v>
      </c>
      <c r="BB632" s="5">
        <v>3123.2</v>
      </c>
      <c r="BC632" s="12">
        <v>0</v>
      </c>
      <c r="BD632" s="2">
        <v>0</v>
      </c>
      <c r="BE632" s="2">
        <v>0</v>
      </c>
      <c r="BF632" s="2">
        <v>0</v>
      </c>
      <c r="BG632" s="5">
        <v>0</v>
      </c>
      <c r="BH632" s="2">
        <v>20987.88</v>
      </c>
      <c r="BI632" s="12">
        <v>18739.18</v>
      </c>
      <c r="BJ632" s="2">
        <v>0</v>
      </c>
      <c r="BK632" s="5">
        <v>1748.99</v>
      </c>
      <c r="BL632" s="1" t="s">
        <v>130</v>
      </c>
    </row>
    <row r="633" spans="1:64" x14ac:dyDescent="0.3">
      <c r="A633" t="s">
        <v>1395</v>
      </c>
      <c r="B633" s="1" t="s">
        <v>1399</v>
      </c>
      <c r="C633" s="9" t="s">
        <v>1400</v>
      </c>
      <c r="D633" s="1" t="s">
        <v>95</v>
      </c>
      <c r="E633" s="1" t="s">
        <v>128</v>
      </c>
      <c r="F633" s="10" t="s">
        <v>309</v>
      </c>
      <c r="G633" s="1">
        <v>0</v>
      </c>
      <c r="H633" s="1">
        <v>0.05</v>
      </c>
      <c r="I633" s="8">
        <v>45367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0</v>
      </c>
      <c r="U633" s="6">
        <v>0</v>
      </c>
      <c r="V633" s="6">
        <v>0</v>
      </c>
      <c r="W633" s="6">
        <v>0</v>
      </c>
      <c r="AI633" s="2">
        <v>274130</v>
      </c>
      <c r="AJ633" s="2">
        <v>9288</v>
      </c>
      <c r="AK633" s="2">
        <v>12237.95</v>
      </c>
      <c r="AL633" s="2">
        <v>414.64</v>
      </c>
      <c r="AM633" s="5">
        <v>2530.52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17005.080000000002</v>
      </c>
      <c r="AT633" s="12">
        <v>15183.11</v>
      </c>
      <c r="AU633" s="2">
        <v>0</v>
      </c>
      <c r="AV633" s="5">
        <v>1417.09</v>
      </c>
      <c r="AX633" s="2">
        <v>274130</v>
      </c>
      <c r="AY633" s="2">
        <v>9288</v>
      </c>
      <c r="AZ633" s="2">
        <v>12237.95</v>
      </c>
      <c r="BA633" s="2">
        <v>414.64</v>
      </c>
      <c r="BB633" s="5">
        <v>2530.52</v>
      </c>
      <c r="BC633" s="12">
        <v>0</v>
      </c>
      <c r="BD633" s="2">
        <v>0</v>
      </c>
      <c r="BE633" s="2">
        <v>0</v>
      </c>
      <c r="BF633" s="2">
        <v>0</v>
      </c>
      <c r="BG633" s="5">
        <v>0</v>
      </c>
      <c r="BH633" s="2">
        <v>17005.080000000002</v>
      </c>
      <c r="BI633" s="12">
        <v>15183.11</v>
      </c>
      <c r="BJ633" s="2">
        <v>0</v>
      </c>
      <c r="BK633" s="5">
        <v>1417.09</v>
      </c>
      <c r="BL633" s="1" t="s">
        <v>130</v>
      </c>
    </row>
    <row r="634" spans="1:64" x14ac:dyDescent="0.3">
      <c r="A634" t="s">
        <v>1395</v>
      </c>
      <c r="B634" s="1" t="s">
        <v>1401</v>
      </c>
      <c r="C634" s="9" t="s">
        <v>1402</v>
      </c>
      <c r="D634" s="1" t="s">
        <v>95</v>
      </c>
      <c r="E634" s="1" t="s">
        <v>128</v>
      </c>
      <c r="F634" s="10" t="s">
        <v>309</v>
      </c>
      <c r="G634" s="1">
        <v>0</v>
      </c>
      <c r="H634" s="1">
        <v>0.05</v>
      </c>
      <c r="I634" s="8">
        <v>45481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0</v>
      </c>
      <c r="U634" s="6">
        <v>0</v>
      </c>
      <c r="V634" s="6">
        <v>0</v>
      </c>
      <c r="W634" s="6">
        <v>0</v>
      </c>
      <c r="AI634" s="2">
        <v>185687</v>
      </c>
      <c r="AJ634" s="2">
        <v>1150</v>
      </c>
      <c r="AK634" s="2">
        <v>8289.6</v>
      </c>
      <c r="AL634" s="2">
        <v>51.34</v>
      </c>
      <c r="AM634" s="5">
        <v>1668.19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11210.23</v>
      </c>
      <c r="AT634" s="12">
        <v>10009.130000000001</v>
      </c>
      <c r="AU634" s="2">
        <v>0</v>
      </c>
      <c r="AV634" s="5">
        <v>934.18</v>
      </c>
      <c r="AX634" s="2">
        <v>185687</v>
      </c>
      <c r="AY634" s="2">
        <v>1150</v>
      </c>
      <c r="AZ634" s="2">
        <v>8289.6</v>
      </c>
      <c r="BA634" s="2">
        <v>51.34</v>
      </c>
      <c r="BB634" s="5">
        <v>1668.19</v>
      </c>
      <c r="BC634" s="12">
        <v>0</v>
      </c>
      <c r="BD634" s="2">
        <v>0</v>
      </c>
      <c r="BE634" s="2">
        <v>0</v>
      </c>
      <c r="BF634" s="2">
        <v>0</v>
      </c>
      <c r="BG634" s="5">
        <v>0</v>
      </c>
      <c r="BH634" s="2">
        <v>11210.23</v>
      </c>
      <c r="BI634" s="12">
        <v>10009.130000000001</v>
      </c>
      <c r="BJ634" s="2">
        <v>0</v>
      </c>
      <c r="BK634" s="5">
        <v>934.18</v>
      </c>
      <c r="BL634" s="1" t="s">
        <v>130</v>
      </c>
    </row>
    <row r="635" spans="1:64" x14ac:dyDescent="0.3">
      <c r="A635" t="s">
        <v>1405</v>
      </c>
      <c r="B635" s="1" t="s">
        <v>1405</v>
      </c>
      <c r="C635" s="9" t="s">
        <v>1406</v>
      </c>
      <c r="D635" s="1" t="s">
        <v>95</v>
      </c>
      <c r="E635" s="1" t="s">
        <v>135</v>
      </c>
      <c r="F635" s="10" t="s">
        <v>435</v>
      </c>
      <c r="G635" s="1">
        <v>0</v>
      </c>
      <c r="H635" s="1">
        <v>0.05</v>
      </c>
      <c r="I635" s="8">
        <v>45439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0</v>
      </c>
      <c r="U635" s="6">
        <v>0</v>
      </c>
      <c r="V635" s="6">
        <v>0</v>
      </c>
      <c r="W635" s="6">
        <v>0</v>
      </c>
      <c r="AI635" s="2">
        <v>1111259</v>
      </c>
      <c r="AJ635" s="2">
        <v>135909</v>
      </c>
      <c r="AK635" s="2">
        <v>49609.78</v>
      </c>
      <c r="AL635" s="2">
        <v>6067.37</v>
      </c>
      <c r="AM635" s="5">
        <v>11135.43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74830.09</v>
      </c>
      <c r="AT635" s="12">
        <v>66812.58</v>
      </c>
      <c r="AU635" s="2">
        <v>0</v>
      </c>
      <c r="AV635" s="5">
        <v>6235.84</v>
      </c>
      <c r="AX635" s="2">
        <v>1111259</v>
      </c>
      <c r="AY635" s="2">
        <v>135909</v>
      </c>
      <c r="AZ635" s="2">
        <v>49609.78</v>
      </c>
      <c r="BA635" s="2">
        <v>6067.37</v>
      </c>
      <c r="BB635" s="5">
        <v>11135.43</v>
      </c>
      <c r="BC635" s="12">
        <v>0</v>
      </c>
      <c r="BD635" s="2">
        <v>0</v>
      </c>
      <c r="BE635" s="2">
        <v>0</v>
      </c>
      <c r="BF635" s="2">
        <v>0</v>
      </c>
      <c r="BG635" s="5">
        <v>0</v>
      </c>
      <c r="BH635" s="2">
        <v>74830.09</v>
      </c>
      <c r="BI635" s="12">
        <v>66812.58</v>
      </c>
      <c r="BJ635" s="2">
        <v>0</v>
      </c>
      <c r="BK635" s="5">
        <v>6235.84</v>
      </c>
      <c r="BL635" s="1" t="s">
        <v>302</v>
      </c>
    </row>
    <row r="636" spans="1:64" x14ac:dyDescent="0.3">
      <c r="A636" t="s">
        <v>1405</v>
      </c>
      <c r="B636" s="1" t="s">
        <v>1407</v>
      </c>
      <c r="C636" s="9" t="s">
        <v>1408</v>
      </c>
      <c r="D636" s="1" t="s">
        <v>95</v>
      </c>
      <c r="E636" s="1" t="s">
        <v>135</v>
      </c>
      <c r="F636" s="10" t="s">
        <v>435</v>
      </c>
      <c r="G636" s="1">
        <v>0</v>
      </c>
      <c r="H636" s="1">
        <v>0.05</v>
      </c>
      <c r="I636" s="8">
        <v>45502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153922</v>
      </c>
      <c r="AJ636" s="2">
        <v>28290</v>
      </c>
      <c r="AK636" s="2">
        <v>6871.52</v>
      </c>
      <c r="AL636" s="2">
        <v>1262.95</v>
      </c>
      <c r="AM636" s="5">
        <v>1626.89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10932.72</v>
      </c>
      <c r="AT636" s="12">
        <v>9761.36</v>
      </c>
      <c r="AU636" s="2">
        <v>0</v>
      </c>
      <c r="AV636" s="5">
        <v>911.06</v>
      </c>
      <c r="AX636" s="2">
        <v>153922</v>
      </c>
      <c r="AY636" s="2">
        <v>28290</v>
      </c>
      <c r="AZ636" s="2">
        <v>6871.52</v>
      </c>
      <c r="BA636" s="2">
        <v>1262.95</v>
      </c>
      <c r="BB636" s="5">
        <v>1626.89</v>
      </c>
      <c r="BC636" s="12">
        <v>0</v>
      </c>
      <c r="BD636" s="2">
        <v>0</v>
      </c>
      <c r="BE636" s="2">
        <v>0</v>
      </c>
      <c r="BF636" s="2">
        <v>0</v>
      </c>
      <c r="BG636" s="5">
        <v>0</v>
      </c>
      <c r="BH636" s="2">
        <v>10932.72</v>
      </c>
      <c r="BI636" s="12">
        <v>9761.36</v>
      </c>
      <c r="BJ636" s="2">
        <v>0</v>
      </c>
      <c r="BK636" s="5">
        <v>911.06</v>
      </c>
      <c r="BL636" s="1" t="s">
        <v>302</v>
      </c>
    </row>
    <row r="637" spans="1:64" x14ac:dyDescent="0.3">
      <c r="A637" t="s">
        <v>1409</v>
      </c>
      <c r="B637" s="1" t="s">
        <v>1409</v>
      </c>
      <c r="C637" s="9" t="s">
        <v>1410</v>
      </c>
      <c r="D637" s="1" t="s">
        <v>95</v>
      </c>
      <c r="E637" s="1" t="s">
        <v>128</v>
      </c>
      <c r="F637" s="10" t="s">
        <v>129</v>
      </c>
      <c r="G637" s="1">
        <v>0</v>
      </c>
      <c r="H637" s="1">
        <v>0.05</v>
      </c>
      <c r="I637" s="8">
        <v>0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0</v>
      </c>
      <c r="AJ637" s="2">
        <v>0</v>
      </c>
      <c r="AK637" s="2">
        <v>0</v>
      </c>
      <c r="AL637" s="2">
        <v>0</v>
      </c>
      <c r="AM637" s="5">
        <v>0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0</v>
      </c>
      <c r="AT637" s="12">
        <v>0</v>
      </c>
      <c r="AU637" s="2">
        <v>0</v>
      </c>
      <c r="AV637" s="5">
        <v>0</v>
      </c>
      <c r="AX637" s="2">
        <v>0</v>
      </c>
      <c r="AY637" s="2">
        <v>0</v>
      </c>
      <c r="AZ637" s="2">
        <v>0</v>
      </c>
      <c r="BA637" s="2">
        <v>0</v>
      </c>
      <c r="BB637" s="5">
        <v>0</v>
      </c>
      <c r="BC637" s="12">
        <v>0</v>
      </c>
      <c r="BD637" s="2">
        <v>0</v>
      </c>
      <c r="BE637" s="2">
        <v>0</v>
      </c>
      <c r="BF637" s="2">
        <v>0</v>
      </c>
      <c r="BG637" s="5">
        <v>0</v>
      </c>
      <c r="BH637" s="2">
        <v>0</v>
      </c>
      <c r="BI637" s="12">
        <v>0</v>
      </c>
      <c r="BJ637" s="2">
        <v>0</v>
      </c>
      <c r="BK637" s="5">
        <v>0</v>
      </c>
      <c r="BL637" s="1" t="s">
        <v>130</v>
      </c>
    </row>
    <row r="638" spans="1:64" x14ac:dyDescent="0.3">
      <c r="A638" t="s">
        <v>1411</v>
      </c>
      <c r="B638" s="1" t="s">
        <v>1411</v>
      </c>
      <c r="C638" s="9" t="s">
        <v>1412</v>
      </c>
      <c r="D638" s="1" t="s">
        <v>95</v>
      </c>
      <c r="E638" s="1" t="s">
        <v>135</v>
      </c>
      <c r="F638" s="10" t="s">
        <v>348</v>
      </c>
      <c r="G638" s="1">
        <v>0</v>
      </c>
      <c r="H638" s="1">
        <v>0.05</v>
      </c>
      <c r="I638" s="8">
        <v>45430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0</v>
      </c>
      <c r="U638" s="6">
        <v>0</v>
      </c>
      <c r="V638" s="6">
        <v>0</v>
      </c>
      <c r="W638" s="6">
        <v>0</v>
      </c>
      <c r="AI638" s="2">
        <v>327228</v>
      </c>
      <c r="AJ638" s="2">
        <v>54284</v>
      </c>
      <c r="AK638" s="2">
        <v>14608.39</v>
      </c>
      <c r="AL638" s="2">
        <v>2423.39</v>
      </c>
      <c r="AM638" s="5">
        <v>3406.36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22890.720000000001</v>
      </c>
      <c r="AT638" s="12">
        <v>20438.14</v>
      </c>
      <c r="AU638" s="2">
        <v>0</v>
      </c>
      <c r="AV638" s="5">
        <v>1907.56</v>
      </c>
      <c r="AX638" s="2">
        <v>327228</v>
      </c>
      <c r="AY638" s="2">
        <v>54284</v>
      </c>
      <c r="AZ638" s="2">
        <v>14608.39</v>
      </c>
      <c r="BA638" s="2">
        <v>2423.39</v>
      </c>
      <c r="BB638" s="5">
        <v>3406.36</v>
      </c>
      <c r="BC638" s="12">
        <v>0</v>
      </c>
      <c r="BD638" s="2">
        <v>0</v>
      </c>
      <c r="BE638" s="2">
        <v>0</v>
      </c>
      <c r="BF638" s="2">
        <v>0</v>
      </c>
      <c r="BG638" s="5">
        <v>0</v>
      </c>
      <c r="BH638" s="2">
        <v>22890.720000000001</v>
      </c>
      <c r="BI638" s="12">
        <v>20438.14</v>
      </c>
      <c r="BJ638" s="2">
        <v>0</v>
      </c>
      <c r="BK638" s="5">
        <v>1907.56</v>
      </c>
      <c r="BL638" s="1" t="s">
        <v>137</v>
      </c>
    </row>
    <row r="639" spans="1:64" x14ac:dyDescent="0.3">
      <c r="A639" t="s">
        <v>1411</v>
      </c>
      <c r="B639" s="1" t="s">
        <v>1413</v>
      </c>
      <c r="C639" s="9" t="s">
        <v>1414</v>
      </c>
      <c r="D639" s="1" t="s">
        <v>95</v>
      </c>
      <c r="E639" s="1" t="s">
        <v>135</v>
      </c>
      <c r="F639" s="10" t="s">
        <v>348</v>
      </c>
      <c r="G639" s="1">
        <v>0</v>
      </c>
      <c r="H639" s="1">
        <v>0.05</v>
      </c>
      <c r="I639" s="8">
        <v>45643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0</v>
      </c>
      <c r="U639" s="6">
        <v>0</v>
      </c>
      <c r="V639" s="6">
        <v>0</v>
      </c>
      <c r="W639" s="6">
        <v>0</v>
      </c>
      <c r="AI639" s="2">
        <v>502844</v>
      </c>
      <c r="AJ639" s="2">
        <v>29542</v>
      </c>
      <c r="AK639" s="2">
        <v>22448.39</v>
      </c>
      <c r="AL639" s="2">
        <v>1318.84</v>
      </c>
      <c r="AM639" s="5">
        <v>4753.45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31943.16</v>
      </c>
      <c r="AT639" s="12">
        <v>28520.68</v>
      </c>
      <c r="AU639" s="2">
        <v>0</v>
      </c>
      <c r="AV639" s="5">
        <v>2661.93</v>
      </c>
      <c r="AX639" s="2">
        <v>502844</v>
      </c>
      <c r="AY639" s="2">
        <v>29542</v>
      </c>
      <c r="AZ639" s="2">
        <v>22448.39</v>
      </c>
      <c r="BA639" s="2">
        <v>1318.84</v>
      </c>
      <c r="BB639" s="5">
        <v>4753.45</v>
      </c>
      <c r="BC639" s="12">
        <v>0</v>
      </c>
      <c r="BD639" s="2">
        <v>0</v>
      </c>
      <c r="BE639" s="2">
        <v>0</v>
      </c>
      <c r="BF639" s="2">
        <v>0</v>
      </c>
      <c r="BG639" s="5">
        <v>0</v>
      </c>
      <c r="BH639" s="2">
        <v>31943.16</v>
      </c>
      <c r="BI639" s="12">
        <v>28520.68</v>
      </c>
      <c r="BJ639" s="2">
        <v>0</v>
      </c>
      <c r="BK639" s="5">
        <v>2661.93</v>
      </c>
      <c r="BL639" s="1" t="s">
        <v>137</v>
      </c>
    </row>
    <row r="640" spans="1:64" x14ac:dyDescent="0.3">
      <c r="A640" t="s">
        <v>1415</v>
      </c>
      <c r="B640" s="1" t="s">
        <v>1415</v>
      </c>
      <c r="C640" s="9" t="s">
        <v>1416</v>
      </c>
      <c r="D640" s="1" t="s">
        <v>95</v>
      </c>
      <c r="E640" s="1" t="s">
        <v>128</v>
      </c>
      <c r="F640" s="10" t="s">
        <v>129</v>
      </c>
      <c r="G640" s="1">
        <v>0</v>
      </c>
      <c r="H640" s="1">
        <v>0.05</v>
      </c>
      <c r="I640" s="8">
        <v>45559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0</v>
      </c>
      <c r="U640" s="6">
        <v>0</v>
      </c>
      <c r="V640" s="6">
        <v>0</v>
      </c>
      <c r="W640" s="6">
        <v>0</v>
      </c>
      <c r="AI640" s="2">
        <v>0</v>
      </c>
      <c r="AJ640" s="2">
        <v>0</v>
      </c>
      <c r="AK640" s="2">
        <v>0</v>
      </c>
      <c r="AL640" s="2">
        <v>0</v>
      </c>
      <c r="AM640" s="5">
        <v>0</v>
      </c>
      <c r="AN640" s="12">
        <v>712953.9</v>
      </c>
      <c r="AO640" s="2">
        <v>33530.1</v>
      </c>
      <c r="AP640" s="2">
        <v>31828.3</v>
      </c>
      <c r="AQ640" s="2">
        <v>1496.87</v>
      </c>
      <c r="AR640" s="5">
        <v>6665.04</v>
      </c>
      <c r="AS640" s="2">
        <v>44789.04</v>
      </c>
      <c r="AT640" s="12">
        <v>39990.21</v>
      </c>
      <c r="AU640" s="2">
        <v>0</v>
      </c>
      <c r="AV640" s="5">
        <v>3732.42</v>
      </c>
      <c r="AX640" s="2">
        <v>0</v>
      </c>
      <c r="AY640" s="2">
        <v>0</v>
      </c>
      <c r="AZ640" s="2">
        <v>0</v>
      </c>
      <c r="BA640" s="2">
        <v>0</v>
      </c>
      <c r="BB640" s="5">
        <v>0</v>
      </c>
      <c r="BC640" s="12">
        <v>712953.9</v>
      </c>
      <c r="BD640" s="2">
        <v>33530.1</v>
      </c>
      <c r="BE640" s="2">
        <v>31828.3</v>
      </c>
      <c r="BF640" s="2">
        <v>1496.87</v>
      </c>
      <c r="BG640" s="5">
        <v>6665.04</v>
      </c>
      <c r="BH640" s="2">
        <v>44789.04</v>
      </c>
      <c r="BI640" s="12">
        <v>39990.21</v>
      </c>
      <c r="BJ640" s="2">
        <v>0</v>
      </c>
      <c r="BK640" s="5">
        <v>3732.42</v>
      </c>
      <c r="BL640" s="1" t="s">
        <v>130</v>
      </c>
    </row>
    <row r="641" spans="1:64" x14ac:dyDescent="0.3">
      <c r="A641" t="s">
        <v>1417</v>
      </c>
      <c r="B641" s="1" t="s">
        <v>1417</v>
      </c>
      <c r="C641" s="9" t="s">
        <v>1418</v>
      </c>
      <c r="D641" s="1" t="s">
        <v>95</v>
      </c>
      <c r="E641" s="1" t="s">
        <v>135</v>
      </c>
      <c r="F641" s="10" t="s">
        <v>136</v>
      </c>
      <c r="G641" s="1">
        <v>0</v>
      </c>
      <c r="H641" s="1">
        <v>0.05</v>
      </c>
      <c r="I641" s="8">
        <v>45539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0</v>
      </c>
      <c r="U641" s="6">
        <v>0</v>
      </c>
      <c r="V641" s="6">
        <v>0</v>
      </c>
      <c r="W641" s="6">
        <v>0</v>
      </c>
      <c r="AI641" s="2">
        <v>1119418</v>
      </c>
      <c r="AJ641" s="2">
        <v>172284</v>
      </c>
      <c r="AK641" s="2">
        <v>49974.02</v>
      </c>
      <c r="AL641" s="2">
        <v>7691.25</v>
      </c>
      <c r="AM641" s="5">
        <v>11533.05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77502.12</v>
      </c>
      <c r="AT641" s="12">
        <v>69198.319999999992</v>
      </c>
      <c r="AU641" s="2">
        <v>0</v>
      </c>
      <c r="AV641" s="5">
        <v>6458.51</v>
      </c>
      <c r="AX641" s="2">
        <v>1119418</v>
      </c>
      <c r="AY641" s="2">
        <v>172284</v>
      </c>
      <c r="AZ641" s="2">
        <v>49974.02</v>
      </c>
      <c r="BA641" s="2">
        <v>7691.25</v>
      </c>
      <c r="BB641" s="5">
        <v>11533.05</v>
      </c>
      <c r="BC641" s="12">
        <v>0</v>
      </c>
      <c r="BD641" s="2">
        <v>0</v>
      </c>
      <c r="BE641" s="2">
        <v>0</v>
      </c>
      <c r="BF641" s="2">
        <v>0</v>
      </c>
      <c r="BG641" s="5">
        <v>0</v>
      </c>
      <c r="BH641" s="2">
        <v>77502.12</v>
      </c>
      <c r="BI641" s="12">
        <v>69198.319999999992</v>
      </c>
      <c r="BJ641" s="2">
        <v>0</v>
      </c>
      <c r="BK641" s="5">
        <v>6458.51</v>
      </c>
      <c r="BL641" s="1" t="s">
        <v>137</v>
      </c>
    </row>
    <row r="642" spans="1:64" x14ac:dyDescent="0.3">
      <c r="A642" t="s">
        <v>1419</v>
      </c>
      <c r="B642" s="1" t="s">
        <v>1419</v>
      </c>
      <c r="C642" s="9" t="s">
        <v>1420</v>
      </c>
      <c r="D642" s="1" t="s">
        <v>95</v>
      </c>
      <c r="E642" s="1" t="s">
        <v>88</v>
      </c>
      <c r="F642" s="10" t="s">
        <v>89</v>
      </c>
      <c r="G642" s="1">
        <v>0</v>
      </c>
      <c r="H642" s="1">
        <v>0</v>
      </c>
      <c r="I642" s="8">
        <v>45621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0</v>
      </c>
      <c r="AI642" s="2">
        <v>585076</v>
      </c>
      <c r="AJ642" s="2">
        <v>159298</v>
      </c>
      <c r="AK642" s="2">
        <v>0</v>
      </c>
      <c r="AL642" s="2">
        <v>0</v>
      </c>
      <c r="AM642" s="5">
        <v>6646.2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7443.74</v>
      </c>
      <c r="AT642" s="12">
        <v>6646.2</v>
      </c>
      <c r="AU642" s="2">
        <v>0</v>
      </c>
      <c r="AV642" s="5">
        <v>3721.87</v>
      </c>
      <c r="AX642" s="2">
        <v>585076</v>
      </c>
      <c r="AY642" s="2">
        <v>159298</v>
      </c>
      <c r="AZ642" s="2">
        <v>0</v>
      </c>
      <c r="BA642" s="2">
        <v>0</v>
      </c>
      <c r="BB642" s="5">
        <v>6646.2</v>
      </c>
      <c r="BC642" s="12">
        <v>0</v>
      </c>
      <c r="BD642" s="2">
        <v>0</v>
      </c>
      <c r="BE642" s="2">
        <v>0</v>
      </c>
      <c r="BF642" s="2">
        <v>0</v>
      </c>
      <c r="BG642" s="5">
        <v>0</v>
      </c>
      <c r="BH642" s="2">
        <v>7443.74</v>
      </c>
      <c r="BI642" s="12">
        <v>6646.2</v>
      </c>
      <c r="BJ642" s="2">
        <v>0</v>
      </c>
      <c r="BK642" s="5">
        <v>3721.87</v>
      </c>
      <c r="BL642" s="1" t="s">
        <v>90</v>
      </c>
    </row>
    <row r="643" spans="1:64" x14ac:dyDescent="0.3">
      <c r="A643" t="s">
        <v>1421</v>
      </c>
      <c r="B643" s="1" t="s">
        <v>1421</v>
      </c>
      <c r="C643" s="9" t="s">
        <v>1422</v>
      </c>
      <c r="D643" s="1" t="s">
        <v>95</v>
      </c>
      <c r="E643" s="1" t="s">
        <v>128</v>
      </c>
      <c r="F643" s="10" t="s">
        <v>129</v>
      </c>
      <c r="G643" s="1">
        <v>0</v>
      </c>
      <c r="H643" s="1">
        <v>0.05</v>
      </c>
      <c r="I643" s="8">
        <v>45488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0</v>
      </c>
      <c r="U643" s="6">
        <v>0</v>
      </c>
      <c r="V643" s="6">
        <v>0</v>
      </c>
      <c r="W643" s="6">
        <v>0</v>
      </c>
      <c r="AI643" s="2">
        <v>157308</v>
      </c>
      <c r="AJ643" s="2">
        <v>6830</v>
      </c>
      <c r="AK643" s="2">
        <v>7022.68</v>
      </c>
      <c r="AL643" s="2">
        <v>304.91000000000003</v>
      </c>
      <c r="AM643" s="5">
        <v>1465.52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9848.2800000000007</v>
      </c>
      <c r="AT643" s="12">
        <v>8793.11</v>
      </c>
      <c r="AU643" s="2">
        <v>0</v>
      </c>
      <c r="AV643" s="5">
        <v>820.69</v>
      </c>
      <c r="AX643" s="2">
        <v>157308</v>
      </c>
      <c r="AY643" s="2">
        <v>6830</v>
      </c>
      <c r="AZ643" s="2">
        <v>7022.68</v>
      </c>
      <c r="BA643" s="2">
        <v>304.91000000000003</v>
      </c>
      <c r="BB643" s="5">
        <v>1465.52</v>
      </c>
      <c r="BC643" s="12">
        <v>0</v>
      </c>
      <c r="BD643" s="2">
        <v>0</v>
      </c>
      <c r="BE643" s="2">
        <v>0</v>
      </c>
      <c r="BF643" s="2">
        <v>0</v>
      </c>
      <c r="BG643" s="5">
        <v>0</v>
      </c>
      <c r="BH643" s="2">
        <v>9848.2800000000007</v>
      </c>
      <c r="BI643" s="12">
        <v>8793.11</v>
      </c>
      <c r="BJ643" s="2">
        <v>0</v>
      </c>
      <c r="BK643" s="5">
        <v>820.69</v>
      </c>
      <c r="BL643" s="1" t="s">
        <v>130</v>
      </c>
    </row>
    <row r="644" spans="1:64" x14ac:dyDescent="0.3">
      <c r="A644" t="s">
        <v>1421</v>
      </c>
      <c r="B644" s="1" t="s">
        <v>1423</v>
      </c>
      <c r="C644" s="9" t="s">
        <v>1424</v>
      </c>
      <c r="D644" s="1" t="s">
        <v>95</v>
      </c>
      <c r="E644" s="1" t="s">
        <v>128</v>
      </c>
      <c r="F644" s="10" t="s">
        <v>129</v>
      </c>
      <c r="G644" s="1">
        <v>0</v>
      </c>
      <c r="H644" s="1">
        <v>0.05</v>
      </c>
      <c r="I644" s="8">
        <v>45600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0</v>
      </c>
      <c r="AT644" s="12">
        <v>0</v>
      </c>
      <c r="AU644" s="2">
        <v>0</v>
      </c>
      <c r="AV644" s="5">
        <v>0</v>
      </c>
      <c r="AX644" s="2">
        <v>0</v>
      </c>
      <c r="AY644" s="2">
        <v>0</v>
      </c>
      <c r="AZ644" s="2">
        <v>0</v>
      </c>
      <c r="BA644" s="2">
        <v>0</v>
      </c>
      <c r="BB644" s="5">
        <v>0</v>
      </c>
      <c r="BC644" s="12">
        <v>0</v>
      </c>
      <c r="BD644" s="2">
        <v>0</v>
      </c>
      <c r="BE644" s="2">
        <v>0</v>
      </c>
      <c r="BF644" s="2">
        <v>0</v>
      </c>
      <c r="BG644" s="5">
        <v>0</v>
      </c>
      <c r="BH644" s="2">
        <v>0</v>
      </c>
      <c r="BI644" s="12">
        <v>0</v>
      </c>
      <c r="BJ644" s="2">
        <v>0</v>
      </c>
      <c r="BK644" s="5">
        <v>0</v>
      </c>
      <c r="BL644" s="1" t="s">
        <v>130</v>
      </c>
    </row>
    <row r="645" spans="1:64" x14ac:dyDescent="0.3">
      <c r="A645" t="s">
        <v>1425</v>
      </c>
      <c r="B645" s="1" t="s">
        <v>1425</v>
      </c>
      <c r="C645" s="9" t="s">
        <v>1426</v>
      </c>
      <c r="D645" s="1" t="s">
        <v>95</v>
      </c>
      <c r="E645" s="1" t="s">
        <v>88</v>
      </c>
      <c r="F645" s="10" t="s">
        <v>441</v>
      </c>
      <c r="G645" s="1">
        <v>0</v>
      </c>
      <c r="H645" s="1">
        <v>0.05</v>
      </c>
      <c r="I645" s="8">
        <v>45751</v>
      </c>
      <c r="J645" s="6">
        <v>57328</v>
      </c>
      <c r="K645" s="6">
        <v>7534</v>
      </c>
      <c r="L645" s="6">
        <v>2303.3599999999988</v>
      </c>
      <c r="M645" s="6">
        <v>302.71000000000004</v>
      </c>
      <c r="N645" s="7">
        <v>579.11999999999989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3567.41</v>
      </c>
      <c r="U645" s="6">
        <v>3185.1900000000005</v>
      </c>
      <c r="V645" s="6">
        <v>0</v>
      </c>
      <c r="W645" s="6">
        <v>324.32000000000016</v>
      </c>
      <c r="AI645" s="2">
        <v>314730</v>
      </c>
      <c r="AJ645" s="2">
        <v>51497</v>
      </c>
      <c r="AK645" s="2">
        <v>12645.4</v>
      </c>
      <c r="AL645" s="2">
        <v>2069.08</v>
      </c>
      <c r="AM645" s="5">
        <v>3269.88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20142.48</v>
      </c>
      <c r="AT645" s="12">
        <v>17984.36</v>
      </c>
      <c r="AU645" s="2">
        <v>0</v>
      </c>
      <c r="AV645" s="5">
        <v>1831.14</v>
      </c>
      <c r="AX645" s="2">
        <v>257402</v>
      </c>
      <c r="AY645" s="2">
        <v>43963</v>
      </c>
      <c r="AZ645" s="2">
        <v>10342.040000000001</v>
      </c>
      <c r="BA645" s="2">
        <v>1766.37</v>
      </c>
      <c r="BB645" s="5">
        <v>2690.76</v>
      </c>
      <c r="BC645" s="12">
        <v>0</v>
      </c>
      <c r="BD645" s="2">
        <v>0</v>
      </c>
      <c r="BE645" s="2">
        <v>0</v>
      </c>
      <c r="BF645" s="2">
        <v>0</v>
      </c>
      <c r="BG645" s="5">
        <v>0</v>
      </c>
      <c r="BH645" s="2">
        <v>16575.07</v>
      </c>
      <c r="BI645" s="12">
        <v>14799.17</v>
      </c>
      <c r="BJ645" s="2">
        <v>0</v>
      </c>
      <c r="BK645" s="5">
        <v>1506.82</v>
      </c>
      <c r="BL645" s="1" t="s">
        <v>90</v>
      </c>
    </row>
    <row r="646" spans="1:64" x14ac:dyDescent="0.3">
      <c r="A646" t="s">
        <v>1427</v>
      </c>
      <c r="B646" s="1" t="s">
        <v>1427</v>
      </c>
      <c r="C646" s="9" t="s">
        <v>1428</v>
      </c>
      <c r="D646" s="1" t="s">
        <v>95</v>
      </c>
      <c r="E646" s="1" t="s">
        <v>135</v>
      </c>
      <c r="F646" s="10" t="s">
        <v>193</v>
      </c>
      <c r="G646" s="1">
        <v>0</v>
      </c>
      <c r="H646" s="1">
        <v>0.05</v>
      </c>
      <c r="I646" s="8">
        <v>45616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0</v>
      </c>
      <c r="U646" s="6">
        <v>0</v>
      </c>
      <c r="V646" s="6">
        <v>0</v>
      </c>
      <c r="W646" s="6">
        <v>0</v>
      </c>
      <c r="AI646" s="2">
        <v>651641</v>
      </c>
      <c r="AJ646" s="2">
        <v>32170</v>
      </c>
      <c r="AK646" s="2">
        <v>29091.119999999999</v>
      </c>
      <c r="AL646" s="2">
        <v>1436.16</v>
      </c>
      <c r="AM646" s="5">
        <v>6105.46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41028.67</v>
      </c>
      <c r="AT646" s="12">
        <v>36632.74</v>
      </c>
      <c r="AU646" s="2">
        <v>0</v>
      </c>
      <c r="AV646" s="5">
        <v>3419.06</v>
      </c>
      <c r="AX646" s="2">
        <v>651641</v>
      </c>
      <c r="AY646" s="2">
        <v>32170</v>
      </c>
      <c r="AZ646" s="2">
        <v>29091.119999999999</v>
      </c>
      <c r="BA646" s="2">
        <v>1436.16</v>
      </c>
      <c r="BB646" s="5">
        <v>6105.46</v>
      </c>
      <c r="BC646" s="12">
        <v>0</v>
      </c>
      <c r="BD646" s="2">
        <v>0</v>
      </c>
      <c r="BE646" s="2">
        <v>0</v>
      </c>
      <c r="BF646" s="2">
        <v>0</v>
      </c>
      <c r="BG646" s="5">
        <v>0</v>
      </c>
      <c r="BH646" s="2">
        <v>41028.67</v>
      </c>
      <c r="BI646" s="12">
        <v>36632.74</v>
      </c>
      <c r="BJ646" s="2">
        <v>0</v>
      </c>
      <c r="BK646" s="5">
        <v>3419.06</v>
      </c>
      <c r="BL646" s="1" t="s">
        <v>137</v>
      </c>
    </row>
    <row r="647" spans="1:64" x14ac:dyDescent="0.3">
      <c r="A647" t="s">
        <v>1429</v>
      </c>
      <c r="B647" s="1" t="s">
        <v>1429</v>
      </c>
      <c r="C647" s="9" t="s">
        <v>1430</v>
      </c>
      <c r="D647" s="1" t="s">
        <v>95</v>
      </c>
      <c r="E647" s="1" t="s">
        <v>88</v>
      </c>
      <c r="F647" s="10" t="s">
        <v>218</v>
      </c>
      <c r="G647" s="1">
        <v>0</v>
      </c>
      <c r="H647" s="1">
        <v>0.05</v>
      </c>
      <c r="I647" s="8">
        <v>45553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0</v>
      </c>
      <c r="AI647" s="2">
        <v>449930</v>
      </c>
      <c r="AJ647" s="2">
        <v>213192</v>
      </c>
      <c r="AK647" s="2">
        <v>20086.16</v>
      </c>
      <c r="AL647" s="2">
        <v>9517.5</v>
      </c>
      <c r="AM647" s="5">
        <v>5920.73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39787.32</v>
      </c>
      <c r="AT647" s="12">
        <v>35524.39</v>
      </c>
      <c r="AU647" s="2">
        <v>0</v>
      </c>
      <c r="AV647" s="5">
        <v>3315.61</v>
      </c>
      <c r="AX647" s="2">
        <v>449930</v>
      </c>
      <c r="AY647" s="2">
        <v>213192</v>
      </c>
      <c r="AZ647" s="2">
        <v>20086.16</v>
      </c>
      <c r="BA647" s="2">
        <v>9517.5</v>
      </c>
      <c r="BB647" s="5">
        <v>5920.73</v>
      </c>
      <c r="BC647" s="12">
        <v>0</v>
      </c>
      <c r="BD647" s="2">
        <v>0</v>
      </c>
      <c r="BE647" s="2">
        <v>0</v>
      </c>
      <c r="BF647" s="2">
        <v>0</v>
      </c>
      <c r="BG647" s="5">
        <v>0</v>
      </c>
      <c r="BH647" s="2">
        <v>39787.32</v>
      </c>
      <c r="BI647" s="12">
        <v>35524.39</v>
      </c>
      <c r="BJ647" s="2">
        <v>0</v>
      </c>
      <c r="BK647" s="5">
        <v>3315.61</v>
      </c>
      <c r="BL647" s="1" t="s">
        <v>90</v>
      </c>
    </row>
    <row r="648" spans="1:64" x14ac:dyDescent="0.3">
      <c r="A648" t="s">
        <v>1431</v>
      </c>
      <c r="B648" s="1" t="s">
        <v>1431</v>
      </c>
      <c r="C648" s="9" t="s">
        <v>1432</v>
      </c>
      <c r="D648" s="1" t="s">
        <v>95</v>
      </c>
      <c r="E648" s="1" t="s">
        <v>135</v>
      </c>
      <c r="F648" s="10" t="s">
        <v>485</v>
      </c>
      <c r="G648" s="1">
        <v>0</v>
      </c>
      <c r="H648" s="1">
        <v>0.05</v>
      </c>
      <c r="I648" s="8">
        <v>45639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0</v>
      </c>
      <c r="P648" s="6">
        <v>0</v>
      </c>
      <c r="Q648" s="6">
        <v>0</v>
      </c>
      <c r="R648" s="6">
        <v>0</v>
      </c>
      <c r="S648" s="7">
        <v>0</v>
      </c>
      <c r="T648" s="11">
        <v>0</v>
      </c>
      <c r="U648" s="6">
        <v>0</v>
      </c>
      <c r="V648" s="6">
        <v>0</v>
      </c>
      <c r="W648" s="6">
        <v>0</v>
      </c>
      <c r="AI648" s="2">
        <v>535205.56000000006</v>
      </c>
      <c r="AJ648" s="2">
        <v>74394</v>
      </c>
      <c r="AK648" s="2">
        <v>23893.11</v>
      </c>
      <c r="AL648" s="2">
        <v>3321.16</v>
      </c>
      <c r="AM648" s="5">
        <v>5442.86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36575.99</v>
      </c>
      <c r="AT648" s="12">
        <v>32657.13</v>
      </c>
      <c r="AU648" s="2">
        <v>0</v>
      </c>
      <c r="AV648" s="5">
        <v>3048</v>
      </c>
      <c r="AX648" s="2">
        <v>535205.56000000006</v>
      </c>
      <c r="AY648" s="2">
        <v>74394</v>
      </c>
      <c r="AZ648" s="2">
        <v>23893.11</v>
      </c>
      <c r="BA648" s="2">
        <v>3321.16</v>
      </c>
      <c r="BB648" s="5">
        <v>5442.86</v>
      </c>
      <c r="BC648" s="12">
        <v>0</v>
      </c>
      <c r="BD648" s="2">
        <v>0</v>
      </c>
      <c r="BE648" s="2">
        <v>0</v>
      </c>
      <c r="BF648" s="2">
        <v>0</v>
      </c>
      <c r="BG648" s="5">
        <v>0</v>
      </c>
      <c r="BH648" s="2">
        <v>36575.99</v>
      </c>
      <c r="BI648" s="12">
        <v>32657.13</v>
      </c>
      <c r="BJ648" s="2">
        <v>0</v>
      </c>
      <c r="BK648" s="5">
        <v>3048</v>
      </c>
      <c r="BL648" s="1" t="s">
        <v>302</v>
      </c>
    </row>
    <row r="649" spans="1:64" x14ac:dyDescent="0.3">
      <c r="A649" t="s">
        <v>1433</v>
      </c>
      <c r="B649" s="1" t="s">
        <v>1433</v>
      </c>
      <c r="C649" s="9" t="s">
        <v>1434</v>
      </c>
      <c r="D649" s="1" t="s">
        <v>95</v>
      </c>
      <c r="E649" s="1" t="s">
        <v>128</v>
      </c>
      <c r="F649" s="10" t="s">
        <v>309</v>
      </c>
      <c r="G649" s="1">
        <v>0</v>
      </c>
      <c r="H649" s="1">
        <v>0.05</v>
      </c>
      <c r="I649" s="8">
        <v>45665</v>
      </c>
      <c r="J649" s="6">
        <v>659419.87</v>
      </c>
      <c r="K649" s="6">
        <v>22798</v>
      </c>
      <c r="L649" s="6">
        <v>29438.38</v>
      </c>
      <c r="M649" s="6">
        <v>1017.77</v>
      </c>
      <c r="N649" s="7">
        <v>6091.23</v>
      </c>
      <c r="O649" s="6">
        <v>-513378.30000000005</v>
      </c>
      <c r="P649" s="6">
        <v>-26823.300000000003</v>
      </c>
      <c r="Q649" s="6">
        <v>-22918.68</v>
      </c>
      <c r="R649" s="6">
        <v>-1197.47</v>
      </c>
      <c r="S649" s="7">
        <v>-4823.2299999999996</v>
      </c>
      <c r="T649" s="11">
        <v>8520.9599999999991</v>
      </c>
      <c r="U649" s="6">
        <v>7608.0000000000036</v>
      </c>
      <c r="V649" s="6">
        <v>0</v>
      </c>
      <c r="W649" s="6">
        <v>710.07999999999993</v>
      </c>
      <c r="AI649" s="2">
        <v>659419.87</v>
      </c>
      <c r="AJ649" s="2">
        <v>22798</v>
      </c>
      <c r="AK649" s="2">
        <v>29438.38</v>
      </c>
      <c r="AL649" s="2">
        <v>1017.77</v>
      </c>
      <c r="AM649" s="5">
        <v>6091.23</v>
      </c>
      <c r="AN649" s="12">
        <v>0</v>
      </c>
      <c r="AO649" s="2">
        <v>0</v>
      </c>
      <c r="AP649" s="2">
        <v>0</v>
      </c>
      <c r="AQ649" s="2">
        <v>0</v>
      </c>
      <c r="AR649" s="5">
        <v>0</v>
      </c>
      <c r="AS649" s="2">
        <v>40933.07</v>
      </c>
      <c r="AT649" s="12">
        <v>36547.380000000005</v>
      </c>
      <c r="AU649" s="2">
        <v>0</v>
      </c>
      <c r="AV649" s="5">
        <v>3411.09</v>
      </c>
      <c r="AX649" s="2">
        <v>0</v>
      </c>
      <c r="AY649" s="2">
        <v>0</v>
      </c>
      <c r="AZ649" s="2">
        <v>0</v>
      </c>
      <c r="BA649" s="2">
        <v>0</v>
      </c>
      <c r="BB649" s="5">
        <v>0</v>
      </c>
      <c r="BC649" s="12">
        <v>513378.30000000005</v>
      </c>
      <c r="BD649" s="2">
        <v>26823.300000000003</v>
      </c>
      <c r="BE649" s="2">
        <v>22918.68</v>
      </c>
      <c r="BF649" s="2">
        <v>1197.47</v>
      </c>
      <c r="BG649" s="5">
        <v>4823.2299999999996</v>
      </c>
      <c r="BH649" s="2">
        <v>32412.11</v>
      </c>
      <c r="BI649" s="12">
        <v>28939.38</v>
      </c>
      <c r="BJ649" s="2">
        <v>0</v>
      </c>
      <c r="BK649" s="5">
        <v>2701.01</v>
      </c>
      <c r="BL649" s="1" t="s">
        <v>130</v>
      </c>
    </row>
    <row r="650" spans="1:64" x14ac:dyDescent="0.3">
      <c r="A650" t="s">
        <v>1435</v>
      </c>
      <c r="B650" s="1" t="s">
        <v>1435</v>
      </c>
      <c r="C650" s="9" t="s">
        <v>1436</v>
      </c>
      <c r="D650" s="1" t="s">
        <v>95</v>
      </c>
      <c r="E650" s="1" t="s">
        <v>88</v>
      </c>
      <c r="F650" s="10" t="s">
        <v>472</v>
      </c>
      <c r="G650" s="1">
        <v>0</v>
      </c>
      <c r="H650" s="1">
        <v>0</v>
      </c>
      <c r="I650" s="8">
        <v>45586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0</v>
      </c>
      <c r="AI650" s="2">
        <v>1088010.5</v>
      </c>
      <c r="AJ650" s="2">
        <v>291919</v>
      </c>
      <c r="AK650" s="2">
        <v>0</v>
      </c>
      <c r="AL650" s="2">
        <v>0</v>
      </c>
      <c r="AM650" s="5">
        <v>12320.8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13799.3</v>
      </c>
      <c r="AT650" s="12">
        <v>12320.8</v>
      </c>
      <c r="AU650" s="2">
        <v>0</v>
      </c>
      <c r="AV650" s="5">
        <v>6899.65</v>
      </c>
      <c r="AX650" s="2">
        <v>1088010.5</v>
      </c>
      <c r="AY650" s="2">
        <v>291919</v>
      </c>
      <c r="AZ650" s="2">
        <v>0</v>
      </c>
      <c r="BA650" s="2">
        <v>0</v>
      </c>
      <c r="BB650" s="5">
        <v>12320.8</v>
      </c>
      <c r="BC650" s="12">
        <v>0</v>
      </c>
      <c r="BD650" s="2">
        <v>0</v>
      </c>
      <c r="BE650" s="2">
        <v>0</v>
      </c>
      <c r="BF650" s="2">
        <v>0</v>
      </c>
      <c r="BG650" s="5">
        <v>0</v>
      </c>
      <c r="BH650" s="2">
        <v>13799.3</v>
      </c>
      <c r="BI650" s="12">
        <v>12320.8</v>
      </c>
      <c r="BJ650" s="2">
        <v>0</v>
      </c>
      <c r="BK650" s="5">
        <v>6899.65</v>
      </c>
      <c r="BL650" s="1" t="s">
        <v>90</v>
      </c>
    </row>
    <row r="651" spans="1:64" x14ac:dyDescent="0.3">
      <c r="A651" t="s">
        <v>1437</v>
      </c>
      <c r="B651" s="1" t="s">
        <v>1437</v>
      </c>
      <c r="C651" s="9" t="s">
        <v>1438</v>
      </c>
      <c r="D651" s="1" t="s">
        <v>95</v>
      </c>
      <c r="E651" s="1" t="s">
        <v>135</v>
      </c>
      <c r="F651" s="10" t="s">
        <v>435</v>
      </c>
      <c r="G651" s="1">
        <v>0</v>
      </c>
      <c r="H651" s="1">
        <v>0.05</v>
      </c>
      <c r="I651" s="8">
        <v>45589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0</v>
      </c>
      <c r="U651" s="6">
        <v>0</v>
      </c>
      <c r="V651" s="6">
        <v>0</v>
      </c>
      <c r="W651" s="6">
        <v>0</v>
      </c>
      <c r="AI651" s="2">
        <v>701766</v>
      </c>
      <c r="AJ651" s="2">
        <v>75770</v>
      </c>
      <c r="AK651" s="2">
        <v>31328.84</v>
      </c>
      <c r="AL651" s="2">
        <v>3382.59</v>
      </c>
      <c r="AM651" s="5">
        <v>6942.29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46652.17</v>
      </c>
      <c r="AT651" s="12">
        <v>41653.72</v>
      </c>
      <c r="AU651" s="2">
        <v>0</v>
      </c>
      <c r="AV651" s="5">
        <v>3887.68</v>
      </c>
      <c r="AX651" s="2">
        <v>701766</v>
      </c>
      <c r="AY651" s="2">
        <v>75770</v>
      </c>
      <c r="AZ651" s="2">
        <v>31328.84</v>
      </c>
      <c r="BA651" s="2">
        <v>3382.59</v>
      </c>
      <c r="BB651" s="5">
        <v>6942.29</v>
      </c>
      <c r="BC651" s="12">
        <v>0</v>
      </c>
      <c r="BD651" s="2">
        <v>0</v>
      </c>
      <c r="BE651" s="2">
        <v>0</v>
      </c>
      <c r="BF651" s="2">
        <v>0</v>
      </c>
      <c r="BG651" s="5">
        <v>0</v>
      </c>
      <c r="BH651" s="2">
        <v>46652.17</v>
      </c>
      <c r="BI651" s="12">
        <v>41653.72</v>
      </c>
      <c r="BJ651" s="2">
        <v>0</v>
      </c>
      <c r="BK651" s="5">
        <v>3887.68</v>
      </c>
      <c r="BL651" s="1" t="s">
        <v>302</v>
      </c>
    </row>
    <row r="652" spans="1:64" x14ac:dyDescent="0.3">
      <c r="A652" t="s">
        <v>1439</v>
      </c>
      <c r="B652" s="1" t="s">
        <v>1439</v>
      </c>
      <c r="C652" s="9" t="s">
        <v>1440</v>
      </c>
      <c r="D652" s="1" t="s">
        <v>95</v>
      </c>
      <c r="E652" s="1" t="s">
        <v>88</v>
      </c>
      <c r="F652" s="10" t="s">
        <v>1348</v>
      </c>
      <c r="G652" s="1">
        <v>0</v>
      </c>
      <c r="H652" s="1">
        <v>0.05</v>
      </c>
      <c r="I652" s="8">
        <v>45596</v>
      </c>
      <c r="J652" s="6">
        <v>0</v>
      </c>
      <c r="K652" s="6">
        <v>0</v>
      </c>
      <c r="L652" s="6">
        <v>0</v>
      </c>
      <c r="M652" s="6">
        <v>0</v>
      </c>
      <c r="N652" s="7">
        <v>0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0</v>
      </c>
      <c r="U652" s="6">
        <v>0</v>
      </c>
      <c r="V652" s="6">
        <v>0</v>
      </c>
      <c r="W652" s="6">
        <v>0</v>
      </c>
      <c r="AI652" s="2">
        <v>183844</v>
      </c>
      <c r="AJ652" s="2">
        <v>23460</v>
      </c>
      <c r="AK652" s="2">
        <v>8207.32</v>
      </c>
      <c r="AL652" s="2">
        <v>1047.32</v>
      </c>
      <c r="AM652" s="5">
        <v>1850.93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12438.24</v>
      </c>
      <c r="AT652" s="12">
        <v>11105.57</v>
      </c>
      <c r="AU652" s="2">
        <v>0</v>
      </c>
      <c r="AV652" s="5">
        <v>1036.52</v>
      </c>
      <c r="AX652" s="2">
        <v>183844</v>
      </c>
      <c r="AY652" s="2">
        <v>23460</v>
      </c>
      <c r="AZ652" s="2">
        <v>8207.32</v>
      </c>
      <c r="BA652" s="2">
        <v>1047.32</v>
      </c>
      <c r="BB652" s="5">
        <v>1850.93</v>
      </c>
      <c r="BC652" s="12">
        <v>0</v>
      </c>
      <c r="BD652" s="2">
        <v>0</v>
      </c>
      <c r="BE652" s="2">
        <v>0</v>
      </c>
      <c r="BF652" s="2">
        <v>0</v>
      </c>
      <c r="BG652" s="5">
        <v>0</v>
      </c>
      <c r="BH652" s="2">
        <v>12438.24</v>
      </c>
      <c r="BI652" s="12">
        <v>11105.57</v>
      </c>
      <c r="BJ652" s="2">
        <v>0</v>
      </c>
      <c r="BK652" s="5">
        <v>1036.52</v>
      </c>
      <c r="BL652" s="1" t="s">
        <v>90</v>
      </c>
    </row>
    <row r="653" spans="1:64" x14ac:dyDescent="0.3">
      <c r="A653" t="s">
        <v>1441</v>
      </c>
      <c r="B653" s="1" t="s">
        <v>1441</v>
      </c>
      <c r="C653" s="9" t="s">
        <v>1442</v>
      </c>
      <c r="D653" s="1" t="s">
        <v>95</v>
      </c>
      <c r="E653" s="1" t="s">
        <v>88</v>
      </c>
      <c r="F653" s="10" t="s">
        <v>1443</v>
      </c>
      <c r="G653" s="1">
        <v>0</v>
      </c>
      <c r="H653" s="1">
        <v>0.05</v>
      </c>
      <c r="I653" s="8">
        <v>45596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0</v>
      </c>
      <c r="U653" s="6">
        <v>0</v>
      </c>
      <c r="V653" s="6">
        <v>0</v>
      </c>
      <c r="W653" s="6">
        <v>0</v>
      </c>
      <c r="AI653" s="2">
        <v>85286.39</v>
      </c>
      <c r="AJ653" s="2">
        <v>13520</v>
      </c>
      <c r="AK653" s="2">
        <v>3807.43</v>
      </c>
      <c r="AL653" s="2">
        <v>603.57000000000005</v>
      </c>
      <c r="AM653" s="5">
        <v>882.2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5928.38</v>
      </c>
      <c r="AT653" s="12">
        <v>5293.2</v>
      </c>
      <c r="AU653" s="2">
        <v>0</v>
      </c>
      <c r="AV653" s="5">
        <v>494.03</v>
      </c>
      <c r="AX653" s="2">
        <v>85286.39</v>
      </c>
      <c r="AY653" s="2">
        <v>13520</v>
      </c>
      <c r="AZ653" s="2">
        <v>3807.43</v>
      </c>
      <c r="BA653" s="2">
        <v>603.57000000000005</v>
      </c>
      <c r="BB653" s="5">
        <v>882.2</v>
      </c>
      <c r="BC653" s="12">
        <v>0</v>
      </c>
      <c r="BD653" s="2">
        <v>0</v>
      </c>
      <c r="BE653" s="2">
        <v>0</v>
      </c>
      <c r="BF653" s="2">
        <v>0</v>
      </c>
      <c r="BG653" s="5">
        <v>0</v>
      </c>
      <c r="BH653" s="2">
        <v>5928.38</v>
      </c>
      <c r="BI653" s="12">
        <v>5293.2</v>
      </c>
      <c r="BJ653" s="2">
        <v>0</v>
      </c>
      <c r="BK653" s="5">
        <v>494.03</v>
      </c>
      <c r="BL653" s="1" t="s">
        <v>90</v>
      </c>
    </row>
    <row r="654" spans="1:64" x14ac:dyDescent="0.3">
      <c r="A654" t="s">
        <v>1441</v>
      </c>
      <c r="B654" s="1" t="s">
        <v>1444</v>
      </c>
      <c r="C654" s="9" t="s">
        <v>1445</v>
      </c>
      <c r="D654" s="1" t="s">
        <v>95</v>
      </c>
      <c r="E654" s="1" t="s">
        <v>88</v>
      </c>
      <c r="F654" s="10" t="s">
        <v>1348</v>
      </c>
      <c r="G654" s="1">
        <v>0</v>
      </c>
      <c r="H654" s="1">
        <v>0.05</v>
      </c>
      <c r="I654" s="8">
        <v>45634</v>
      </c>
      <c r="J654" s="6">
        <v>0</v>
      </c>
      <c r="K654" s="6">
        <v>0</v>
      </c>
      <c r="L654" s="6">
        <v>0</v>
      </c>
      <c r="M654" s="6">
        <v>0</v>
      </c>
      <c r="N654" s="7">
        <v>0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0</v>
      </c>
      <c r="U654" s="6">
        <v>0</v>
      </c>
      <c r="V654" s="6">
        <v>0</v>
      </c>
      <c r="W654" s="6">
        <v>0</v>
      </c>
      <c r="AI654" s="2">
        <v>41088.5</v>
      </c>
      <c r="AJ654" s="2">
        <v>7945</v>
      </c>
      <c r="AK654" s="2">
        <v>1834.31</v>
      </c>
      <c r="AL654" s="2">
        <v>354.69</v>
      </c>
      <c r="AM654" s="5">
        <v>437.8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2942.02</v>
      </c>
      <c r="AT654" s="12">
        <v>2626.8</v>
      </c>
      <c r="AU654" s="2">
        <v>0</v>
      </c>
      <c r="AV654" s="5">
        <v>245.17</v>
      </c>
      <c r="AX654" s="2">
        <v>41088.5</v>
      </c>
      <c r="AY654" s="2">
        <v>7945</v>
      </c>
      <c r="AZ654" s="2">
        <v>1834.31</v>
      </c>
      <c r="BA654" s="2">
        <v>354.69</v>
      </c>
      <c r="BB654" s="5">
        <v>437.8</v>
      </c>
      <c r="BC654" s="12">
        <v>0</v>
      </c>
      <c r="BD654" s="2">
        <v>0</v>
      </c>
      <c r="BE654" s="2">
        <v>0</v>
      </c>
      <c r="BF654" s="2">
        <v>0</v>
      </c>
      <c r="BG654" s="5">
        <v>0</v>
      </c>
      <c r="BH654" s="2">
        <v>2942.02</v>
      </c>
      <c r="BI654" s="12">
        <v>2626.8</v>
      </c>
      <c r="BJ654" s="2">
        <v>0</v>
      </c>
      <c r="BK654" s="5">
        <v>245.17</v>
      </c>
      <c r="BL654" s="1" t="s">
        <v>90</v>
      </c>
    </row>
    <row r="655" spans="1:64" x14ac:dyDescent="0.3">
      <c r="A655" t="s">
        <v>1446</v>
      </c>
      <c r="B655" s="1" t="s">
        <v>1446</v>
      </c>
      <c r="C655" s="9" t="s">
        <v>1447</v>
      </c>
      <c r="D655" s="1" t="s">
        <v>95</v>
      </c>
      <c r="E655" s="1" t="s">
        <v>128</v>
      </c>
      <c r="F655" s="10" t="s">
        <v>401</v>
      </c>
      <c r="G655" s="1">
        <v>0</v>
      </c>
      <c r="H655" s="1">
        <v>0.05</v>
      </c>
      <c r="I655" s="8">
        <v>45026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0</v>
      </c>
      <c r="AI655" s="2">
        <v>643586</v>
      </c>
      <c r="AJ655" s="2">
        <v>10776</v>
      </c>
      <c r="AK655" s="2">
        <v>28731.52</v>
      </c>
      <c r="AL655" s="2">
        <v>481.07</v>
      </c>
      <c r="AM655" s="5">
        <v>5842.52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39261.72</v>
      </c>
      <c r="AT655" s="12">
        <v>35055.11</v>
      </c>
      <c r="AU655" s="2">
        <v>0</v>
      </c>
      <c r="AV655" s="5">
        <v>3271.81</v>
      </c>
      <c r="AX655" s="2">
        <v>643586</v>
      </c>
      <c r="AY655" s="2">
        <v>10776</v>
      </c>
      <c r="AZ655" s="2">
        <v>28731.52</v>
      </c>
      <c r="BA655" s="2">
        <v>481.07</v>
      </c>
      <c r="BB655" s="5">
        <v>5842.52</v>
      </c>
      <c r="BC655" s="12">
        <v>0</v>
      </c>
      <c r="BD655" s="2">
        <v>0</v>
      </c>
      <c r="BE655" s="2">
        <v>0</v>
      </c>
      <c r="BF655" s="2">
        <v>0</v>
      </c>
      <c r="BG655" s="5">
        <v>0</v>
      </c>
      <c r="BH655" s="2">
        <v>39261.72</v>
      </c>
      <c r="BI655" s="12">
        <v>35055.11</v>
      </c>
      <c r="BJ655" s="2">
        <v>0</v>
      </c>
      <c r="BK655" s="5">
        <v>3271.81</v>
      </c>
      <c r="BL655" s="1" t="s">
        <v>130</v>
      </c>
    </row>
    <row r="656" spans="1:64" x14ac:dyDescent="0.3">
      <c r="A656" t="s">
        <v>1448</v>
      </c>
      <c r="B656" s="1" t="s">
        <v>1448</v>
      </c>
      <c r="C656" s="9" t="s">
        <v>1449</v>
      </c>
      <c r="D656" s="1" t="s">
        <v>95</v>
      </c>
      <c r="E656" s="1" t="s">
        <v>88</v>
      </c>
      <c r="F656" s="10" t="s">
        <v>432</v>
      </c>
      <c r="G656" s="1">
        <v>0</v>
      </c>
      <c r="H656" s="1">
        <v>0.05</v>
      </c>
      <c r="I656" s="8">
        <v>45730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0</v>
      </c>
      <c r="U656" s="6">
        <v>0</v>
      </c>
      <c r="V656" s="6">
        <v>0</v>
      </c>
      <c r="W656" s="6">
        <v>0</v>
      </c>
      <c r="AI656" s="2">
        <v>723409</v>
      </c>
      <c r="AJ656" s="2">
        <v>100570</v>
      </c>
      <c r="AK656" s="2">
        <v>32295.040000000001</v>
      </c>
      <c r="AL656" s="2">
        <v>4489.7299999999996</v>
      </c>
      <c r="AM656" s="5">
        <v>7356.96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49438.74</v>
      </c>
      <c r="AT656" s="12">
        <v>44141.73</v>
      </c>
      <c r="AU656" s="2">
        <v>0</v>
      </c>
      <c r="AV656" s="5">
        <v>4119.8999999999996</v>
      </c>
      <c r="AX656" s="2">
        <v>723409</v>
      </c>
      <c r="AY656" s="2">
        <v>100570</v>
      </c>
      <c r="AZ656" s="2">
        <v>32295.040000000001</v>
      </c>
      <c r="BA656" s="2">
        <v>4489.7299999999996</v>
      </c>
      <c r="BB656" s="5">
        <v>7356.96</v>
      </c>
      <c r="BC656" s="12">
        <v>0</v>
      </c>
      <c r="BD656" s="2">
        <v>0</v>
      </c>
      <c r="BE656" s="2">
        <v>0</v>
      </c>
      <c r="BF656" s="2">
        <v>0</v>
      </c>
      <c r="BG656" s="5">
        <v>0</v>
      </c>
      <c r="BH656" s="2">
        <v>49438.74</v>
      </c>
      <c r="BI656" s="12">
        <v>44141.73</v>
      </c>
      <c r="BJ656" s="2">
        <v>0</v>
      </c>
      <c r="BK656" s="5">
        <v>4119.8999999999996</v>
      </c>
      <c r="BL656" s="1" t="s">
        <v>90</v>
      </c>
    </row>
    <row r="657" spans="1:64" x14ac:dyDescent="0.3">
      <c r="A657" t="s">
        <v>1448</v>
      </c>
      <c r="B657" s="1" t="s">
        <v>1450</v>
      </c>
      <c r="C657" s="9" t="s">
        <v>626</v>
      </c>
      <c r="D657" s="1" t="s">
        <v>95</v>
      </c>
      <c r="E657" s="1" t="s">
        <v>88</v>
      </c>
      <c r="F657" s="10" t="s">
        <v>432</v>
      </c>
      <c r="G657" s="1">
        <v>0</v>
      </c>
      <c r="H657" s="1">
        <v>0.05</v>
      </c>
      <c r="I657" s="8">
        <v>0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0</v>
      </c>
      <c r="AJ657" s="2">
        <v>0</v>
      </c>
      <c r="AK657" s="2">
        <v>0</v>
      </c>
      <c r="AL657" s="2">
        <v>0</v>
      </c>
      <c r="AM657" s="5">
        <v>0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0</v>
      </c>
      <c r="AT657" s="12">
        <v>0</v>
      </c>
      <c r="AU657" s="2">
        <v>0</v>
      </c>
      <c r="AV657" s="5">
        <v>0</v>
      </c>
      <c r="AX657" s="2">
        <v>0</v>
      </c>
      <c r="AY657" s="2">
        <v>0</v>
      </c>
      <c r="AZ657" s="2">
        <v>0</v>
      </c>
      <c r="BA657" s="2">
        <v>0</v>
      </c>
      <c r="BB657" s="5">
        <v>0</v>
      </c>
      <c r="BC657" s="12">
        <v>0</v>
      </c>
      <c r="BD657" s="2">
        <v>0</v>
      </c>
      <c r="BE657" s="2">
        <v>0</v>
      </c>
      <c r="BF657" s="2">
        <v>0</v>
      </c>
      <c r="BG657" s="5">
        <v>0</v>
      </c>
      <c r="BH657" s="2">
        <v>0</v>
      </c>
      <c r="BI657" s="12">
        <v>0</v>
      </c>
      <c r="BJ657" s="2">
        <v>0</v>
      </c>
      <c r="BK657" s="5">
        <v>0</v>
      </c>
      <c r="BL657" s="1" t="s">
        <v>90</v>
      </c>
    </row>
    <row r="658" spans="1:64" x14ac:dyDescent="0.3">
      <c r="A658" t="s">
        <v>1451</v>
      </c>
      <c r="B658" s="1" t="s">
        <v>1451</v>
      </c>
      <c r="C658" s="9" t="s">
        <v>1452</v>
      </c>
      <c r="D658" s="1" t="s">
        <v>95</v>
      </c>
      <c r="E658" s="1" t="s">
        <v>88</v>
      </c>
      <c r="F658" s="10" t="s">
        <v>545</v>
      </c>
      <c r="G658" s="1">
        <v>0</v>
      </c>
      <c r="H658" s="1">
        <v>0.05</v>
      </c>
      <c r="I658" s="8">
        <v>0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0</v>
      </c>
      <c r="AJ658" s="2">
        <v>0</v>
      </c>
      <c r="AK658" s="2">
        <v>0</v>
      </c>
      <c r="AL658" s="2">
        <v>0</v>
      </c>
      <c r="AM658" s="5">
        <v>0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0</v>
      </c>
      <c r="AT658" s="12">
        <v>0</v>
      </c>
      <c r="AU658" s="2">
        <v>0</v>
      </c>
      <c r="AV658" s="5">
        <v>0</v>
      </c>
      <c r="AX658" s="2">
        <v>0</v>
      </c>
      <c r="AY658" s="2">
        <v>0</v>
      </c>
      <c r="AZ658" s="2">
        <v>0</v>
      </c>
      <c r="BA658" s="2">
        <v>0</v>
      </c>
      <c r="BB658" s="5">
        <v>0</v>
      </c>
      <c r="BC658" s="12">
        <v>0</v>
      </c>
      <c r="BD658" s="2">
        <v>0</v>
      </c>
      <c r="BE658" s="2">
        <v>0</v>
      </c>
      <c r="BF658" s="2">
        <v>0</v>
      </c>
      <c r="BG658" s="5">
        <v>0</v>
      </c>
      <c r="BH658" s="2">
        <v>0</v>
      </c>
      <c r="BI658" s="12">
        <v>0</v>
      </c>
      <c r="BJ658" s="2">
        <v>0</v>
      </c>
      <c r="BK658" s="5">
        <v>0</v>
      </c>
      <c r="BL658" s="1" t="s">
        <v>546</v>
      </c>
    </row>
    <row r="659" spans="1:64" x14ac:dyDescent="0.3">
      <c r="A659" t="s">
        <v>1453</v>
      </c>
      <c r="B659" s="1" t="s">
        <v>1453</v>
      </c>
      <c r="C659" s="9" t="s">
        <v>1454</v>
      </c>
      <c r="D659" s="1" t="s">
        <v>95</v>
      </c>
      <c r="E659" s="1" t="s">
        <v>135</v>
      </c>
      <c r="F659" s="10" t="s">
        <v>435</v>
      </c>
      <c r="G659" s="1">
        <v>0</v>
      </c>
      <c r="H659" s="1">
        <v>0.05</v>
      </c>
      <c r="I659" s="8">
        <v>44925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0</v>
      </c>
      <c r="U659" s="6">
        <v>0</v>
      </c>
      <c r="V659" s="6">
        <v>0</v>
      </c>
      <c r="W659" s="6">
        <v>0</v>
      </c>
      <c r="AI659" s="2">
        <v>230040</v>
      </c>
      <c r="AJ659" s="2">
        <v>59971</v>
      </c>
      <c r="AK659" s="2">
        <v>10269.64</v>
      </c>
      <c r="AL659" s="2">
        <v>2677.28</v>
      </c>
      <c r="AM659" s="5">
        <v>2589.38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17400.66</v>
      </c>
      <c r="AT659" s="12">
        <v>15536.3</v>
      </c>
      <c r="AU659" s="2">
        <v>0</v>
      </c>
      <c r="AV659" s="5">
        <v>1450.06</v>
      </c>
      <c r="AX659" s="2">
        <v>230040</v>
      </c>
      <c r="AY659" s="2">
        <v>59971</v>
      </c>
      <c r="AZ659" s="2">
        <v>10269.64</v>
      </c>
      <c r="BA659" s="2">
        <v>2677.28</v>
      </c>
      <c r="BB659" s="5">
        <v>2589.38</v>
      </c>
      <c r="BC659" s="12">
        <v>0</v>
      </c>
      <c r="BD659" s="2">
        <v>0</v>
      </c>
      <c r="BE659" s="2">
        <v>0</v>
      </c>
      <c r="BF659" s="2">
        <v>0</v>
      </c>
      <c r="BG659" s="5">
        <v>0</v>
      </c>
      <c r="BH659" s="2">
        <v>17400.66</v>
      </c>
      <c r="BI659" s="12">
        <v>15536.3</v>
      </c>
      <c r="BJ659" s="2">
        <v>0</v>
      </c>
      <c r="BK659" s="5">
        <v>1450.06</v>
      </c>
      <c r="BL659" s="1" t="s">
        <v>137</v>
      </c>
    </row>
    <row r="660" spans="1:64" x14ac:dyDescent="0.3">
      <c r="A660" t="s">
        <v>1455</v>
      </c>
      <c r="B660" s="1" t="s">
        <v>1455</v>
      </c>
      <c r="C660" s="9" t="s">
        <v>1456</v>
      </c>
      <c r="D660" s="1" t="s">
        <v>95</v>
      </c>
      <c r="E660" s="1" t="s">
        <v>88</v>
      </c>
      <c r="F660" s="10" t="s">
        <v>472</v>
      </c>
      <c r="G660" s="1">
        <v>0</v>
      </c>
      <c r="H660" s="1">
        <v>0</v>
      </c>
      <c r="I660" s="8">
        <v>0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0</v>
      </c>
      <c r="AJ660" s="2">
        <v>0</v>
      </c>
      <c r="AK660" s="2">
        <v>0</v>
      </c>
      <c r="AL660" s="2">
        <v>0</v>
      </c>
      <c r="AM660" s="5">
        <v>0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0</v>
      </c>
      <c r="AT660" s="12">
        <v>0</v>
      </c>
      <c r="AU660" s="2">
        <v>0</v>
      </c>
      <c r="AV660" s="5">
        <v>0</v>
      </c>
      <c r="AX660" s="2">
        <v>0</v>
      </c>
      <c r="AY660" s="2">
        <v>0</v>
      </c>
      <c r="AZ660" s="2">
        <v>0</v>
      </c>
      <c r="BA660" s="2">
        <v>0</v>
      </c>
      <c r="BB660" s="5">
        <v>0</v>
      </c>
      <c r="BC660" s="12">
        <v>0</v>
      </c>
      <c r="BD660" s="2">
        <v>0</v>
      </c>
      <c r="BE660" s="2">
        <v>0</v>
      </c>
      <c r="BF660" s="2">
        <v>0</v>
      </c>
      <c r="BG660" s="5">
        <v>0</v>
      </c>
      <c r="BH660" s="2">
        <v>0</v>
      </c>
      <c r="BI660" s="12">
        <v>0</v>
      </c>
      <c r="BJ660" s="2">
        <v>0</v>
      </c>
      <c r="BK660" s="5">
        <v>0</v>
      </c>
      <c r="BL660" s="1" t="s">
        <v>90</v>
      </c>
    </row>
    <row r="661" spans="1:64" x14ac:dyDescent="0.3">
      <c r="A661" t="s">
        <v>1457</v>
      </c>
      <c r="B661" s="1" t="s">
        <v>1457</v>
      </c>
      <c r="C661" s="9" t="s">
        <v>1458</v>
      </c>
      <c r="D661" s="1" t="s">
        <v>95</v>
      </c>
      <c r="E661" s="1" t="s">
        <v>128</v>
      </c>
      <c r="F661" s="10" t="s">
        <v>129</v>
      </c>
      <c r="G661" s="1">
        <v>0</v>
      </c>
      <c r="H661" s="1">
        <v>0.05</v>
      </c>
      <c r="I661" s="8">
        <v>0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  <c r="T661" s="11">
        <v>0</v>
      </c>
      <c r="U661" s="6">
        <v>0</v>
      </c>
      <c r="V661" s="6">
        <v>0</v>
      </c>
      <c r="W661" s="6">
        <v>0</v>
      </c>
      <c r="AI661" s="2">
        <v>0</v>
      </c>
      <c r="AJ661" s="2">
        <v>0</v>
      </c>
      <c r="AK661" s="2">
        <v>0</v>
      </c>
      <c r="AL661" s="2">
        <v>0</v>
      </c>
      <c r="AM661" s="5">
        <v>0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0</v>
      </c>
      <c r="AT661" s="12">
        <v>0</v>
      </c>
      <c r="AU661" s="2">
        <v>0</v>
      </c>
      <c r="AV661" s="5">
        <v>0</v>
      </c>
      <c r="AX661" s="2">
        <v>0</v>
      </c>
      <c r="AY661" s="2">
        <v>0</v>
      </c>
      <c r="AZ661" s="2">
        <v>0</v>
      </c>
      <c r="BA661" s="2">
        <v>0</v>
      </c>
      <c r="BB661" s="5">
        <v>0</v>
      </c>
      <c r="BC661" s="12">
        <v>0</v>
      </c>
      <c r="BD661" s="2">
        <v>0</v>
      </c>
      <c r="BE661" s="2">
        <v>0</v>
      </c>
      <c r="BF661" s="2">
        <v>0</v>
      </c>
      <c r="BG661" s="5">
        <v>0</v>
      </c>
      <c r="BH661" s="2">
        <v>0</v>
      </c>
      <c r="BI661" s="12">
        <v>0</v>
      </c>
      <c r="BJ661" s="2">
        <v>0</v>
      </c>
      <c r="BK661" s="5">
        <v>0</v>
      </c>
      <c r="BL661" s="1" t="s">
        <v>130</v>
      </c>
    </row>
    <row r="662" spans="1:64" x14ac:dyDescent="0.3">
      <c r="A662" t="s">
        <v>1459</v>
      </c>
      <c r="B662" s="1" t="s">
        <v>1459</v>
      </c>
      <c r="C662" s="9" t="s">
        <v>1460</v>
      </c>
      <c r="D662" s="1" t="s">
        <v>95</v>
      </c>
      <c r="E662" s="1" t="s">
        <v>135</v>
      </c>
      <c r="F662" s="10" t="s">
        <v>193</v>
      </c>
      <c r="G662" s="1">
        <v>0</v>
      </c>
      <c r="H662" s="1">
        <v>0.05</v>
      </c>
      <c r="I662" s="8">
        <v>0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0</v>
      </c>
      <c r="AJ662" s="2">
        <v>0</v>
      </c>
      <c r="AK662" s="2">
        <v>0</v>
      </c>
      <c r="AL662" s="2">
        <v>0</v>
      </c>
      <c r="AM662" s="5">
        <v>0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0</v>
      </c>
      <c r="AT662" s="12">
        <v>0</v>
      </c>
      <c r="AU662" s="2">
        <v>0</v>
      </c>
      <c r="AV662" s="5">
        <v>0</v>
      </c>
      <c r="AX662" s="2">
        <v>0</v>
      </c>
      <c r="AY662" s="2">
        <v>0</v>
      </c>
      <c r="AZ662" s="2">
        <v>0</v>
      </c>
      <c r="BA662" s="2">
        <v>0</v>
      </c>
      <c r="BB662" s="5">
        <v>0</v>
      </c>
      <c r="BC662" s="12">
        <v>0</v>
      </c>
      <c r="BD662" s="2">
        <v>0</v>
      </c>
      <c r="BE662" s="2">
        <v>0</v>
      </c>
      <c r="BF662" s="2">
        <v>0</v>
      </c>
      <c r="BG662" s="5">
        <v>0</v>
      </c>
      <c r="BH662" s="2">
        <v>0</v>
      </c>
      <c r="BI662" s="12">
        <v>0</v>
      </c>
      <c r="BJ662" s="2">
        <v>0</v>
      </c>
      <c r="BK662" s="5">
        <v>0</v>
      </c>
      <c r="BL662" s="1" t="s">
        <v>137</v>
      </c>
    </row>
    <row r="663" spans="1:64" x14ac:dyDescent="0.3">
      <c r="A663" t="s">
        <v>1461</v>
      </c>
      <c r="B663" s="1" t="s">
        <v>1461</v>
      </c>
      <c r="C663" s="9" t="s">
        <v>1462</v>
      </c>
      <c r="D663" s="1" t="s">
        <v>95</v>
      </c>
      <c r="E663" s="1" t="s">
        <v>88</v>
      </c>
      <c r="F663" s="10" t="s">
        <v>472</v>
      </c>
      <c r="G663" s="1">
        <v>0</v>
      </c>
      <c r="H663" s="1">
        <v>0.02</v>
      </c>
      <c r="I663" s="8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0</v>
      </c>
      <c r="AJ663" s="2">
        <v>0</v>
      </c>
      <c r="AK663" s="2">
        <v>0</v>
      </c>
      <c r="AL663" s="2">
        <v>0</v>
      </c>
      <c r="AM663" s="5">
        <v>0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0</v>
      </c>
      <c r="AT663" s="12">
        <v>0</v>
      </c>
      <c r="AU663" s="2">
        <v>0</v>
      </c>
      <c r="AV663" s="5">
        <v>0</v>
      </c>
      <c r="AX663" s="2">
        <v>0</v>
      </c>
      <c r="AY663" s="2">
        <v>0</v>
      </c>
      <c r="AZ663" s="2">
        <v>0</v>
      </c>
      <c r="BA663" s="2">
        <v>0</v>
      </c>
      <c r="BB663" s="5">
        <v>0</v>
      </c>
      <c r="BC663" s="12">
        <v>0</v>
      </c>
      <c r="BD663" s="2">
        <v>0</v>
      </c>
      <c r="BE663" s="2">
        <v>0</v>
      </c>
      <c r="BF663" s="2">
        <v>0</v>
      </c>
      <c r="BG663" s="5">
        <v>0</v>
      </c>
      <c r="BH663" s="2">
        <v>0</v>
      </c>
      <c r="BI663" s="12">
        <v>0</v>
      </c>
      <c r="BJ663" s="2">
        <v>0</v>
      </c>
      <c r="BK663" s="5">
        <v>0</v>
      </c>
      <c r="BL663" s="1" t="s">
        <v>90</v>
      </c>
    </row>
    <row r="664" spans="1:64" x14ac:dyDescent="0.3">
      <c r="A664" t="s">
        <v>1463</v>
      </c>
      <c r="B664" s="1" t="s">
        <v>1463</v>
      </c>
      <c r="C664" s="9" t="s">
        <v>1464</v>
      </c>
      <c r="D664" s="1" t="s">
        <v>95</v>
      </c>
      <c r="E664" s="1" t="s">
        <v>88</v>
      </c>
      <c r="F664" s="10" t="s">
        <v>472</v>
      </c>
      <c r="G664" s="1">
        <v>0</v>
      </c>
      <c r="H664" s="1">
        <v>0.02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AX664" s="2">
        <v>0</v>
      </c>
      <c r="AY664" s="2">
        <v>0</v>
      </c>
      <c r="AZ664" s="2">
        <v>0</v>
      </c>
      <c r="BA664" s="2">
        <v>0</v>
      </c>
      <c r="BB664" s="5">
        <v>0</v>
      </c>
      <c r="BC664" s="12">
        <v>0</v>
      </c>
      <c r="BD664" s="2">
        <v>0</v>
      </c>
      <c r="BE664" s="2">
        <v>0</v>
      </c>
      <c r="BF664" s="2">
        <v>0</v>
      </c>
      <c r="BG664" s="5">
        <v>0</v>
      </c>
      <c r="BH664" s="2">
        <v>0</v>
      </c>
      <c r="BI664" s="12">
        <v>0</v>
      </c>
      <c r="BJ664" s="2">
        <v>0</v>
      </c>
      <c r="BK664" s="5">
        <v>0</v>
      </c>
      <c r="BL664" s="1" t="s">
        <v>90</v>
      </c>
    </row>
    <row r="665" spans="1:64" x14ac:dyDescent="0.3">
      <c r="A665" t="s">
        <v>1465</v>
      </c>
      <c r="B665" s="1" t="s">
        <v>1465</v>
      </c>
      <c r="C665" s="9" t="s">
        <v>1466</v>
      </c>
      <c r="D665" s="1" t="s">
        <v>95</v>
      </c>
      <c r="E665" s="1" t="s">
        <v>88</v>
      </c>
      <c r="F665" s="10" t="s">
        <v>1170</v>
      </c>
      <c r="G665" s="1">
        <v>0</v>
      </c>
      <c r="H665" s="1">
        <v>0.05</v>
      </c>
      <c r="I665" s="8">
        <v>45755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0</v>
      </c>
      <c r="P665" s="6">
        <v>0</v>
      </c>
      <c r="Q665" s="6">
        <v>0</v>
      </c>
      <c r="R665" s="6">
        <v>0</v>
      </c>
      <c r="S665" s="7">
        <v>0</v>
      </c>
      <c r="T665" s="11">
        <v>0</v>
      </c>
      <c r="U665" s="6">
        <v>0</v>
      </c>
      <c r="V665" s="6">
        <v>0</v>
      </c>
      <c r="W665" s="6">
        <v>0</v>
      </c>
      <c r="AI665" s="2">
        <v>257167</v>
      </c>
      <c r="AJ665" s="2">
        <v>17980</v>
      </c>
      <c r="AK665" s="2">
        <v>8801.85</v>
      </c>
      <c r="AL665" s="2">
        <v>615.38</v>
      </c>
      <c r="AM665" s="5">
        <v>2456.67</v>
      </c>
      <c r="AN665" s="12">
        <v>0</v>
      </c>
      <c r="AO665" s="2">
        <v>0</v>
      </c>
      <c r="AP665" s="2">
        <v>0</v>
      </c>
      <c r="AQ665" s="2">
        <v>0</v>
      </c>
      <c r="AR665" s="5">
        <v>0</v>
      </c>
      <c r="AS665" s="2">
        <v>13298.77</v>
      </c>
      <c r="AT665" s="12">
        <v>11873.9</v>
      </c>
      <c r="AU665" s="2">
        <v>0</v>
      </c>
      <c r="AV665" s="5">
        <v>1375.74</v>
      </c>
      <c r="AX665" s="2">
        <v>257167</v>
      </c>
      <c r="AY665" s="2">
        <v>17980</v>
      </c>
      <c r="AZ665" s="2">
        <v>8801.85</v>
      </c>
      <c r="BA665" s="2">
        <v>615.38</v>
      </c>
      <c r="BB665" s="5">
        <v>2456.67</v>
      </c>
      <c r="BC665" s="12">
        <v>0</v>
      </c>
      <c r="BD665" s="2">
        <v>0</v>
      </c>
      <c r="BE665" s="2">
        <v>0</v>
      </c>
      <c r="BF665" s="2">
        <v>0</v>
      </c>
      <c r="BG665" s="5">
        <v>0</v>
      </c>
      <c r="BH665" s="2">
        <v>13298.77</v>
      </c>
      <c r="BI665" s="12">
        <v>11873.9</v>
      </c>
      <c r="BJ665" s="2">
        <v>0</v>
      </c>
      <c r="BK665" s="5">
        <v>1375.74</v>
      </c>
      <c r="BL665" s="1" t="s">
        <v>90</v>
      </c>
    </row>
    <row r="666" spans="1:64" x14ac:dyDescent="0.3">
      <c r="A666" t="s">
        <v>1465</v>
      </c>
      <c r="B666" s="1" t="s">
        <v>1467</v>
      </c>
      <c r="C666" s="9" t="s">
        <v>1468</v>
      </c>
      <c r="D666" s="1" t="s">
        <v>95</v>
      </c>
      <c r="E666" s="1" t="s">
        <v>88</v>
      </c>
      <c r="F666" s="10" t="s">
        <v>1170</v>
      </c>
      <c r="G666" s="1">
        <v>0</v>
      </c>
      <c r="H666" s="1">
        <v>0.05</v>
      </c>
      <c r="I666" s="8">
        <v>45755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55597</v>
      </c>
      <c r="AJ666" s="2">
        <v>10263</v>
      </c>
      <c r="AK666" s="2">
        <v>1902.87</v>
      </c>
      <c r="AL666" s="2">
        <v>351.27</v>
      </c>
      <c r="AM666" s="5">
        <v>588.04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3183.24</v>
      </c>
      <c r="AT666" s="12">
        <v>2842.18</v>
      </c>
      <c r="AU666" s="2">
        <v>0</v>
      </c>
      <c r="AV666" s="5">
        <v>329.3</v>
      </c>
      <c r="AX666" s="2">
        <v>55597</v>
      </c>
      <c r="AY666" s="2">
        <v>10263</v>
      </c>
      <c r="AZ666" s="2">
        <v>1902.87</v>
      </c>
      <c r="BA666" s="2">
        <v>351.27</v>
      </c>
      <c r="BB666" s="5">
        <v>588.04</v>
      </c>
      <c r="BC666" s="12">
        <v>0</v>
      </c>
      <c r="BD666" s="2">
        <v>0</v>
      </c>
      <c r="BE666" s="2">
        <v>0</v>
      </c>
      <c r="BF666" s="2">
        <v>0</v>
      </c>
      <c r="BG666" s="5">
        <v>0</v>
      </c>
      <c r="BH666" s="2">
        <v>3183.24</v>
      </c>
      <c r="BI666" s="12">
        <v>2842.18</v>
      </c>
      <c r="BJ666" s="2">
        <v>0</v>
      </c>
      <c r="BK666" s="5">
        <v>329.3</v>
      </c>
      <c r="BL666" s="1" t="s">
        <v>90</v>
      </c>
    </row>
  </sheetData>
  <sortState xmlns:xlrd2="http://schemas.microsoft.com/office/spreadsheetml/2017/richdata2" ref="A6:BK666">
    <sortCondition ref="D1"/>
    <sortCondition ref="A1"/>
    <sortCondition ref="B1"/>
  </sortState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393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1002766.75</v>
      </c>
      <c r="AJ6" s="2">
        <v>358457</v>
      </c>
      <c r="AK6" s="2">
        <v>17906.55</v>
      </c>
      <c r="AL6" s="2">
        <v>6401.0199999999995</v>
      </c>
      <c r="AM6" s="5">
        <v>12153.779999999999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40836.71</v>
      </c>
      <c r="AT6" s="12">
        <v>36461.35</v>
      </c>
      <c r="AU6" s="2">
        <v>729.23</v>
      </c>
      <c r="AV6" s="5">
        <v>0</v>
      </c>
      <c r="AX6" s="2">
        <v>1002766.75</v>
      </c>
      <c r="AY6" s="2">
        <v>358457</v>
      </c>
      <c r="AZ6" s="2">
        <v>17906.55</v>
      </c>
      <c r="BA6" s="2">
        <v>6401.0199999999995</v>
      </c>
      <c r="BB6" s="5">
        <v>12153.779999999999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40836.71</v>
      </c>
      <c r="BI6" s="12">
        <v>36461.35</v>
      </c>
      <c r="BJ6" s="2">
        <v>729.23</v>
      </c>
      <c r="BK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865606</v>
      </c>
      <c r="AJ7" s="2">
        <v>167742</v>
      </c>
      <c r="AK7" s="2">
        <v>15457.25</v>
      </c>
      <c r="AL7" s="2">
        <v>2995.39</v>
      </c>
      <c r="AM7" s="5">
        <v>9226.32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31000.44</v>
      </c>
      <c r="AT7" s="12">
        <v>27678.959999999999</v>
      </c>
      <c r="AU7" s="2">
        <v>553.58000000000004</v>
      </c>
      <c r="AV7" s="5">
        <v>0</v>
      </c>
      <c r="AX7" s="2">
        <v>865606</v>
      </c>
      <c r="AY7" s="2">
        <v>167742</v>
      </c>
      <c r="AZ7" s="2">
        <v>15457.25</v>
      </c>
      <c r="BA7" s="2">
        <v>2995.39</v>
      </c>
      <c r="BB7" s="5">
        <v>9226.32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31000.44</v>
      </c>
      <c r="BI7" s="12">
        <v>27678.959999999999</v>
      </c>
      <c r="BJ7" s="2">
        <v>553.58000000000004</v>
      </c>
      <c r="BK7" s="5">
        <v>0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1326126</v>
      </c>
      <c r="AJ8" s="2">
        <v>438627</v>
      </c>
      <c r="AK8" s="2">
        <v>23680.82</v>
      </c>
      <c r="AL8" s="2">
        <v>7832.6200000000008</v>
      </c>
      <c r="AM8" s="5">
        <v>15756.729999999998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52942.59</v>
      </c>
      <c r="AT8" s="12">
        <v>47270.169999999991</v>
      </c>
      <c r="AU8" s="2">
        <v>945.4</v>
      </c>
      <c r="AV8" s="5">
        <v>0</v>
      </c>
      <c r="AX8" s="2">
        <v>1326126</v>
      </c>
      <c r="AY8" s="2">
        <v>438627</v>
      </c>
      <c r="AZ8" s="2">
        <v>23680.82</v>
      </c>
      <c r="BA8" s="2">
        <v>7832.6200000000008</v>
      </c>
      <c r="BB8" s="5">
        <v>15756.729999999998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52942.59</v>
      </c>
      <c r="BI8" s="12">
        <v>47270.169999999991</v>
      </c>
      <c r="BJ8" s="2">
        <v>945.4</v>
      </c>
      <c r="BK8" s="5">
        <v>0</v>
      </c>
      <c r="BL8" s="1" t="s">
        <v>90</v>
      </c>
    </row>
    <row r="9" spans="1:64" x14ac:dyDescent="0.3">
      <c r="A9" t="s">
        <v>158</v>
      </c>
      <c r="B9" s="1" t="s">
        <v>158</v>
      </c>
      <c r="C9" s="9" t="s">
        <v>159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642167.5</v>
      </c>
      <c r="AJ9" s="2">
        <v>227994</v>
      </c>
      <c r="AK9" s="2">
        <v>11467.279999999999</v>
      </c>
      <c r="AL9" s="2">
        <v>4071.3199999999997</v>
      </c>
      <c r="AM9" s="5">
        <v>7769.3000000000011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26104.85</v>
      </c>
      <c r="AT9" s="12">
        <v>23307.899999999998</v>
      </c>
      <c r="AU9" s="2">
        <v>466.15999999999997</v>
      </c>
      <c r="AV9" s="5">
        <v>0</v>
      </c>
      <c r="AX9" s="2">
        <v>642167.5</v>
      </c>
      <c r="AY9" s="2">
        <v>227994</v>
      </c>
      <c r="AZ9" s="2">
        <v>11467.279999999999</v>
      </c>
      <c r="BA9" s="2">
        <v>4071.3199999999997</v>
      </c>
      <c r="BB9" s="5">
        <v>7769.3000000000011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26104.85</v>
      </c>
      <c r="BI9" s="12">
        <v>23307.899999999998</v>
      </c>
      <c r="BJ9" s="2">
        <v>466.15999999999997</v>
      </c>
      <c r="BK9" s="5">
        <v>0</v>
      </c>
      <c r="BL9" s="1" t="s">
        <v>90</v>
      </c>
    </row>
    <row r="10" spans="1:64" x14ac:dyDescent="0.3">
      <c r="A10" t="s">
        <v>219</v>
      </c>
      <c r="B10" s="1" t="s">
        <v>219</v>
      </c>
      <c r="C10" s="9" t="s">
        <v>220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47085</v>
      </c>
      <c r="AJ10" s="2">
        <v>14951</v>
      </c>
      <c r="AK10" s="2">
        <v>840.8</v>
      </c>
      <c r="AL10" s="2">
        <v>266.98</v>
      </c>
      <c r="AM10" s="5">
        <v>553.89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1861.07</v>
      </c>
      <c r="AT10" s="12">
        <v>1661.67</v>
      </c>
      <c r="AU10" s="2">
        <v>33.229999999999997</v>
      </c>
      <c r="AV10" s="5">
        <v>0</v>
      </c>
      <c r="AX10" s="2">
        <v>47085</v>
      </c>
      <c r="AY10" s="2">
        <v>14951</v>
      </c>
      <c r="AZ10" s="2">
        <v>840.8</v>
      </c>
      <c r="BA10" s="2">
        <v>266.98</v>
      </c>
      <c r="BB10" s="5">
        <v>553.89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1861.07</v>
      </c>
      <c r="BI10" s="12">
        <v>1661.67</v>
      </c>
      <c r="BJ10" s="2">
        <v>33.229999999999997</v>
      </c>
      <c r="BK10" s="5">
        <v>0</v>
      </c>
      <c r="BL10" s="1" t="s">
        <v>90</v>
      </c>
    </row>
    <row r="11" spans="1:64" x14ac:dyDescent="0.3">
      <c r="A11" t="s">
        <v>223</v>
      </c>
      <c r="B11" s="1" t="s">
        <v>223</v>
      </c>
      <c r="C11" s="9" t="s">
        <v>224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1237883.54</v>
      </c>
      <c r="AJ11" s="2">
        <v>244121.11</v>
      </c>
      <c r="AK11" s="2">
        <v>22105.059999999998</v>
      </c>
      <c r="AL11" s="2">
        <v>4359.3</v>
      </c>
      <c r="AM11" s="5">
        <v>13232.18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44460.12</v>
      </c>
      <c r="AT11" s="12">
        <v>39696.54</v>
      </c>
      <c r="AU11" s="2">
        <v>793.93000000000006</v>
      </c>
      <c r="AV11" s="5">
        <v>0</v>
      </c>
      <c r="AX11" s="2">
        <v>1237883.54</v>
      </c>
      <c r="AY11" s="2">
        <v>244121.11</v>
      </c>
      <c r="AZ11" s="2">
        <v>22105.059999999998</v>
      </c>
      <c r="BA11" s="2">
        <v>4359.3</v>
      </c>
      <c r="BB11" s="5">
        <v>13232.18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44460.12</v>
      </c>
      <c r="BI11" s="12">
        <v>39696.54</v>
      </c>
      <c r="BJ11" s="2">
        <v>793.93000000000006</v>
      </c>
      <c r="BK11" s="5">
        <v>0</v>
      </c>
      <c r="BL11" s="1" t="s">
        <v>90</v>
      </c>
    </row>
    <row r="12" spans="1:64" x14ac:dyDescent="0.3">
      <c r="A12" t="s">
        <v>239</v>
      </c>
      <c r="B12" s="1" t="s">
        <v>239</v>
      </c>
      <c r="C12" s="9" t="s">
        <v>240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756340.8</v>
      </c>
      <c r="AJ12" s="2">
        <v>387570</v>
      </c>
      <c r="AK12" s="2">
        <v>13506.09</v>
      </c>
      <c r="AL12" s="2">
        <v>6920.89</v>
      </c>
      <c r="AM12" s="5">
        <v>10213.5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34317.339999999997</v>
      </c>
      <c r="AT12" s="12">
        <v>30640.48</v>
      </c>
      <c r="AU12" s="2">
        <v>612.81999999999994</v>
      </c>
      <c r="AV12" s="5">
        <v>0</v>
      </c>
      <c r="AX12" s="2">
        <v>756340.8</v>
      </c>
      <c r="AY12" s="2">
        <v>387570</v>
      </c>
      <c r="AZ12" s="2">
        <v>13506.09</v>
      </c>
      <c r="BA12" s="2">
        <v>6920.89</v>
      </c>
      <c r="BB12" s="5">
        <v>10213.5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34317.339999999997</v>
      </c>
      <c r="BI12" s="12">
        <v>30640.48</v>
      </c>
      <c r="BJ12" s="2">
        <v>612.81999999999994</v>
      </c>
      <c r="BK12" s="5">
        <v>0</v>
      </c>
      <c r="BL12" s="1" t="s">
        <v>90</v>
      </c>
    </row>
    <row r="13" spans="1:64" x14ac:dyDescent="0.3">
      <c r="A13" t="s">
        <v>261</v>
      </c>
      <c r="B13" s="1" t="s">
        <v>261</v>
      </c>
      <c r="C13" s="9" t="s">
        <v>262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482110</v>
      </c>
      <c r="AJ13" s="2">
        <v>146248</v>
      </c>
      <c r="AK13" s="2">
        <v>8609.11</v>
      </c>
      <c r="AL13" s="2">
        <v>2611.5700000000002</v>
      </c>
      <c r="AM13" s="5">
        <v>5610.34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18850.740000000002</v>
      </c>
      <c r="AT13" s="12">
        <v>16831.02</v>
      </c>
      <c r="AU13" s="2">
        <v>336.62</v>
      </c>
      <c r="AV13" s="5">
        <v>0</v>
      </c>
      <c r="AX13" s="2">
        <v>482110</v>
      </c>
      <c r="AY13" s="2">
        <v>146248</v>
      </c>
      <c r="AZ13" s="2">
        <v>8609.11</v>
      </c>
      <c r="BA13" s="2">
        <v>2611.5700000000002</v>
      </c>
      <c r="BB13" s="5">
        <v>5610.34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18850.740000000002</v>
      </c>
      <c r="BI13" s="12">
        <v>16831.02</v>
      </c>
      <c r="BJ13" s="2">
        <v>336.62</v>
      </c>
      <c r="BK13" s="5">
        <v>0</v>
      </c>
      <c r="BL13" s="1" t="s">
        <v>90</v>
      </c>
    </row>
    <row r="14" spans="1:64" x14ac:dyDescent="0.3">
      <c r="A14" t="s">
        <v>274</v>
      </c>
      <c r="B14" s="1" t="s">
        <v>274</v>
      </c>
      <c r="C14" s="9" t="s">
        <v>275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604795.29</v>
      </c>
      <c r="AJ14" s="2">
        <v>263939.75</v>
      </c>
      <c r="AK14" s="2">
        <v>12219.21</v>
      </c>
      <c r="AL14" s="2">
        <v>5043.0300000000007</v>
      </c>
      <c r="AM14" s="5">
        <v>7756.57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28021.07</v>
      </c>
      <c r="AT14" s="12">
        <v>25018.81</v>
      </c>
      <c r="AU14" s="2">
        <v>500.37</v>
      </c>
      <c r="AV14" s="5">
        <v>0</v>
      </c>
      <c r="AX14" s="2">
        <v>604795.29</v>
      </c>
      <c r="AY14" s="2">
        <v>263939.75</v>
      </c>
      <c r="AZ14" s="2">
        <v>12219.21</v>
      </c>
      <c r="BA14" s="2">
        <v>5043.0300000000007</v>
      </c>
      <c r="BB14" s="5">
        <v>7756.57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28021.07</v>
      </c>
      <c r="BI14" s="12">
        <v>25018.81</v>
      </c>
      <c r="BJ14" s="2">
        <v>500.37</v>
      </c>
      <c r="BK14" s="5">
        <v>0</v>
      </c>
      <c r="BL14" s="1" t="s">
        <v>90</v>
      </c>
    </row>
    <row r="15" spans="1:64" x14ac:dyDescent="0.3">
      <c r="A15" t="s">
        <v>292</v>
      </c>
      <c r="B15" s="1" t="s">
        <v>292</v>
      </c>
      <c r="C15" s="9" t="s">
        <v>293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1104000.8799999999</v>
      </c>
      <c r="AJ15" s="2">
        <v>365545.87</v>
      </c>
      <c r="AK15" s="2">
        <v>19714.310000000001</v>
      </c>
      <c r="AL15" s="2">
        <v>6527.61</v>
      </c>
      <c r="AM15" s="5">
        <v>13120.960000000001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44086.43</v>
      </c>
      <c r="AT15" s="12">
        <v>39362.879999999997</v>
      </c>
      <c r="AU15" s="2">
        <v>787.26</v>
      </c>
      <c r="AV15" s="5">
        <v>0</v>
      </c>
      <c r="AX15" s="2">
        <v>1104000.8799999999</v>
      </c>
      <c r="AY15" s="2">
        <v>365545.87</v>
      </c>
      <c r="AZ15" s="2">
        <v>19714.310000000001</v>
      </c>
      <c r="BA15" s="2">
        <v>6527.61</v>
      </c>
      <c r="BB15" s="5">
        <v>13120.960000000001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44086.43</v>
      </c>
      <c r="BI15" s="12">
        <v>39362.879999999997</v>
      </c>
      <c r="BJ15" s="2">
        <v>787.26</v>
      </c>
      <c r="BK15" s="5">
        <v>0</v>
      </c>
      <c r="BL15" s="1" t="s">
        <v>90</v>
      </c>
    </row>
    <row r="16" spans="1:64" x14ac:dyDescent="0.3">
      <c r="A16" t="s">
        <v>395</v>
      </c>
      <c r="B16" s="1" t="s">
        <v>395</v>
      </c>
      <c r="C16" s="9" t="s">
        <v>396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1046861.3999999999</v>
      </c>
      <c r="AJ16" s="2">
        <v>305485</v>
      </c>
      <c r="AK16" s="2">
        <v>18693.96</v>
      </c>
      <c r="AL16" s="2">
        <v>5455.09</v>
      </c>
      <c r="AM16" s="5">
        <v>12074.52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40570.400000000001</v>
      </c>
      <c r="AT16" s="12">
        <v>36223.57</v>
      </c>
      <c r="AU16" s="2">
        <v>724.47</v>
      </c>
      <c r="AV16" s="5">
        <v>0</v>
      </c>
      <c r="AX16" s="2">
        <v>1046861.3999999999</v>
      </c>
      <c r="AY16" s="2">
        <v>305485</v>
      </c>
      <c r="AZ16" s="2">
        <v>18693.96</v>
      </c>
      <c r="BA16" s="2">
        <v>5455.09</v>
      </c>
      <c r="BB16" s="5">
        <v>12074.52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40570.400000000001</v>
      </c>
      <c r="BI16" s="12">
        <v>36223.57</v>
      </c>
      <c r="BJ16" s="2">
        <v>724.47</v>
      </c>
      <c r="BK16" s="5">
        <v>0</v>
      </c>
      <c r="BL16" s="1" t="s">
        <v>90</v>
      </c>
    </row>
    <row r="17" spans="1:64" x14ac:dyDescent="0.3">
      <c r="A17" t="s">
        <v>494</v>
      </c>
      <c r="B17" s="1" t="s">
        <v>494</v>
      </c>
      <c r="C17" s="9" t="s">
        <v>495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1173875.45</v>
      </c>
      <c r="AJ17" s="2">
        <v>460988.55</v>
      </c>
      <c r="AK17" s="2">
        <v>20962.07</v>
      </c>
      <c r="AL17" s="2">
        <v>8231.93</v>
      </c>
      <c r="AM17" s="5">
        <v>14597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49045.919999999998</v>
      </c>
      <c r="AT17" s="12">
        <v>43791</v>
      </c>
      <c r="AU17" s="2">
        <v>875.82</v>
      </c>
      <c r="AV17" s="5">
        <v>0</v>
      </c>
      <c r="AX17" s="2">
        <v>1173875.45</v>
      </c>
      <c r="AY17" s="2">
        <v>460988.55</v>
      </c>
      <c r="AZ17" s="2">
        <v>20962.07</v>
      </c>
      <c r="BA17" s="2">
        <v>8231.93</v>
      </c>
      <c r="BB17" s="5">
        <v>14597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49045.919999999998</v>
      </c>
      <c r="BI17" s="12">
        <v>43791</v>
      </c>
      <c r="BJ17" s="2">
        <v>875.82</v>
      </c>
      <c r="BK17" s="5">
        <v>0</v>
      </c>
      <c r="BL17" s="1" t="s">
        <v>90</v>
      </c>
    </row>
    <row r="18" spans="1:64" x14ac:dyDescent="0.3">
      <c r="A18" t="s">
        <v>642</v>
      </c>
      <c r="B18" s="1" t="s">
        <v>642</v>
      </c>
      <c r="C18" s="9" t="s">
        <v>643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364154.75</v>
      </c>
      <c r="AJ18" s="2">
        <v>70148</v>
      </c>
      <c r="AK18" s="2">
        <v>6502.77</v>
      </c>
      <c r="AL18" s="2">
        <v>1252.6400000000001</v>
      </c>
      <c r="AM18" s="5">
        <v>3877.71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13029.09</v>
      </c>
      <c r="AT18" s="12">
        <v>11633.12</v>
      </c>
      <c r="AU18" s="2">
        <v>232.66</v>
      </c>
      <c r="AV18" s="5">
        <v>0</v>
      </c>
      <c r="AX18" s="2">
        <v>364154.75</v>
      </c>
      <c r="AY18" s="2">
        <v>70148</v>
      </c>
      <c r="AZ18" s="2">
        <v>6502.77</v>
      </c>
      <c r="BA18" s="2">
        <v>1252.6400000000001</v>
      </c>
      <c r="BB18" s="5">
        <v>3877.71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13029.09</v>
      </c>
      <c r="BI18" s="12">
        <v>11633.12</v>
      </c>
      <c r="BJ18" s="2">
        <v>232.66</v>
      </c>
      <c r="BK18" s="5">
        <v>0</v>
      </c>
      <c r="BL18" s="1" t="s">
        <v>90</v>
      </c>
    </row>
    <row r="19" spans="1:64" x14ac:dyDescent="0.3">
      <c r="A19" t="s">
        <v>744</v>
      </c>
      <c r="B19" s="1" t="s">
        <v>744</v>
      </c>
      <c r="C19" s="9" t="s">
        <v>745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865319.29</v>
      </c>
      <c r="AJ19" s="2">
        <v>189358</v>
      </c>
      <c r="AK19" s="2">
        <v>15452.140000000001</v>
      </c>
      <c r="AL19" s="2">
        <v>3381.39</v>
      </c>
      <c r="AM19" s="5">
        <v>9416.7599999999984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31640.32</v>
      </c>
      <c r="AT19" s="12">
        <v>28250.29</v>
      </c>
      <c r="AU19" s="2">
        <v>565</v>
      </c>
      <c r="AV19" s="5">
        <v>0</v>
      </c>
      <c r="AX19" s="2">
        <v>865319.29</v>
      </c>
      <c r="AY19" s="2">
        <v>189358</v>
      </c>
      <c r="AZ19" s="2">
        <v>15452.140000000001</v>
      </c>
      <c r="BA19" s="2">
        <v>3381.39</v>
      </c>
      <c r="BB19" s="5">
        <v>9416.7599999999984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31640.32</v>
      </c>
      <c r="BI19" s="12">
        <v>28250.29</v>
      </c>
      <c r="BJ19" s="2">
        <v>565</v>
      </c>
      <c r="BK19" s="5">
        <v>0</v>
      </c>
      <c r="BL19" s="1" t="s">
        <v>90</v>
      </c>
    </row>
    <row r="20" spans="1:64" x14ac:dyDescent="0.3">
      <c r="A20" t="s">
        <v>748</v>
      </c>
      <c r="B20" s="1" t="s">
        <v>748</v>
      </c>
      <c r="C20" s="9" t="s">
        <v>749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736781</v>
      </c>
      <c r="AJ20" s="2">
        <v>227673</v>
      </c>
      <c r="AK20" s="2">
        <v>13156.8</v>
      </c>
      <c r="AL20" s="2">
        <v>4065.59</v>
      </c>
      <c r="AM20" s="5">
        <v>8611.2000000000007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28933.62</v>
      </c>
      <c r="AT20" s="12">
        <v>25833.59</v>
      </c>
      <c r="AU20" s="2">
        <v>516.66999999999996</v>
      </c>
      <c r="AV20" s="5">
        <v>0</v>
      </c>
      <c r="AX20" s="2">
        <v>736781</v>
      </c>
      <c r="AY20" s="2">
        <v>227673</v>
      </c>
      <c r="AZ20" s="2">
        <v>13156.8</v>
      </c>
      <c r="BA20" s="2">
        <v>4065.59</v>
      </c>
      <c r="BB20" s="5">
        <v>8611.2000000000007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28933.62</v>
      </c>
      <c r="BI20" s="12">
        <v>25833.59</v>
      </c>
      <c r="BJ20" s="2">
        <v>516.66999999999996</v>
      </c>
      <c r="BK20" s="5">
        <v>0</v>
      </c>
      <c r="BL20" s="1" t="s">
        <v>90</v>
      </c>
    </row>
    <row r="21" spans="1:64" x14ac:dyDescent="0.3">
      <c r="A21" t="s">
        <v>777</v>
      </c>
      <c r="B21" s="1" t="s">
        <v>777</v>
      </c>
      <c r="C21" s="9" t="s">
        <v>778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534112</v>
      </c>
      <c r="AJ21" s="2">
        <v>171639</v>
      </c>
      <c r="AK21" s="2">
        <v>9537.7200000000012</v>
      </c>
      <c r="AL21" s="2">
        <v>3064.9799999999996</v>
      </c>
      <c r="AM21" s="5">
        <v>6301.35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21172.54</v>
      </c>
      <c r="AT21" s="12">
        <v>18904.050000000003</v>
      </c>
      <c r="AU21" s="2">
        <v>378.08000000000004</v>
      </c>
      <c r="AV21" s="5">
        <v>0</v>
      </c>
      <c r="AX21" s="2">
        <v>534112</v>
      </c>
      <c r="AY21" s="2">
        <v>171639</v>
      </c>
      <c r="AZ21" s="2">
        <v>9537.7200000000012</v>
      </c>
      <c r="BA21" s="2">
        <v>3064.9799999999996</v>
      </c>
      <c r="BB21" s="5">
        <v>6301.35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21172.54</v>
      </c>
      <c r="BI21" s="12">
        <v>18904.050000000003</v>
      </c>
      <c r="BJ21" s="2">
        <v>378.08000000000004</v>
      </c>
      <c r="BK21" s="5">
        <v>0</v>
      </c>
      <c r="BL21" s="1" t="s">
        <v>90</v>
      </c>
    </row>
    <row r="22" spans="1:64" x14ac:dyDescent="0.3">
      <c r="A22" t="s">
        <v>800</v>
      </c>
      <c r="B22" s="1" t="s">
        <v>800</v>
      </c>
      <c r="C22" s="9" t="s">
        <v>801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560548</v>
      </c>
      <c r="AJ22" s="2">
        <v>168807</v>
      </c>
      <c r="AK22" s="2">
        <v>10009.790000000001</v>
      </c>
      <c r="AL22" s="2">
        <v>3014.41</v>
      </c>
      <c r="AM22" s="5">
        <v>6512.09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21880.639999999999</v>
      </c>
      <c r="AT22" s="12">
        <v>19536.29</v>
      </c>
      <c r="AU22" s="2">
        <v>390.73</v>
      </c>
      <c r="AV22" s="5">
        <v>0</v>
      </c>
      <c r="AX22" s="2">
        <v>560548</v>
      </c>
      <c r="AY22" s="2">
        <v>168807</v>
      </c>
      <c r="AZ22" s="2">
        <v>10009.790000000001</v>
      </c>
      <c r="BA22" s="2">
        <v>3014.41</v>
      </c>
      <c r="BB22" s="5">
        <v>6512.09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21880.639999999999</v>
      </c>
      <c r="BI22" s="12">
        <v>19536.29</v>
      </c>
      <c r="BJ22" s="2">
        <v>390.73</v>
      </c>
      <c r="BK22" s="5">
        <v>0</v>
      </c>
      <c r="BL22" s="1" t="s">
        <v>90</v>
      </c>
    </row>
    <row r="23" spans="1:64" x14ac:dyDescent="0.3">
      <c r="A23" t="s">
        <v>849</v>
      </c>
      <c r="B23" s="1" t="s">
        <v>849</v>
      </c>
      <c r="C23" s="9" t="s">
        <v>850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437323.5</v>
      </c>
      <c r="AJ23" s="2">
        <v>282356.5</v>
      </c>
      <c r="AK23" s="2">
        <v>7809.35</v>
      </c>
      <c r="AL23" s="2">
        <v>5042.08</v>
      </c>
      <c r="AM23" s="5">
        <v>6425.71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21590.400000000001</v>
      </c>
      <c r="AT23" s="12">
        <v>19277.14</v>
      </c>
      <c r="AU23" s="2">
        <v>385.54</v>
      </c>
      <c r="AV23" s="5">
        <v>0</v>
      </c>
      <c r="AX23" s="2">
        <v>437323.5</v>
      </c>
      <c r="AY23" s="2">
        <v>282356.5</v>
      </c>
      <c r="AZ23" s="2">
        <v>7809.35</v>
      </c>
      <c r="BA23" s="2">
        <v>5042.08</v>
      </c>
      <c r="BB23" s="5">
        <v>6425.71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21590.400000000001</v>
      </c>
      <c r="BI23" s="12">
        <v>19277.14</v>
      </c>
      <c r="BJ23" s="2">
        <v>385.54</v>
      </c>
      <c r="BK23" s="5">
        <v>0</v>
      </c>
      <c r="BL23" s="1" t="s">
        <v>90</v>
      </c>
    </row>
    <row r="24" spans="1:64" x14ac:dyDescent="0.3">
      <c r="A24" t="s">
        <v>860</v>
      </c>
      <c r="B24" s="1" t="s">
        <v>860</v>
      </c>
      <c r="C24" s="9" t="s">
        <v>861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1044874.09</v>
      </c>
      <c r="AJ24" s="2">
        <v>155729</v>
      </c>
      <c r="AK24" s="2">
        <v>18658.46</v>
      </c>
      <c r="AL24" s="2">
        <v>2780.87</v>
      </c>
      <c r="AM24" s="5">
        <v>10719.67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36018.080000000002</v>
      </c>
      <c r="AT24" s="12">
        <v>32159</v>
      </c>
      <c r="AU24" s="2">
        <v>643.17999999999995</v>
      </c>
      <c r="AV24" s="5">
        <v>0</v>
      </c>
      <c r="AX24" s="2">
        <v>1044874.09</v>
      </c>
      <c r="AY24" s="2">
        <v>155729</v>
      </c>
      <c r="AZ24" s="2">
        <v>18658.46</v>
      </c>
      <c r="BA24" s="2">
        <v>2780.87</v>
      </c>
      <c r="BB24" s="5">
        <v>10719.67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36018.080000000002</v>
      </c>
      <c r="BI24" s="12">
        <v>32159</v>
      </c>
      <c r="BJ24" s="2">
        <v>643.17999999999995</v>
      </c>
      <c r="BK24" s="5">
        <v>0</v>
      </c>
      <c r="BL24" s="1" t="s">
        <v>90</v>
      </c>
    </row>
    <row r="25" spans="1:64" x14ac:dyDescent="0.3">
      <c r="A25" t="s">
        <v>1084</v>
      </c>
      <c r="B25" s="1" t="s">
        <v>1084</v>
      </c>
      <c r="C25" s="9" t="s">
        <v>1085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401488</v>
      </c>
      <c r="AJ25" s="2">
        <v>95943</v>
      </c>
      <c r="AK25" s="2">
        <v>7169.43</v>
      </c>
      <c r="AL25" s="2">
        <v>1713.2600000000002</v>
      </c>
      <c r="AM25" s="5">
        <v>4441.3500000000004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14922.92</v>
      </c>
      <c r="AT25" s="12">
        <v>13324.04</v>
      </c>
      <c r="AU25" s="2">
        <v>266.48</v>
      </c>
      <c r="AV25" s="5">
        <v>0</v>
      </c>
      <c r="AX25" s="2">
        <v>401488</v>
      </c>
      <c r="AY25" s="2">
        <v>95943</v>
      </c>
      <c r="AZ25" s="2">
        <v>7169.43</v>
      </c>
      <c r="BA25" s="2">
        <v>1713.2600000000002</v>
      </c>
      <c r="BB25" s="5">
        <v>4441.3500000000004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14922.92</v>
      </c>
      <c r="BI25" s="12">
        <v>13324.04</v>
      </c>
      <c r="BJ25" s="2">
        <v>266.48</v>
      </c>
      <c r="BK25" s="5">
        <v>0</v>
      </c>
      <c r="BL25" s="1" t="s">
        <v>90</v>
      </c>
    </row>
    <row r="26" spans="1:64" x14ac:dyDescent="0.3">
      <c r="A26" t="s">
        <v>1227</v>
      </c>
      <c r="B26" s="1" t="s">
        <v>1227</v>
      </c>
      <c r="C26" s="9" t="s">
        <v>1228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291713.40000000002</v>
      </c>
      <c r="AJ26" s="2">
        <v>34564</v>
      </c>
      <c r="AK26" s="2">
        <v>5209.17</v>
      </c>
      <c r="AL26" s="2">
        <v>617.21</v>
      </c>
      <c r="AM26" s="5">
        <v>2913.19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9788.32</v>
      </c>
      <c r="AT26" s="12">
        <v>8739.57</v>
      </c>
      <c r="AU26" s="2">
        <v>174.79</v>
      </c>
      <c r="AV26" s="5">
        <v>0</v>
      </c>
      <c r="AX26" s="2">
        <v>291713.40000000002</v>
      </c>
      <c r="AY26" s="2">
        <v>34564</v>
      </c>
      <c r="AZ26" s="2">
        <v>5209.17</v>
      </c>
      <c r="BA26" s="2">
        <v>617.21</v>
      </c>
      <c r="BB26" s="5">
        <v>2913.19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9788.32</v>
      </c>
      <c r="BI26" s="12">
        <v>8739.57</v>
      </c>
      <c r="BJ26" s="2">
        <v>174.79</v>
      </c>
      <c r="BK26" s="5">
        <v>0</v>
      </c>
      <c r="BL26" s="1" t="s">
        <v>90</v>
      </c>
    </row>
    <row r="27" spans="1:64" x14ac:dyDescent="0.3">
      <c r="A27" t="s">
        <v>329</v>
      </c>
      <c r="B27" s="1" t="s">
        <v>329</v>
      </c>
      <c r="C27" s="9" t="s">
        <v>330</v>
      </c>
      <c r="D27" s="1" t="s">
        <v>41</v>
      </c>
      <c r="E27" s="1" t="s">
        <v>128</v>
      </c>
      <c r="F27" s="10" t="s">
        <v>331</v>
      </c>
      <c r="G27" s="1">
        <v>3.5000000000000003E-2</v>
      </c>
      <c r="H27" s="1">
        <v>0.02</v>
      </c>
      <c r="I27" s="8">
        <v>45136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1141473.8999999999</v>
      </c>
      <c r="AJ27" s="2">
        <v>152393</v>
      </c>
      <c r="AK27" s="2">
        <v>20383.46</v>
      </c>
      <c r="AL27" s="2">
        <v>2721.31</v>
      </c>
      <c r="AM27" s="5">
        <v>11552.380000000001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38816.01</v>
      </c>
      <c r="AT27" s="12">
        <v>34657.15</v>
      </c>
      <c r="AU27" s="2">
        <v>693.15</v>
      </c>
      <c r="AV27" s="5">
        <v>0</v>
      </c>
      <c r="AX27" s="2">
        <v>1141473.8999999999</v>
      </c>
      <c r="AY27" s="2">
        <v>152393</v>
      </c>
      <c r="AZ27" s="2">
        <v>20383.46</v>
      </c>
      <c r="BA27" s="2">
        <v>2721.31</v>
      </c>
      <c r="BB27" s="5">
        <v>11552.380000000001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38816.01</v>
      </c>
      <c r="BI27" s="12">
        <v>34657.15</v>
      </c>
      <c r="BJ27" s="2">
        <v>693.15</v>
      </c>
      <c r="BK27" s="5">
        <v>0</v>
      </c>
      <c r="BL27" s="1" t="s">
        <v>130</v>
      </c>
    </row>
    <row r="28" spans="1:64" x14ac:dyDescent="0.3">
      <c r="A28" t="s">
        <v>370</v>
      </c>
      <c r="B28" s="1" t="s">
        <v>370</v>
      </c>
      <c r="C28" s="9" t="s">
        <v>371</v>
      </c>
      <c r="D28" s="1" t="s">
        <v>41</v>
      </c>
      <c r="E28" s="1" t="s">
        <v>128</v>
      </c>
      <c r="F28" s="10" t="s">
        <v>372</v>
      </c>
      <c r="G28" s="1">
        <v>3.5000000000000003E-2</v>
      </c>
      <c r="H28" s="1">
        <v>0.02</v>
      </c>
      <c r="I28" s="8">
        <v>44741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1848087.8</v>
      </c>
      <c r="AJ28" s="2">
        <v>126758.11</v>
      </c>
      <c r="AK28" s="2">
        <v>33001.56</v>
      </c>
      <c r="AL28" s="2">
        <v>2263.5299999999997</v>
      </c>
      <c r="AM28" s="5">
        <v>17632.54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59245.35</v>
      </c>
      <c r="AT28" s="12">
        <v>52897.63</v>
      </c>
      <c r="AU28" s="2">
        <v>1057.9499999999998</v>
      </c>
      <c r="AV28" s="5">
        <v>0</v>
      </c>
      <c r="AX28" s="2">
        <v>1848087.8</v>
      </c>
      <c r="AY28" s="2">
        <v>126758.11</v>
      </c>
      <c r="AZ28" s="2">
        <v>33001.56</v>
      </c>
      <c r="BA28" s="2">
        <v>2263.5299999999997</v>
      </c>
      <c r="BB28" s="5">
        <v>17632.54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59245.35</v>
      </c>
      <c r="BI28" s="12">
        <v>52897.63</v>
      </c>
      <c r="BJ28" s="2">
        <v>1057.9499999999998</v>
      </c>
      <c r="BK28" s="5">
        <v>0</v>
      </c>
      <c r="BL28" s="1" t="s">
        <v>130</v>
      </c>
    </row>
    <row r="29" spans="1:64" x14ac:dyDescent="0.3">
      <c r="A29" t="s">
        <v>386</v>
      </c>
      <c r="B29" s="1" t="s">
        <v>386</v>
      </c>
      <c r="C29" s="9" t="s">
        <v>387</v>
      </c>
      <c r="D29" s="1" t="s">
        <v>41</v>
      </c>
      <c r="E29" s="1" t="s">
        <v>128</v>
      </c>
      <c r="F29" s="10" t="s">
        <v>372</v>
      </c>
      <c r="G29" s="1">
        <v>3.5000000000000003E-2</v>
      </c>
      <c r="H29" s="1">
        <v>0.02</v>
      </c>
      <c r="I29" s="8">
        <v>44835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1424431.2999999998</v>
      </c>
      <c r="AJ29" s="2">
        <v>89189.2</v>
      </c>
      <c r="AK29" s="2">
        <v>25436.280000000002</v>
      </c>
      <c r="AL29" s="2">
        <v>1592.6599999999999</v>
      </c>
      <c r="AM29" s="5">
        <v>13514.460000000001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45408.61</v>
      </c>
      <c r="AT29" s="12">
        <v>40543.4</v>
      </c>
      <c r="AU29" s="2">
        <v>810.87000000000012</v>
      </c>
      <c r="AV29" s="5">
        <v>0</v>
      </c>
      <c r="AX29" s="2">
        <v>1424431.2999999998</v>
      </c>
      <c r="AY29" s="2">
        <v>89189.2</v>
      </c>
      <c r="AZ29" s="2">
        <v>25436.280000000002</v>
      </c>
      <c r="BA29" s="2">
        <v>1592.6599999999999</v>
      </c>
      <c r="BB29" s="5">
        <v>13514.460000000001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45408.61</v>
      </c>
      <c r="BI29" s="12">
        <v>40543.4</v>
      </c>
      <c r="BJ29" s="2">
        <v>810.87000000000012</v>
      </c>
      <c r="BK29" s="5">
        <v>0</v>
      </c>
      <c r="BL29" s="1" t="s">
        <v>130</v>
      </c>
    </row>
    <row r="30" spans="1:64" x14ac:dyDescent="0.3">
      <c r="A30" t="s">
        <v>460</v>
      </c>
      <c r="B30" s="1" t="s">
        <v>460</v>
      </c>
      <c r="C30" s="9" t="s">
        <v>461</v>
      </c>
      <c r="D30" s="1" t="s">
        <v>41</v>
      </c>
      <c r="E30" s="1" t="s">
        <v>135</v>
      </c>
      <c r="F30" s="10" t="s">
        <v>462</v>
      </c>
      <c r="G30" s="1">
        <v>3.5000000000000003E-2</v>
      </c>
      <c r="H30" s="1">
        <v>0.02</v>
      </c>
      <c r="I30" s="8">
        <v>45315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892955.05</v>
      </c>
      <c r="AJ30" s="2">
        <v>103010</v>
      </c>
      <c r="AK30" s="2">
        <v>15945.630000000001</v>
      </c>
      <c r="AL30" s="2">
        <v>1839.46</v>
      </c>
      <c r="AM30" s="5">
        <v>8892.5400000000009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29878.95</v>
      </c>
      <c r="AT30" s="12">
        <v>26677.63</v>
      </c>
      <c r="AU30" s="2">
        <v>533.54999999999995</v>
      </c>
      <c r="AV30" s="5">
        <v>0</v>
      </c>
      <c r="AX30" s="2">
        <v>892955.05</v>
      </c>
      <c r="AY30" s="2">
        <v>103010</v>
      </c>
      <c r="AZ30" s="2">
        <v>15945.630000000001</v>
      </c>
      <c r="BA30" s="2">
        <v>1839.46</v>
      </c>
      <c r="BB30" s="5">
        <v>8892.5400000000009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29878.95</v>
      </c>
      <c r="BI30" s="12">
        <v>26677.63</v>
      </c>
      <c r="BJ30" s="2">
        <v>533.54999999999995</v>
      </c>
      <c r="BK30" s="5">
        <v>0</v>
      </c>
      <c r="BL30" s="1" t="s">
        <v>302</v>
      </c>
    </row>
    <row r="31" spans="1:64" x14ac:dyDescent="0.3">
      <c r="A31" t="s">
        <v>490</v>
      </c>
      <c r="B31" s="1" t="s">
        <v>490</v>
      </c>
      <c r="C31" s="9" t="s">
        <v>491</v>
      </c>
      <c r="D31" s="1" t="s">
        <v>41</v>
      </c>
      <c r="E31" s="1" t="s">
        <v>135</v>
      </c>
      <c r="F31" s="10" t="s">
        <v>462</v>
      </c>
      <c r="G31" s="1">
        <v>0</v>
      </c>
      <c r="H31" s="1">
        <v>0.02</v>
      </c>
      <c r="I31" s="8">
        <v>45387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595349.1</v>
      </c>
      <c r="AJ31" s="2">
        <v>107173</v>
      </c>
      <c r="AK31" s="2">
        <v>10631.23</v>
      </c>
      <c r="AL31" s="2">
        <v>1913.8</v>
      </c>
      <c r="AM31" s="5">
        <v>6272.52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21075.66</v>
      </c>
      <c r="AT31" s="12">
        <v>18817.55</v>
      </c>
      <c r="AU31" s="2">
        <v>376.34999999999997</v>
      </c>
      <c r="AV31" s="5">
        <v>0</v>
      </c>
      <c r="AX31" s="2">
        <v>595349.1</v>
      </c>
      <c r="AY31" s="2">
        <v>107173</v>
      </c>
      <c r="AZ31" s="2">
        <v>10631.23</v>
      </c>
      <c r="BA31" s="2">
        <v>1913.8</v>
      </c>
      <c r="BB31" s="5">
        <v>6272.52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21075.66</v>
      </c>
      <c r="BI31" s="12">
        <v>18817.55</v>
      </c>
      <c r="BJ31" s="2">
        <v>376.34999999999997</v>
      </c>
      <c r="BK31" s="5">
        <v>0</v>
      </c>
      <c r="BL31" s="1" t="s">
        <v>302</v>
      </c>
    </row>
    <row r="32" spans="1:64" x14ac:dyDescent="0.3">
      <c r="A32" t="s">
        <v>524</v>
      </c>
      <c r="B32" s="1" t="s">
        <v>524</v>
      </c>
      <c r="C32" s="9" t="s">
        <v>525</v>
      </c>
      <c r="D32" s="1" t="s">
        <v>41</v>
      </c>
      <c r="E32" s="1" t="s">
        <v>128</v>
      </c>
      <c r="F32" s="10" t="s">
        <v>372</v>
      </c>
      <c r="G32" s="1">
        <v>3.5000000000000003E-2</v>
      </c>
      <c r="H32" s="1">
        <v>0.02</v>
      </c>
      <c r="I32" s="8">
        <v>45242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1500825.9500000002</v>
      </c>
      <c r="AJ32" s="2">
        <v>44239.08</v>
      </c>
      <c r="AK32" s="2">
        <v>26800.47</v>
      </c>
      <c r="AL32" s="2">
        <v>789.99</v>
      </c>
      <c r="AM32" s="5">
        <v>13795.23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46351.97</v>
      </c>
      <c r="AT32" s="12">
        <v>41385.689999999995</v>
      </c>
      <c r="AU32" s="2">
        <v>827.71999999999991</v>
      </c>
      <c r="AV32" s="5">
        <v>0</v>
      </c>
      <c r="AX32" s="2">
        <v>1500825.9500000002</v>
      </c>
      <c r="AY32" s="2">
        <v>44239.08</v>
      </c>
      <c r="AZ32" s="2">
        <v>26800.47</v>
      </c>
      <c r="BA32" s="2">
        <v>789.99</v>
      </c>
      <c r="BB32" s="5">
        <v>13795.23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46351.97</v>
      </c>
      <c r="BI32" s="12">
        <v>41385.689999999995</v>
      </c>
      <c r="BJ32" s="2">
        <v>827.71999999999991</v>
      </c>
      <c r="BK32" s="5">
        <v>0</v>
      </c>
      <c r="BL32" s="1" t="s">
        <v>130</v>
      </c>
    </row>
    <row r="33" spans="1:64" x14ac:dyDescent="0.3">
      <c r="A33" t="s">
        <v>627</v>
      </c>
      <c r="B33" s="1" t="s">
        <v>627</v>
      </c>
      <c r="C33" s="9" t="s">
        <v>628</v>
      </c>
      <c r="D33" s="1" t="s">
        <v>41</v>
      </c>
      <c r="E33" s="1" t="s">
        <v>135</v>
      </c>
      <c r="F33" s="10" t="s">
        <v>462</v>
      </c>
      <c r="G33" s="1">
        <v>3.5000000000000003E-2</v>
      </c>
      <c r="H33" s="1">
        <v>0.02</v>
      </c>
      <c r="I33" s="8">
        <v>45017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626733.65</v>
      </c>
      <c r="AJ33" s="2">
        <v>116196.25</v>
      </c>
      <c r="AK33" s="2">
        <v>11191.67</v>
      </c>
      <c r="AL33" s="2">
        <v>2074.94</v>
      </c>
      <c r="AM33" s="5">
        <v>6633.3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22287.9</v>
      </c>
      <c r="AT33" s="12">
        <v>19899.91</v>
      </c>
      <c r="AU33" s="2">
        <v>398</v>
      </c>
      <c r="AV33" s="5">
        <v>0</v>
      </c>
      <c r="AX33" s="2">
        <v>626733.65</v>
      </c>
      <c r="AY33" s="2">
        <v>116196.25</v>
      </c>
      <c r="AZ33" s="2">
        <v>11191.67</v>
      </c>
      <c r="BA33" s="2">
        <v>2074.94</v>
      </c>
      <c r="BB33" s="5">
        <v>6633.3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22287.9</v>
      </c>
      <c r="BI33" s="12">
        <v>19899.91</v>
      </c>
      <c r="BJ33" s="2">
        <v>398</v>
      </c>
      <c r="BK33" s="5">
        <v>0</v>
      </c>
      <c r="BL33" s="1" t="s">
        <v>302</v>
      </c>
    </row>
    <row r="34" spans="1:64" x14ac:dyDescent="0.3">
      <c r="A34" t="s">
        <v>656</v>
      </c>
      <c r="B34" s="1" t="s">
        <v>656</v>
      </c>
      <c r="C34" s="9" t="s">
        <v>657</v>
      </c>
      <c r="D34" s="1" t="s">
        <v>41</v>
      </c>
      <c r="E34" s="1" t="s">
        <v>128</v>
      </c>
      <c r="F34" s="10" t="s">
        <v>372</v>
      </c>
      <c r="G34" s="1">
        <v>3.5000000000000003E-2</v>
      </c>
      <c r="H34" s="1">
        <v>0.02</v>
      </c>
      <c r="I34" s="8">
        <v>45276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829904.33999999985</v>
      </c>
      <c r="AJ34" s="2">
        <v>59629.85</v>
      </c>
      <c r="AK34" s="2">
        <v>14819.72</v>
      </c>
      <c r="AL34" s="2">
        <v>1064.82</v>
      </c>
      <c r="AM34" s="5">
        <v>7942.27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26686.03</v>
      </c>
      <c r="AT34" s="12">
        <v>23826.809999999998</v>
      </c>
      <c r="AU34" s="2">
        <v>476.54</v>
      </c>
      <c r="AV34" s="5">
        <v>0</v>
      </c>
      <c r="AX34" s="2">
        <v>829904.33999999985</v>
      </c>
      <c r="AY34" s="2">
        <v>59629.85</v>
      </c>
      <c r="AZ34" s="2">
        <v>14819.72</v>
      </c>
      <c r="BA34" s="2">
        <v>1064.82</v>
      </c>
      <c r="BB34" s="5">
        <v>7942.27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26686.03</v>
      </c>
      <c r="BI34" s="12">
        <v>23826.809999999998</v>
      </c>
      <c r="BJ34" s="2">
        <v>476.54</v>
      </c>
      <c r="BK34" s="5">
        <v>0</v>
      </c>
      <c r="BL34" s="1" t="s">
        <v>130</v>
      </c>
    </row>
    <row r="35" spans="1:64" x14ac:dyDescent="0.3">
      <c r="A35" t="s">
        <v>662</v>
      </c>
      <c r="B35" s="1" t="s">
        <v>662</v>
      </c>
      <c r="C35" s="9" t="s">
        <v>663</v>
      </c>
      <c r="D35" s="1" t="s">
        <v>41</v>
      </c>
      <c r="E35" s="1" t="s">
        <v>88</v>
      </c>
      <c r="F35" s="10" t="s">
        <v>664</v>
      </c>
      <c r="G35" s="1">
        <v>3.5000000000000003E-2</v>
      </c>
      <c r="H35" s="1">
        <v>0.02</v>
      </c>
      <c r="I35" s="8">
        <v>45342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625788</v>
      </c>
      <c r="AJ35" s="2">
        <v>55366</v>
      </c>
      <c r="AK35" s="2">
        <v>11174.79</v>
      </c>
      <c r="AL35" s="2">
        <v>988.68</v>
      </c>
      <c r="AM35" s="5">
        <v>6081.73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20434.62</v>
      </c>
      <c r="AT35" s="12">
        <v>18245.2</v>
      </c>
      <c r="AU35" s="2">
        <v>364.9</v>
      </c>
      <c r="AV35" s="5">
        <v>0</v>
      </c>
      <c r="AX35" s="2">
        <v>625788</v>
      </c>
      <c r="AY35" s="2">
        <v>55366</v>
      </c>
      <c r="AZ35" s="2">
        <v>11174.79</v>
      </c>
      <c r="BA35" s="2">
        <v>988.68</v>
      </c>
      <c r="BB35" s="5">
        <v>6081.73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20434.62</v>
      </c>
      <c r="BI35" s="12">
        <v>18245.2</v>
      </c>
      <c r="BJ35" s="2">
        <v>364.9</v>
      </c>
      <c r="BK35" s="5">
        <v>0</v>
      </c>
      <c r="BL35" s="1" t="s">
        <v>546</v>
      </c>
    </row>
    <row r="36" spans="1:64" x14ac:dyDescent="0.3">
      <c r="A36" t="s">
        <v>669</v>
      </c>
      <c r="B36" s="1" t="s">
        <v>669</v>
      </c>
      <c r="C36" s="9" t="s">
        <v>670</v>
      </c>
      <c r="D36" s="1" t="s">
        <v>41</v>
      </c>
      <c r="E36" s="1" t="s">
        <v>88</v>
      </c>
      <c r="F36" s="10" t="s">
        <v>671</v>
      </c>
      <c r="G36" s="1">
        <v>0</v>
      </c>
      <c r="H36" s="1">
        <v>0.02</v>
      </c>
      <c r="I36" s="8">
        <v>45620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316121</v>
      </c>
      <c r="AJ36" s="2">
        <v>51218</v>
      </c>
      <c r="AK36" s="2">
        <v>5645.02</v>
      </c>
      <c r="AL36" s="2">
        <v>914.61</v>
      </c>
      <c r="AM36" s="5">
        <v>3279.81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11020.17</v>
      </c>
      <c r="AT36" s="12">
        <v>9839.44</v>
      </c>
      <c r="AU36" s="2">
        <v>196.79</v>
      </c>
      <c r="AV36" s="5">
        <v>0</v>
      </c>
      <c r="AX36" s="2">
        <v>316121</v>
      </c>
      <c r="AY36" s="2">
        <v>51218</v>
      </c>
      <c r="AZ36" s="2">
        <v>5645.02</v>
      </c>
      <c r="BA36" s="2">
        <v>914.61</v>
      </c>
      <c r="BB36" s="5">
        <v>3279.81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11020.17</v>
      </c>
      <c r="BI36" s="12">
        <v>9839.44</v>
      </c>
      <c r="BJ36" s="2">
        <v>196.79</v>
      </c>
      <c r="BK36" s="5">
        <v>0</v>
      </c>
      <c r="BL36" s="1" t="s">
        <v>90</v>
      </c>
    </row>
    <row r="37" spans="1:64" x14ac:dyDescent="0.3">
      <c r="A37" t="s">
        <v>676</v>
      </c>
      <c r="B37" s="1" t="s">
        <v>676</v>
      </c>
      <c r="C37" s="9" t="s">
        <v>677</v>
      </c>
      <c r="D37" s="1" t="s">
        <v>41</v>
      </c>
      <c r="E37" s="1" t="s">
        <v>88</v>
      </c>
      <c r="F37" s="10" t="s">
        <v>664</v>
      </c>
      <c r="G37" s="1">
        <v>0</v>
      </c>
      <c r="H37" s="1">
        <v>0.02</v>
      </c>
      <c r="I37" s="8">
        <v>45683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502485</v>
      </c>
      <c r="AJ37" s="2">
        <v>91400</v>
      </c>
      <c r="AK37" s="2">
        <v>8972.9500000000007</v>
      </c>
      <c r="AL37" s="2">
        <v>1632.14</v>
      </c>
      <c r="AM37" s="5">
        <v>5302.54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17816.55</v>
      </c>
      <c r="AT37" s="12">
        <v>15907.630000000001</v>
      </c>
      <c r="AU37" s="2">
        <v>318.14999999999998</v>
      </c>
      <c r="AV37" s="5">
        <v>0</v>
      </c>
      <c r="AX37" s="2">
        <v>502485</v>
      </c>
      <c r="AY37" s="2">
        <v>91400</v>
      </c>
      <c r="AZ37" s="2">
        <v>8972.9500000000007</v>
      </c>
      <c r="BA37" s="2">
        <v>1632.14</v>
      </c>
      <c r="BB37" s="5">
        <v>5302.54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17816.55</v>
      </c>
      <c r="BI37" s="12">
        <v>15907.630000000001</v>
      </c>
      <c r="BJ37" s="2">
        <v>318.14999999999998</v>
      </c>
      <c r="BK37" s="5">
        <v>0</v>
      </c>
      <c r="BL37" s="1" t="s">
        <v>546</v>
      </c>
    </row>
    <row r="38" spans="1:64" x14ac:dyDescent="0.3">
      <c r="A38" t="s">
        <v>690</v>
      </c>
      <c r="B38" s="1" t="s">
        <v>690</v>
      </c>
      <c r="C38" s="9" t="s">
        <v>691</v>
      </c>
      <c r="D38" s="1" t="s">
        <v>41</v>
      </c>
      <c r="E38" s="1" t="s">
        <v>88</v>
      </c>
      <c r="F38" s="10" t="s">
        <v>664</v>
      </c>
      <c r="G38" s="1">
        <v>0</v>
      </c>
      <c r="H38" s="1">
        <v>0.02</v>
      </c>
      <c r="I38" s="8">
        <v>44013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402048</v>
      </c>
      <c r="AJ38" s="2">
        <v>88964</v>
      </c>
      <c r="AK38" s="2">
        <v>7179.43</v>
      </c>
      <c r="AL38" s="2">
        <v>1588.64</v>
      </c>
      <c r="AM38" s="5">
        <v>4384.04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14730.36</v>
      </c>
      <c r="AT38" s="12">
        <v>13152.11</v>
      </c>
      <c r="AU38" s="2">
        <v>263.04000000000002</v>
      </c>
      <c r="AV38" s="5">
        <v>0</v>
      </c>
      <c r="AX38" s="2">
        <v>402048</v>
      </c>
      <c r="AY38" s="2">
        <v>88964</v>
      </c>
      <c r="AZ38" s="2">
        <v>7179.43</v>
      </c>
      <c r="BA38" s="2">
        <v>1588.64</v>
      </c>
      <c r="BB38" s="5">
        <v>4384.04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14730.36</v>
      </c>
      <c r="BI38" s="12">
        <v>13152.11</v>
      </c>
      <c r="BJ38" s="2">
        <v>263.04000000000002</v>
      </c>
      <c r="BK38" s="5">
        <v>0</v>
      </c>
      <c r="BL38" s="1" t="s">
        <v>546</v>
      </c>
    </row>
    <row r="39" spans="1:64" x14ac:dyDescent="0.3">
      <c r="A39" t="s">
        <v>692</v>
      </c>
      <c r="B39" s="1" t="s">
        <v>692</v>
      </c>
      <c r="C39" s="9" t="s">
        <v>693</v>
      </c>
      <c r="D39" s="1" t="s">
        <v>41</v>
      </c>
      <c r="E39" s="1" t="s">
        <v>128</v>
      </c>
      <c r="F39" s="10" t="s">
        <v>372</v>
      </c>
      <c r="G39" s="1">
        <v>3.5000000000000003E-2</v>
      </c>
      <c r="H39" s="1">
        <v>0.02</v>
      </c>
      <c r="I39" s="8">
        <v>44011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902778</v>
      </c>
      <c r="AJ39" s="2">
        <v>161237</v>
      </c>
      <c r="AK39" s="2">
        <v>16121.04</v>
      </c>
      <c r="AL39" s="2">
        <v>2879.2400000000002</v>
      </c>
      <c r="AM39" s="5">
        <v>9500.1400000000012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31920.47</v>
      </c>
      <c r="AT39" s="12">
        <v>28500.42</v>
      </c>
      <c r="AU39" s="2">
        <v>570.01</v>
      </c>
      <c r="AV39" s="5">
        <v>0</v>
      </c>
      <c r="AX39" s="2">
        <v>902778</v>
      </c>
      <c r="AY39" s="2">
        <v>161237</v>
      </c>
      <c r="AZ39" s="2">
        <v>16121.04</v>
      </c>
      <c r="BA39" s="2">
        <v>2879.2400000000002</v>
      </c>
      <c r="BB39" s="5">
        <v>9500.1400000000012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31920.47</v>
      </c>
      <c r="BI39" s="12">
        <v>28500.42</v>
      </c>
      <c r="BJ39" s="2">
        <v>570.01</v>
      </c>
      <c r="BK39" s="5">
        <v>0</v>
      </c>
      <c r="BL39" s="1" t="s">
        <v>130</v>
      </c>
    </row>
    <row r="40" spans="1:64" x14ac:dyDescent="0.3">
      <c r="A40" t="s">
        <v>781</v>
      </c>
      <c r="B40" s="1" t="s">
        <v>781</v>
      </c>
      <c r="C40" s="9" t="s">
        <v>782</v>
      </c>
      <c r="D40" s="1" t="s">
        <v>41</v>
      </c>
      <c r="E40" s="1" t="s">
        <v>88</v>
      </c>
      <c r="F40" s="10" t="s">
        <v>664</v>
      </c>
      <c r="G40" s="1">
        <v>0</v>
      </c>
      <c r="H40" s="1">
        <v>0.02</v>
      </c>
      <c r="I40" s="8">
        <v>44647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463347</v>
      </c>
      <c r="AJ40" s="2">
        <v>93987</v>
      </c>
      <c r="AK40" s="2">
        <v>8274.0499999999993</v>
      </c>
      <c r="AL40" s="2">
        <v>1678.3400000000001</v>
      </c>
      <c r="AM40" s="5">
        <v>4976.2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16720.02</v>
      </c>
      <c r="AT40" s="12">
        <v>14928.59</v>
      </c>
      <c r="AU40" s="2">
        <v>298.57</v>
      </c>
      <c r="AV40" s="5">
        <v>0</v>
      </c>
      <c r="AX40" s="2">
        <v>463347</v>
      </c>
      <c r="AY40" s="2">
        <v>93987</v>
      </c>
      <c r="AZ40" s="2">
        <v>8274.0499999999993</v>
      </c>
      <c r="BA40" s="2">
        <v>1678.3400000000001</v>
      </c>
      <c r="BB40" s="5">
        <v>4976.2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16720.02</v>
      </c>
      <c r="BI40" s="12">
        <v>14928.59</v>
      </c>
      <c r="BJ40" s="2">
        <v>298.57</v>
      </c>
      <c r="BK40" s="5">
        <v>0</v>
      </c>
      <c r="BL40" s="1" t="s">
        <v>546</v>
      </c>
    </row>
    <row r="41" spans="1:64" x14ac:dyDescent="0.3">
      <c r="A41" t="s">
        <v>795</v>
      </c>
      <c r="B41" s="1" t="s">
        <v>795</v>
      </c>
      <c r="C41" s="9" t="s">
        <v>796</v>
      </c>
      <c r="D41" s="1" t="s">
        <v>41</v>
      </c>
      <c r="E41" s="1" t="s">
        <v>135</v>
      </c>
      <c r="F41" s="10" t="s">
        <v>797</v>
      </c>
      <c r="G41" s="1">
        <v>0</v>
      </c>
      <c r="H41" s="1">
        <v>0.02</v>
      </c>
      <c r="I41" s="8">
        <v>44804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277422</v>
      </c>
      <c r="AJ41" s="2">
        <v>68766</v>
      </c>
      <c r="AK41" s="2">
        <v>4953.96</v>
      </c>
      <c r="AL41" s="2">
        <v>1227.96</v>
      </c>
      <c r="AM41" s="5">
        <v>3090.96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10385.629999999999</v>
      </c>
      <c r="AT41" s="12">
        <v>9272.8799999999992</v>
      </c>
      <c r="AU41" s="2">
        <v>185.46</v>
      </c>
      <c r="AV41" s="5">
        <v>0</v>
      </c>
      <c r="AX41" s="2">
        <v>277422</v>
      </c>
      <c r="AY41" s="2">
        <v>68766</v>
      </c>
      <c r="AZ41" s="2">
        <v>4953.96</v>
      </c>
      <c r="BA41" s="2">
        <v>1227.96</v>
      </c>
      <c r="BB41" s="5">
        <v>3090.96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10385.629999999999</v>
      </c>
      <c r="BI41" s="12">
        <v>9272.8799999999992</v>
      </c>
      <c r="BJ41" s="2">
        <v>185.46</v>
      </c>
      <c r="BK41" s="5">
        <v>0</v>
      </c>
      <c r="BL41" s="1" t="s">
        <v>302</v>
      </c>
    </row>
    <row r="42" spans="1:64" x14ac:dyDescent="0.3">
      <c r="A42" t="s">
        <v>816</v>
      </c>
      <c r="B42" s="1" t="s">
        <v>816</v>
      </c>
      <c r="C42" s="9" t="s">
        <v>817</v>
      </c>
      <c r="D42" s="1" t="s">
        <v>41</v>
      </c>
      <c r="E42" s="1" t="s">
        <v>135</v>
      </c>
      <c r="F42" s="10" t="s">
        <v>797</v>
      </c>
      <c r="G42" s="1">
        <v>0</v>
      </c>
      <c r="H42" s="1">
        <v>0.02</v>
      </c>
      <c r="I42" s="8">
        <v>44951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945253</v>
      </c>
      <c r="AJ42" s="2">
        <v>151977</v>
      </c>
      <c r="AK42" s="2">
        <v>16879.52</v>
      </c>
      <c r="AL42" s="2">
        <v>2713.87</v>
      </c>
      <c r="AM42" s="5">
        <v>9796.7000000000007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32916.9</v>
      </c>
      <c r="AT42" s="12">
        <v>29390.09</v>
      </c>
      <c r="AU42" s="2">
        <v>587.79999999999995</v>
      </c>
      <c r="AV42" s="5">
        <v>0</v>
      </c>
      <c r="AX42" s="2">
        <v>945253</v>
      </c>
      <c r="AY42" s="2">
        <v>151977</v>
      </c>
      <c r="AZ42" s="2">
        <v>16879.52</v>
      </c>
      <c r="BA42" s="2">
        <v>2713.87</v>
      </c>
      <c r="BB42" s="5">
        <v>9796.7000000000007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32916.9</v>
      </c>
      <c r="BI42" s="12">
        <v>29390.09</v>
      </c>
      <c r="BJ42" s="2">
        <v>587.79999999999995</v>
      </c>
      <c r="BK42" s="5">
        <v>0</v>
      </c>
      <c r="BL42" s="1" t="s">
        <v>302</v>
      </c>
    </row>
    <row r="43" spans="1:64" x14ac:dyDescent="0.3">
      <c r="A43" t="s">
        <v>824</v>
      </c>
      <c r="B43" s="1" t="s">
        <v>824</v>
      </c>
      <c r="C43" s="9" t="s">
        <v>825</v>
      </c>
      <c r="D43" s="1" t="s">
        <v>41</v>
      </c>
      <c r="E43" s="1" t="s">
        <v>135</v>
      </c>
      <c r="F43" s="10" t="s">
        <v>826</v>
      </c>
      <c r="G43" s="1">
        <v>0</v>
      </c>
      <c r="H43" s="1">
        <v>0.02</v>
      </c>
      <c r="I43" s="8">
        <v>45075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494825</v>
      </c>
      <c r="AJ43" s="2">
        <v>62442</v>
      </c>
      <c r="AK43" s="2">
        <v>8836.16</v>
      </c>
      <c r="AL43" s="2">
        <v>1115.04</v>
      </c>
      <c r="AM43" s="5">
        <v>4975.6000000000004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16718.02</v>
      </c>
      <c r="AT43" s="12">
        <v>14926.800000000001</v>
      </c>
      <c r="AU43" s="2">
        <v>298.54000000000002</v>
      </c>
      <c r="AV43" s="5">
        <v>0</v>
      </c>
      <c r="AX43" s="2">
        <v>494825</v>
      </c>
      <c r="AY43" s="2">
        <v>62442</v>
      </c>
      <c r="AZ43" s="2">
        <v>8836.16</v>
      </c>
      <c r="BA43" s="2">
        <v>1115.04</v>
      </c>
      <c r="BB43" s="5">
        <v>4975.6000000000004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16718.02</v>
      </c>
      <c r="BI43" s="12">
        <v>14926.800000000001</v>
      </c>
      <c r="BJ43" s="2">
        <v>298.54000000000002</v>
      </c>
      <c r="BK43" s="5">
        <v>0</v>
      </c>
      <c r="BL43" s="1" t="s">
        <v>302</v>
      </c>
    </row>
    <row r="44" spans="1:64" x14ac:dyDescent="0.3">
      <c r="A44" t="s">
        <v>886</v>
      </c>
      <c r="B44" s="1" t="s">
        <v>886</v>
      </c>
      <c r="C44" s="9" t="s">
        <v>887</v>
      </c>
      <c r="D44" s="1" t="s">
        <v>41</v>
      </c>
      <c r="E44" s="1" t="s">
        <v>135</v>
      </c>
      <c r="F44" s="10" t="s">
        <v>797</v>
      </c>
      <c r="G44" s="1">
        <v>0</v>
      </c>
      <c r="H44" s="1">
        <v>0.02</v>
      </c>
      <c r="I44" s="8">
        <v>45278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665171</v>
      </c>
      <c r="AJ44" s="2">
        <v>126960</v>
      </c>
      <c r="AK44" s="2">
        <v>11878.05</v>
      </c>
      <c r="AL44" s="2">
        <v>2267.14</v>
      </c>
      <c r="AM44" s="5">
        <v>7072.6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23763.919999999998</v>
      </c>
      <c r="AT44" s="12">
        <v>21217.79</v>
      </c>
      <c r="AU44" s="2">
        <v>424.36</v>
      </c>
      <c r="AV44" s="5">
        <v>0</v>
      </c>
      <c r="AX44" s="2">
        <v>665171</v>
      </c>
      <c r="AY44" s="2">
        <v>126960</v>
      </c>
      <c r="AZ44" s="2">
        <v>11878.05</v>
      </c>
      <c r="BA44" s="2">
        <v>2267.14</v>
      </c>
      <c r="BB44" s="5">
        <v>7072.6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23763.919999999998</v>
      </c>
      <c r="BI44" s="12">
        <v>21217.79</v>
      </c>
      <c r="BJ44" s="2">
        <v>424.36</v>
      </c>
      <c r="BK44" s="5">
        <v>0</v>
      </c>
      <c r="BL44" s="1" t="s">
        <v>302</v>
      </c>
    </row>
    <row r="45" spans="1:64" x14ac:dyDescent="0.3">
      <c r="A45" t="s">
        <v>898</v>
      </c>
      <c r="B45" s="1" t="s">
        <v>898</v>
      </c>
      <c r="C45" s="9" t="s">
        <v>899</v>
      </c>
      <c r="D45" s="1" t="s">
        <v>41</v>
      </c>
      <c r="E45" s="1" t="s">
        <v>88</v>
      </c>
      <c r="F45" s="10" t="s">
        <v>664</v>
      </c>
      <c r="G45" s="1">
        <v>0</v>
      </c>
      <c r="H45" s="1">
        <v>0.02</v>
      </c>
      <c r="I45" s="8">
        <v>45518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668757.48</v>
      </c>
      <c r="AJ45" s="2">
        <v>284665</v>
      </c>
      <c r="AK45" s="2">
        <v>11942.099999999999</v>
      </c>
      <c r="AL45" s="2">
        <v>5083.3</v>
      </c>
      <c r="AM45" s="5">
        <v>8512.7099999999991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28602.68</v>
      </c>
      <c r="AT45" s="12">
        <v>25538.11</v>
      </c>
      <c r="AU45" s="2">
        <v>510.76</v>
      </c>
      <c r="AV45" s="5">
        <v>0</v>
      </c>
      <c r="AX45" s="2">
        <v>668757.48</v>
      </c>
      <c r="AY45" s="2">
        <v>284665</v>
      </c>
      <c r="AZ45" s="2">
        <v>11942.099999999999</v>
      </c>
      <c r="BA45" s="2">
        <v>5083.3</v>
      </c>
      <c r="BB45" s="5">
        <v>8512.7099999999991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28602.68</v>
      </c>
      <c r="BI45" s="12">
        <v>25538.11</v>
      </c>
      <c r="BJ45" s="2">
        <v>510.76</v>
      </c>
      <c r="BK45" s="5">
        <v>0</v>
      </c>
      <c r="BL45" s="1" t="s">
        <v>546</v>
      </c>
    </row>
    <row r="46" spans="1:64" x14ac:dyDescent="0.3">
      <c r="A46" t="s">
        <v>908</v>
      </c>
      <c r="B46" s="1" t="s">
        <v>908</v>
      </c>
      <c r="C46" s="9" t="s">
        <v>909</v>
      </c>
      <c r="D46" s="1" t="s">
        <v>41</v>
      </c>
      <c r="E46" s="1" t="s">
        <v>88</v>
      </c>
      <c r="F46" s="10" t="s">
        <v>664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AV46" s="5">
        <v>0</v>
      </c>
      <c r="AX46" s="2">
        <v>0</v>
      </c>
      <c r="AY46" s="2">
        <v>0</v>
      </c>
      <c r="AZ46" s="2">
        <v>0</v>
      </c>
      <c r="BA46" s="2">
        <v>0</v>
      </c>
      <c r="BB46" s="5">
        <v>0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0</v>
      </c>
      <c r="BI46" s="12">
        <v>0</v>
      </c>
      <c r="BJ46" s="2">
        <v>0</v>
      </c>
      <c r="BK46" s="5">
        <v>0</v>
      </c>
      <c r="BL46" s="1" t="s">
        <v>546</v>
      </c>
    </row>
    <row r="47" spans="1:64" x14ac:dyDescent="0.3">
      <c r="A47" t="s">
        <v>938</v>
      </c>
      <c r="B47" s="1" t="s">
        <v>938</v>
      </c>
      <c r="C47" s="9" t="s">
        <v>939</v>
      </c>
      <c r="D47" s="1" t="s">
        <v>41</v>
      </c>
      <c r="E47" s="1" t="s">
        <v>88</v>
      </c>
      <c r="F47" s="10" t="s">
        <v>671</v>
      </c>
      <c r="G47" s="1">
        <v>0</v>
      </c>
      <c r="H47" s="1">
        <v>0.02</v>
      </c>
      <c r="I47" s="8">
        <v>45630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257181</v>
      </c>
      <c r="AJ47" s="2">
        <v>63166</v>
      </c>
      <c r="AK47" s="2">
        <v>4592.5200000000004</v>
      </c>
      <c r="AL47" s="2">
        <v>1127.96</v>
      </c>
      <c r="AM47" s="5">
        <v>2860.24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9610.41</v>
      </c>
      <c r="AT47" s="12">
        <v>8580.7200000000012</v>
      </c>
      <c r="AU47" s="2">
        <v>171.61</v>
      </c>
      <c r="AV47" s="5">
        <v>0</v>
      </c>
      <c r="AX47" s="2">
        <v>257181</v>
      </c>
      <c r="AY47" s="2">
        <v>63166</v>
      </c>
      <c r="AZ47" s="2">
        <v>4592.5200000000004</v>
      </c>
      <c r="BA47" s="2">
        <v>1127.96</v>
      </c>
      <c r="BB47" s="5">
        <v>2860.24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9610.41</v>
      </c>
      <c r="BI47" s="12">
        <v>8580.7200000000012</v>
      </c>
      <c r="BJ47" s="2">
        <v>171.61</v>
      </c>
      <c r="BK47" s="5">
        <v>0</v>
      </c>
      <c r="BL47" s="1" t="s">
        <v>90</v>
      </c>
    </row>
    <row r="48" spans="1:64" x14ac:dyDescent="0.3">
      <c r="A48" t="s">
        <v>944</v>
      </c>
      <c r="B48" s="1" t="s">
        <v>945</v>
      </c>
      <c r="C48" s="9" t="s">
        <v>946</v>
      </c>
      <c r="D48" s="1" t="s">
        <v>41</v>
      </c>
      <c r="E48" s="1" t="s">
        <v>88</v>
      </c>
      <c r="F48" s="10" t="s">
        <v>664</v>
      </c>
      <c r="G48" s="1">
        <v>0</v>
      </c>
      <c r="H48" s="1">
        <v>0.02</v>
      </c>
      <c r="I48" s="8">
        <v>44985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422690</v>
      </c>
      <c r="AJ48" s="2">
        <v>64346</v>
      </c>
      <c r="AK48" s="2">
        <v>7548.0300000000007</v>
      </c>
      <c r="AL48" s="2">
        <v>1149.03</v>
      </c>
      <c r="AM48" s="5">
        <v>4348.54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14611.07</v>
      </c>
      <c r="AT48" s="12">
        <v>13045.600000000002</v>
      </c>
      <c r="AU48" s="2">
        <v>260.90999999999997</v>
      </c>
      <c r="AV48" s="5">
        <v>0</v>
      </c>
      <c r="AX48" s="2">
        <v>422690</v>
      </c>
      <c r="AY48" s="2">
        <v>64346</v>
      </c>
      <c r="AZ48" s="2">
        <v>7548.0300000000007</v>
      </c>
      <c r="BA48" s="2">
        <v>1149.03</v>
      </c>
      <c r="BB48" s="5">
        <v>4348.54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14611.07</v>
      </c>
      <c r="BI48" s="12">
        <v>13045.600000000002</v>
      </c>
      <c r="BJ48" s="2">
        <v>260.90999999999997</v>
      </c>
      <c r="BK48" s="5">
        <v>0</v>
      </c>
      <c r="BL48" s="1" t="s">
        <v>546</v>
      </c>
    </row>
    <row r="49" spans="1:64" x14ac:dyDescent="0.3">
      <c r="A49" t="s">
        <v>952</v>
      </c>
      <c r="B49" s="1" t="s">
        <v>953</v>
      </c>
      <c r="C49" s="9" t="s">
        <v>954</v>
      </c>
      <c r="D49" s="1" t="s">
        <v>41</v>
      </c>
      <c r="E49" s="1" t="s">
        <v>135</v>
      </c>
      <c r="F49" s="10" t="s">
        <v>826</v>
      </c>
      <c r="G49" s="1">
        <v>3.5000000000000003E-2</v>
      </c>
      <c r="H49" s="1">
        <v>0.02</v>
      </c>
      <c r="I49" s="8">
        <v>45105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481130</v>
      </c>
      <c r="AJ49" s="2">
        <v>136499</v>
      </c>
      <c r="AK49" s="2">
        <v>8591.61</v>
      </c>
      <c r="AL49" s="2">
        <v>2437.48</v>
      </c>
      <c r="AM49" s="5">
        <v>5514.55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18528.88</v>
      </c>
      <c r="AT49" s="12">
        <v>16543.64</v>
      </c>
      <c r="AU49" s="2">
        <v>330.87</v>
      </c>
      <c r="AV49" s="5">
        <v>0</v>
      </c>
      <c r="AX49" s="2">
        <v>481130</v>
      </c>
      <c r="AY49" s="2">
        <v>136499</v>
      </c>
      <c r="AZ49" s="2">
        <v>8591.61</v>
      </c>
      <c r="BA49" s="2">
        <v>2437.48</v>
      </c>
      <c r="BB49" s="5">
        <v>5514.55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18528.88</v>
      </c>
      <c r="BI49" s="12">
        <v>16543.64</v>
      </c>
      <c r="BJ49" s="2">
        <v>330.87</v>
      </c>
      <c r="BK49" s="5">
        <v>0</v>
      </c>
      <c r="BL49" s="1" t="s">
        <v>302</v>
      </c>
    </row>
    <row r="50" spans="1:64" x14ac:dyDescent="0.3">
      <c r="A50" t="s">
        <v>966</v>
      </c>
      <c r="B50" s="1" t="s">
        <v>966</v>
      </c>
      <c r="C50" s="9" t="s">
        <v>967</v>
      </c>
      <c r="D50" s="1" t="s">
        <v>41</v>
      </c>
      <c r="E50" s="1" t="s">
        <v>128</v>
      </c>
      <c r="F50" s="10" t="s">
        <v>331</v>
      </c>
      <c r="G50" s="1">
        <v>0</v>
      </c>
      <c r="H50" s="1">
        <v>0.02</v>
      </c>
      <c r="I50" s="8">
        <v>45716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649959</v>
      </c>
      <c r="AJ50" s="2">
        <v>27018</v>
      </c>
      <c r="AK50" s="2">
        <v>11606.41</v>
      </c>
      <c r="AL50" s="2">
        <v>482.46</v>
      </c>
      <c r="AM50" s="5">
        <v>6044.43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20309.3</v>
      </c>
      <c r="AT50" s="12">
        <v>18133.3</v>
      </c>
      <c r="AU50" s="2">
        <v>362.65999999999997</v>
      </c>
      <c r="AV50" s="5">
        <v>0</v>
      </c>
      <c r="AX50" s="2">
        <v>649959</v>
      </c>
      <c r="AY50" s="2">
        <v>27018</v>
      </c>
      <c r="AZ50" s="2">
        <v>11606.41</v>
      </c>
      <c r="BA50" s="2">
        <v>482.46</v>
      </c>
      <c r="BB50" s="5">
        <v>6044.43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20309.3</v>
      </c>
      <c r="BI50" s="12">
        <v>18133.3</v>
      </c>
      <c r="BJ50" s="2">
        <v>362.65999999999997</v>
      </c>
      <c r="BK50" s="5">
        <v>0</v>
      </c>
      <c r="BL50" s="1" t="s">
        <v>130</v>
      </c>
    </row>
    <row r="51" spans="1:64" x14ac:dyDescent="0.3">
      <c r="A51" t="s">
        <v>1021</v>
      </c>
      <c r="B51" s="1" t="s">
        <v>1021</v>
      </c>
      <c r="C51" s="9" t="s">
        <v>1022</v>
      </c>
      <c r="D51" s="1" t="s">
        <v>41</v>
      </c>
      <c r="E51" s="1" t="s">
        <v>128</v>
      </c>
      <c r="F51" s="10" t="s">
        <v>372</v>
      </c>
      <c r="G51" s="1">
        <v>0</v>
      </c>
      <c r="H51" s="1">
        <v>0.02</v>
      </c>
      <c r="I51" s="8">
        <v>44462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1865224</v>
      </c>
      <c r="AJ51" s="2">
        <v>92523.1</v>
      </c>
      <c r="AK51" s="2">
        <v>33307.58</v>
      </c>
      <c r="AL51" s="2">
        <v>1652.2</v>
      </c>
      <c r="AM51" s="5">
        <v>17479.88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58732.42</v>
      </c>
      <c r="AT51" s="12">
        <v>52439.660000000011</v>
      </c>
      <c r="AU51" s="2">
        <v>1048.79</v>
      </c>
      <c r="AV51" s="5">
        <v>0</v>
      </c>
      <c r="AX51" s="2">
        <v>1865224</v>
      </c>
      <c r="AY51" s="2">
        <v>92523.1</v>
      </c>
      <c r="AZ51" s="2">
        <v>33307.58</v>
      </c>
      <c r="BA51" s="2">
        <v>1652.2</v>
      </c>
      <c r="BB51" s="5">
        <v>17479.88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58732.42</v>
      </c>
      <c r="BI51" s="12">
        <v>52439.660000000011</v>
      </c>
      <c r="BJ51" s="2">
        <v>1048.79</v>
      </c>
      <c r="BK51" s="5">
        <v>0</v>
      </c>
      <c r="BL51" s="1" t="s">
        <v>130</v>
      </c>
    </row>
    <row r="52" spans="1:64" x14ac:dyDescent="0.3">
      <c r="A52" t="s">
        <v>1067</v>
      </c>
      <c r="B52" s="1" t="s">
        <v>1067</v>
      </c>
      <c r="C52" s="9" t="s">
        <v>1068</v>
      </c>
      <c r="D52" s="1" t="s">
        <v>41</v>
      </c>
      <c r="E52" s="1" t="s">
        <v>128</v>
      </c>
      <c r="F52" s="10" t="s">
        <v>331</v>
      </c>
      <c r="G52" s="1">
        <v>0</v>
      </c>
      <c r="H52" s="1">
        <v>0.02</v>
      </c>
      <c r="I52" s="8">
        <v>44729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301591.25</v>
      </c>
      <c r="AJ52" s="2">
        <v>27259</v>
      </c>
      <c r="AK52" s="2">
        <v>5385.55</v>
      </c>
      <c r="AL52" s="2">
        <v>486.77</v>
      </c>
      <c r="AM52" s="5">
        <v>2936.16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9865.5</v>
      </c>
      <c r="AT52" s="12">
        <v>8808.48</v>
      </c>
      <c r="AU52" s="2">
        <v>176.17</v>
      </c>
      <c r="AV52" s="5">
        <v>0</v>
      </c>
      <c r="AX52" s="2">
        <v>301591.25</v>
      </c>
      <c r="AY52" s="2">
        <v>27259</v>
      </c>
      <c r="AZ52" s="2">
        <v>5385.55</v>
      </c>
      <c r="BA52" s="2">
        <v>486.77</v>
      </c>
      <c r="BB52" s="5">
        <v>2936.16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9865.5</v>
      </c>
      <c r="BI52" s="12">
        <v>8808.48</v>
      </c>
      <c r="BJ52" s="2">
        <v>176.17</v>
      </c>
      <c r="BK52" s="5">
        <v>0</v>
      </c>
      <c r="BL52" s="1" t="s">
        <v>130</v>
      </c>
    </row>
    <row r="53" spans="1:64" x14ac:dyDescent="0.3">
      <c r="A53" t="s">
        <v>1120</v>
      </c>
      <c r="B53" s="1" t="s">
        <v>1120</v>
      </c>
      <c r="C53" s="9" t="s">
        <v>1121</v>
      </c>
      <c r="D53" s="1" t="s">
        <v>41</v>
      </c>
      <c r="E53" s="1" t="s">
        <v>128</v>
      </c>
      <c r="F53" s="10" t="s">
        <v>372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AV53" s="5">
        <v>0</v>
      </c>
      <c r="AX53" s="2">
        <v>0</v>
      </c>
      <c r="AY53" s="2">
        <v>0</v>
      </c>
      <c r="AZ53" s="2">
        <v>0</v>
      </c>
      <c r="BA53" s="2">
        <v>0</v>
      </c>
      <c r="BB53" s="5">
        <v>0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0</v>
      </c>
      <c r="BI53" s="12">
        <v>0</v>
      </c>
      <c r="BJ53" s="2">
        <v>0</v>
      </c>
      <c r="BK53" s="5">
        <v>0</v>
      </c>
      <c r="BL53" s="1" t="s">
        <v>130</v>
      </c>
    </row>
    <row r="54" spans="1:64" x14ac:dyDescent="0.3">
      <c r="A54" t="s">
        <v>1126</v>
      </c>
      <c r="B54" s="1" t="s">
        <v>1126</v>
      </c>
      <c r="C54" s="9" t="s">
        <v>1127</v>
      </c>
      <c r="D54" s="1" t="s">
        <v>41</v>
      </c>
      <c r="E54" s="1" t="s">
        <v>128</v>
      </c>
      <c r="F54" s="10" t="s">
        <v>372</v>
      </c>
      <c r="G54" s="1">
        <v>0</v>
      </c>
      <c r="H54" s="1">
        <v>0.02</v>
      </c>
      <c r="I54" s="8">
        <v>45016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958802.38000000012</v>
      </c>
      <c r="AJ54" s="2">
        <v>42873.71</v>
      </c>
      <c r="AK54" s="2">
        <v>17121.46</v>
      </c>
      <c r="AL54" s="2">
        <v>765.6</v>
      </c>
      <c r="AM54" s="5">
        <v>8943.5500000000011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30050.28</v>
      </c>
      <c r="AT54" s="12">
        <v>26830.61</v>
      </c>
      <c r="AU54" s="2">
        <v>536.62</v>
      </c>
      <c r="AV54" s="5">
        <v>0</v>
      </c>
      <c r="AX54" s="2">
        <v>958802.38000000012</v>
      </c>
      <c r="AY54" s="2">
        <v>42873.71</v>
      </c>
      <c r="AZ54" s="2">
        <v>17121.46</v>
      </c>
      <c r="BA54" s="2">
        <v>765.6</v>
      </c>
      <c r="BB54" s="5">
        <v>8943.5500000000011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30050.28</v>
      </c>
      <c r="BI54" s="12">
        <v>26830.61</v>
      </c>
      <c r="BJ54" s="2">
        <v>536.62</v>
      </c>
      <c r="BK54" s="5">
        <v>0</v>
      </c>
      <c r="BL54" s="1" t="s">
        <v>130</v>
      </c>
    </row>
    <row r="55" spans="1:64" x14ac:dyDescent="0.3">
      <c r="A55" t="s">
        <v>1132</v>
      </c>
      <c r="B55" s="1" t="s">
        <v>1132</v>
      </c>
      <c r="C55" s="9" t="s">
        <v>1133</v>
      </c>
      <c r="D55" s="1" t="s">
        <v>41</v>
      </c>
      <c r="E55" s="1" t="s">
        <v>128</v>
      </c>
      <c r="F55" s="10" t="s">
        <v>372</v>
      </c>
      <c r="G55" s="1">
        <v>0</v>
      </c>
      <c r="H55" s="1">
        <v>0.02</v>
      </c>
      <c r="I55" s="8">
        <v>44918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1432252.89</v>
      </c>
      <c r="AJ55" s="2">
        <v>194990.51</v>
      </c>
      <c r="AK55" s="2">
        <v>25575.94</v>
      </c>
      <c r="AL55" s="2">
        <v>3481.97</v>
      </c>
      <c r="AM55" s="5">
        <v>14528.96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48817.29</v>
      </c>
      <c r="AT55" s="12">
        <v>43586.87</v>
      </c>
      <c r="AU55" s="2">
        <v>871.74</v>
      </c>
      <c r="AV55" s="5">
        <v>0</v>
      </c>
      <c r="AX55" s="2">
        <v>1432252.89</v>
      </c>
      <c r="AY55" s="2">
        <v>194990.51</v>
      </c>
      <c r="AZ55" s="2">
        <v>25575.94</v>
      </c>
      <c r="BA55" s="2">
        <v>3481.97</v>
      </c>
      <c r="BB55" s="5">
        <v>14528.96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48817.29</v>
      </c>
      <c r="BI55" s="12">
        <v>43586.87</v>
      </c>
      <c r="BJ55" s="2">
        <v>871.74</v>
      </c>
      <c r="BK55" s="5">
        <v>0</v>
      </c>
      <c r="BL55" s="1" t="s">
        <v>130</v>
      </c>
    </row>
    <row r="56" spans="1:64" x14ac:dyDescent="0.3">
      <c r="A56" t="s">
        <v>1173</v>
      </c>
      <c r="B56" s="1" t="s">
        <v>1173</v>
      </c>
      <c r="C56" s="9" t="s">
        <v>1174</v>
      </c>
      <c r="D56" s="1" t="s">
        <v>41</v>
      </c>
      <c r="E56" s="1" t="s">
        <v>128</v>
      </c>
      <c r="F56" s="10" t="s">
        <v>372</v>
      </c>
      <c r="G56" s="1">
        <v>0</v>
      </c>
      <c r="H56" s="1">
        <v>0.02</v>
      </c>
      <c r="I56" s="8">
        <v>45077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294349.04000000004</v>
      </c>
      <c r="AJ56" s="2">
        <v>14737.25</v>
      </c>
      <c r="AK56" s="2">
        <v>5256.23</v>
      </c>
      <c r="AL56" s="2">
        <v>263.16000000000003</v>
      </c>
      <c r="AM56" s="5">
        <v>2759.7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9272.58</v>
      </c>
      <c r="AT56" s="12">
        <v>8279.09</v>
      </c>
      <c r="AU56" s="2">
        <v>165.58</v>
      </c>
      <c r="AV56" s="5">
        <v>0</v>
      </c>
      <c r="AX56" s="2">
        <v>294349.04000000004</v>
      </c>
      <c r="AY56" s="2">
        <v>14737.25</v>
      </c>
      <c r="AZ56" s="2">
        <v>5256.23</v>
      </c>
      <c r="BA56" s="2">
        <v>263.16000000000003</v>
      </c>
      <c r="BB56" s="5">
        <v>2759.7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9272.58</v>
      </c>
      <c r="BI56" s="12">
        <v>8279.09</v>
      </c>
      <c r="BJ56" s="2">
        <v>165.58</v>
      </c>
      <c r="BK56" s="5">
        <v>0</v>
      </c>
      <c r="BL56" s="1" t="s">
        <v>130</v>
      </c>
    </row>
    <row r="57" spans="1:64" x14ac:dyDescent="0.3">
      <c r="A57" t="s">
        <v>1185</v>
      </c>
      <c r="B57" s="1" t="s">
        <v>1186</v>
      </c>
      <c r="C57" s="9" t="s">
        <v>1187</v>
      </c>
      <c r="D57" s="1" t="s">
        <v>41</v>
      </c>
      <c r="E57" s="1" t="s">
        <v>128</v>
      </c>
      <c r="F57" s="10" t="s">
        <v>372</v>
      </c>
      <c r="G57" s="1">
        <v>0</v>
      </c>
      <c r="H57" s="1">
        <v>0.02</v>
      </c>
      <c r="I57" s="8">
        <v>44527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1512451.75</v>
      </c>
      <c r="AJ57" s="2">
        <v>34704</v>
      </c>
      <c r="AK57" s="2">
        <v>27008.06</v>
      </c>
      <c r="AL57" s="2">
        <v>619.71999999999991</v>
      </c>
      <c r="AM57" s="5">
        <v>13813.900000000001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46414.68</v>
      </c>
      <c r="AT57" s="12">
        <v>41441.68</v>
      </c>
      <c r="AU57" s="2">
        <v>828.82999999999993</v>
      </c>
      <c r="AV57" s="5">
        <v>0</v>
      </c>
      <c r="AX57" s="2">
        <v>1512451.75</v>
      </c>
      <c r="AY57" s="2">
        <v>34704</v>
      </c>
      <c r="AZ57" s="2">
        <v>27008.06</v>
      </c>
      <c r="BA57" s="2">
        <v>619.71999999999991</v>
      </c>
      <c r="BB57" s="5">
        <v>13813.900000000001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46414.68</v>
      </c>
      <c r="BI57" s="12">
        <v>41441.68</v>
      </c>
      <c r="BJ57" s="2">
        <v>828.82999999999993</v>
      </c>
      <c r="BK57" s="5">
        <v>0</v>
      </c>
      <c r="BL57" s="1" t="s">
        <v>130</v>
      </c>
    </row>
    <row r="58" spans="1:64" x14ac:dyDescent="0.3">
      <c r="A58" t="s">
        <v>1193</v>
      </c>
      <c r="B58" s="1" t="s">
        <v>1193</v>
      </c>
      <c r="C58" s="9" t="s">
        <v>1194</v>
      </c>
      <c r="D58" s="1" t="s">
        <v>41</v>
      </c>
      <c r="E58" s="1" t="s">
        <v>128</v>
      </c>
      <c r="F58" s="10" t="s">
        <v>331</v>
      </c>
      <c r="G58" s="1">
        <v>0</v>
      </c>
      <c r="H58" s="1">
        <v>0.02</v>
      </c>
      <c r="I58" s="8">
        <v>45034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566930</v>
      </c>
      <c r="AJ58" s="2">
        <v>41130</v>
      </c>
      <c r="AK58" s="2">
        <v>10123.75</v>
      </c>
      <c r="AL58" s="2">
        <v>734.46</v>
      </c>
      <c r="AM58" s="5">
        <v>5429.11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18241.8</v>
      </c>
      <c r="AT58" s="12">
        <v>16287.32</v>
      </c>
      <c r="AU58" s="2">
        <v>325.75</v>
      </c>
      <c r="AV58" s="5">
        <v>0</v>
      </c>
      <c r="AX58" s="2">
        <v>566930</v>
      </c>
      <c r="AY58" s="2">
        <v>41130</v>
      </c>
      <c r="AZ58" s="2">
        <v>10123.75</v>
      </c>
      <c r="BA58" s="2">
        <v>734.46</v>
      </c>
      <c r="BB58" s="5">
        <v>5429.11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18241.8</v>
      </c>
      <c r="BI58" s="12">
        <v>16287.32</v>
      </c>
      <c r="BJ58" s="2">
        <v>325.75</v>
      </c>
      <c r="BK58" s="5">
        <v>0</v>
      </c>
      <c r="BL58" s="1" t="s">
        <v>130</v>
      </c>
    </row>
    <row r="59" spans="1:64" x14ac:dyDescent="0.3">
      <c r="A59" t="s">
        <v>1199</v>
      </c>
      <c r="B59" s="1" t="s">
        <v>1199</v>
      </c>
      <c r="C59" s="9" t="s">
        <v>1200</v>
      </c>
      <c r="D59" s="1" t="s">
        <v>41</v>
      </c>
      <c r="E59" s="1" t="s">
        <v>135</v>
      </c>
      <c r="F59" s="10" t="s">
        <v>467</v>
      </c>
      <c r="G59" s="1">
        <v>0</v>
      </c>
      <c r="H59" s="1">
        <v>0.02</v>
      </c>
      <c r="I59" s="8">
        <v>45066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308019.80999999994</v>
      </c>
      <c r="AJ59" s="2">
        <v>91821.200000000012</v>
      </c>
      <c r="AK59" s="2">
        <v>5500.36</v>
      </c>
      <c r="AL59" s="2">
        <v>1639.66</v>
      </c>
      <c r="AM59" s="5">
        <v>3570.01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11995.23</v>
      </c>
      <c r="AT59" s="12">
        <v>10710.029999999999</v>
      </c>
      <c r="AU59" s="2">
        <v>214.2</v>
      </c>
      <c r="AV59" s="5">
        <v>0</v>
      </c>
      <c r="AX59" s="2">
        <v>308019.80999999994</v>
      </c>
      <c r="AY59" s="2">
        <v>91821.200000000012</v>
      </c>
      <c r="AZ59" s="2">
        <v>5500.36</v>
      </c>
      <c r="BA59" s="2">
        <v>1639.66</v>
      </c>
      <c r="BB59" s="5">
        <v>3570.01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11995.23</v>
      </c>
      <c r="BI59" s="12">
        <v>10710.029999999999</v>
      </c>
      <c r="BJ59" s="2">
        <v>214.2</v>
      </c>
      <c r="BK59" s="5">
        <v>0</v>
      </c>
      <c r="BL59" s="1" t="s">
        <v>302</v>
      </c>
    </row>
    <row r="60" spans="1:64" x14ac:dyDescent="0.3">
      <c r="A60" t="s">
        <v>1201</v>
      </c>
      <c r="B60" s="1" t="s">
        <v>1201</v>
      </c>
      <c r="C60" s="9" t="s">
        <v>1202</v>
      </c>
      <c r="D60" s="1" t="s">
        <v>41</v>
      </c>
      <c r="E60" s="1" t="s">
        <v>128</v>
      </c>
      <c r="F60" s="10" t="s">
        <v>372</v>
      </c>
      <c r="G60" s="1">
        <v>0</v>
      </c>
      <c r="H60" s="1">
        <v>0.02</v>
      </c>
      <c r="I60" s="8">
        <v>45056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558836.37</v>
      </c>
      <c r="AJ60" s="2">
        <v>29843.800000000003</v>
      </c>
      <c r="AK60" s="2">
        <v>9979.2199999999993</v>
      </c>
      <c r="AL60" s="2">
        <v>532.92999999999995</v>
      </c>
      <c r="AM60" s="5">
        <v>5256.07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17660.41</v>
      </c>
      <c r="AT60" s="12">
        <v>15768.22</v>
      </c>
      <c r="AU60" s="2">
        <v>315.36</v>
      </c>
      <c r="AV60" s="5">
        <v>0</v>
      </c>
      <c r="AX60" s="2">
        <v>558836.37</v>
      </c>
      <c r="AY60" s="2">
        <v>29843.800000000003</v>
      </c>
      <c r="AZ60" s="2">
        <v>9979.2199999999993</v>
      </c>
      <c r="BA60" s="2">
        <v>532.92999999999995</v>
      </c>
      <c r="BB60" s="5">
        <v>5256.07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17660.41</v>
      </c>
      <c r="BI60" s="12">
        <v>15768.22</v>
      </c>
      <c r="BJ60" s="2">
        <v>315.36</v>
      </c>
      <c r="BK60" s="5">
        <v>0</v>
      </c>
      <c r="BL60" s="1" t="s">
        <v>130</v>
      </c>
    </row>
    <row r="61" spans="1:64" x14ac:dyDescent="0.3">
      <c r="A61" t="s">
        <v>1203</v>
      </c>
      <c r="B61" s="1" t="s">
        <v>1203</v>
      </c>
      <c r="C61" s="9" t="s">
        <v>1204</v>
      </c>
      <c r="D61" s="1" t="s">
        <v>41</v>
      </c>
      <c r="E61" s="1" t="s">
        <v>88</v>
      </c>
      <c r="F61" s="10" t="s">
        <v>671</v>
      </c>
      <c r="G61" s="1">
        <v>0</v>
      </c>
      <c r="H61" s="1">
        <v>0.02</v>
      </c>
      <c r="I61" s="8">
        <v>45161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239598</v>
      </c>
      <c r="AJ61" s="2">
        <v>81363</v>
      </c>
      <c r="AK61" s="2">
        <v>4278.54</v>
      </c>
      <c r="AL61" s="2">
        <v>1452.91</v>
      </c>
      <c r="AM61" s="5">
        <v>2865.73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9628.84</v>
      </c>
      <c r="AT61" s="12">
        <v>8597.18</v>
      </c>
      <c r="AU61" s="2">
        <v>171.94</v>
      </c>
      <c r="AV61" s="5">
        <v>0</v>
      </c>
      <c r="AX61" s="2">
        <v>239598</v>
      </c>
      <c r="AY61" s="2">
        <v>81363</v>
      </c>
      <c r="AZ61" s="2">
        <v>4278.54</v>
      </c>
      <c r="BA61" s="2">
        <v>1452.91</v>
      </c>
      <c r="BB61" s="5">
        <v>2865.73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9628.84</v>
      </c>
      <c r="BI61" s="12">
        <v>8597.18</v>
      </c>
      <c r="BJ61" s="2">
        <v>171.94</v>
      </c>
      <c r="BK61" s="5">
        <v>0</v>
      </c>
      <c r="BL61" s="1" t="s">
        <v>90</v>
      </c>
    </row>
    <row r="62" spans="1:64" x14ac:dyDescent="0.3">
      <c r="A62" t="s">
        <v>1217</v>
      </c>
      <c r="B62" s="1" t="s">
        <v>1217</v>
      </c>
      <c r="C62" s="9" t="s">
        <v>1218</v>
      </c>
      <c r="D62" s="1" t="s">
        <v>41</v>
      </c>
      <c r="E62" s="1" t="s">
        <v>88</v>
      </c>
      <c r="F62" s="10" t="s">
        <v>671</v>
      </c>
      <c r="G62" s="1">
        <v>0</v>
      </c>
      <c r="H62" s="1">
        <v>0.02</v>
      </c>
      <c r="I62" s="8">
        <v>45135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166920</v>
      </c>
      <c r="AJ62" s="2">
        <v>59647</v>
      </c>
      <c r="AK62" s="2">
        <v>2980.71</v>
      </c>
      <c r="AL62" s="2">
        <v>1065.1199999999999</v>
      </c>
      <c r="AM62" s="5">
        <v>2022.92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6797</v>
      </c>
      <c r="AT62" s="12">
        <v>6068.75</v>
      </c>
      <c r="AU62" s="2">
        <v>121.38</v>
      </c>
      <c r="AV62" s="5">
        <v>0</v>
      </c>
      <c r="AX62" s="2">
        <v>166920</v>
      </c>
      <c r="AY62" s="2">
        <v>59647</v>
      </c>
      <c r="AZ62" s="2">
        <v>2980.71</v>
      </c>
      <c r="BA62" s="2">
        <v>1065.1199999999999</v>
      </c>
      <c r="BB62" s="5">
        <v>2022.92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6797</v>
      </c>
      <c r="BI62" s="12">
        <v>6068.75</v>
      </c>
      <c r="BJ62" s="2">
        <v>121.38</v>
      </c>
      <c r="BK62" s="5">
        <v>0</v>
      </c>
      <c r="BL62" s="1" t="s">
        <v>90</v>
      </c>
    </row>
    <row r="63" spans="1:64" x14ac:dyDescent="0.3">
      <c r="A63" t="s">
        <v>1219</v>
      </c>
      <c r="B63" s="1" t="s">
        <v>1219</v>
      </c>
      <c r="C63" s="9" t="s">
        <v>1220</v>
      </c>
      <c r="D63" s="1" t="s">
        <v>41</v>
      </c>
      <c r="E63" s="1" t="s">
        <v>88</v>
      </c>
      <c r="F63" s="10" t="s">
        <v>671</v>
      </c>
      <c r="G63" s="1">
        <v>0</v>
      </c>
      <c r="H63" s="1">
        <v>0.02</v>
      </c>
      <c r="I63" s="8">
        <v>45093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152091</v>
      </c>
      <c r="AJ63" s="2">
        <v>29697</v>
      </c>
      <c r="AK63" s="2">
        <v>2715.91</v>
      </c>
      <c r="AL63" s="2">
        <v>530.29999999999995</v>
      </c>
      <c r="AM63" s="5">
        <v>1623.11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5453.64</v>
      </c>
      <c r="AT63" s="12">
        <v>4869.32</v>
      </c>
      <c r="AU63" s="2">
        <v>97.39</v>
      </c>
      <c r="AV63" s="5">
        <v>0</v>
      </c>
      <c r="AX63" s="2">
        <v>152091</v>
      </c>
      <c r="AY63" s="2">
        <v>29697</v>
      </c>
      <c r="AZ63" s="2">
        <v>2715.91</v>
      </c>
      <c r="BA63" s="2">
        <v>530.29999999999995</v>
      </c>
      <c r="BB63" s="5">
        <v>1623.11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5453.64</v>
      </c>
      <c r="BI63" s="12">
        <v>4869.32</v>
      </c>
      <c r="BJ63" s="2">
        <v>97.39</v>
      </c>
      <c r="BK63" s="5">
        <v>0</v>
      </c>
      <c r="BL63" s="1" t="s">
        <v>90</v>
      </c>
    </row>
    <row r="64" spans="1:64" x14ac:dyDescent="0.3">
      <c r="A64" t="s">
        <v>1268</v>
      </c>
      <c r="B64" s="1" t="s">
        <v>1268</v>
      </c>
      <c r="C64" s="9" t="s">
        <v>1269</v>
      </c>
      <c r="D64" s="1" t="s">
        <v>41</v>
      </c>
      <c r="E64" s="1" t="s">
        <v>135</v>
      </c>
      <c r="F64" s="10" t="s">
        <v>752</v>
      </c>
      <c r="G64" s="1">
        <v>0</v>
      </c>
      <c r="H64" s="1">
        <v>0.02</v>
      </c>
      <c r="I64" s="8">
        <v>45118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469503</v>
      </c>
      <c r="AJ64" s="2">
        <v>70245</v>
      </c>
      <c r="AK64" s="2">
        <v>8383.98</v>
      </c>
      <c r="AL64" s="2">
        <v>1254.3699999999999</v>
      </c>
      <c r="AM64" s="5">
        <v>4819.18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16192.43</v>
      </c>
      <c r="AT64" s="12">
        <v>14457.529999999999</v>
      </c>
      <c r="AU64" s="2">
        <v>289.14999999999998</v>
      </c>
      <c r="AV64" s="5">
        <v>0</v>
      </c>
      <c r="AX64" s="2">
        <v>469503</v>
      </c>
      <c r="AY64" s="2">
        <v>70245</v>
      </c>
      <c r="AZ64" s="2">
        <v>8383.98</v>
      </c>
      <c r="BA64" s="2">
        <v>1254.3699999999999</v>
      </c>
      <c r="BB64" s="5">
        <v>4819.18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16192.43</v>
      </c>
      <c r="BI64" s="12">
        <v>14457.529999999999</v>
      </c>
      <c r="BJ64" s="2">
        <v>289.14999999999998</v>
      </c>
      <c r="BK64" s="5">
        <v>0</v>
      </c>
      <c r="BL64" s="1" t="s">
        <v>302</v>
      </c>
    </row>
    <row r="65" spans="1:64" x14ac:dyDescent="0.3">
      <c r="A65" t="s">
        <v>1282</v>
      </c>
      <c r="B65" s="1" t="s">
        <v>1282</v>
      </c>
      <c r="C65" s="9" t="s">
        <v>1283</v>
      </c>
      <c r="D65" s="1" t="s">
        <v>41</v>
      </c>
      <c r="E65" s="1" t="s">
        <v>88</v>
      </c>
      <c r="F65" s="10" t="s">
        <v>671</v>
      </c>
      <c r="G65" s="1">
        <v>0</v>
      </c>
      <c r="H65" s="1">
        <v>0.02</v>
      </c>
      <c r="I65" s="8">
        <v>45230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302539</v>
      </c>
      <c r="AJ65" s="2">
        <v>70793</v>
      </c>
      <c r="AK65" s="2">
        <v>5402.48</v>
      </c>
      <c r="AL65" s="2">
        <v>1264.1600000000001</v>
      </c>
      <c r="AM65" s="5">
        <v>3333.32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11199.96</v>
      </c>
      <c r="AT65" s="12">
        <v>9999.9599999999991</v>
      </c>
      <c r="AU65" s="2">
        <v>200</v>
      </c>
      <c r="AV65" s="5">
        <v>0</v>
      </c>
      <c r="AX65" s="2">
        <v>302539</v>
      </c>
      <c r="AY65" s="2">
        <v>70793</v>
      </c>
      <c r="AZ65" s="2">
        <v>5402.48</v>
      </c>
      <c r="BA65" s="2">
        <v>1264.1600000000001</v>
      </c>
      <c r="BB65" s="5">
        <v>3333.32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11199.96</v>
      </c>
      <c r="BI65" s="12">
        <v>9999.9599999999991</v>
      </c>
      <c r="BJ65" s="2">
        <v>200</v>
      </c>
      <c r="BK65" s="5">
        <v>0</v>
      </c>
      <c r="BL65" s="1" t="s">
        <v>90</v>
      </c>
    </row>
    <row r="66" spans="1:64" x14ac:dyDescent="0.3">
      <c r="A66" t="s">
        <v>1308</v>
      </c>
      <c r="B66" s="1" t="s">
        <v>1308</v>
      </c>
      <c r="C66" s="9" t="s">
        <v>1309</v>
      </c>
      <c r="D66" s="1" t="s">
        <v>41</v>
      </c>
      <c r="E66" s="1" t="s">
        <v>128</v>
      </c>
      <c r="F66" s="10" t="s">
        <v>331</v>
      </c>
      <c r="G66" s="1">
        <v>0</v>
      </c>
      <c r="H66" s="1">
        <v>0.02</v>
      </c>
      <c r="I66" s="8">
        <v>45289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782509.6</v>
      </c>
      <c r="AJ66" s="2">
        <v>19032</v>
      </c>
      <c r="AK66" s="2">
        <v>13973.380000000001</v>
      </c>
      <c r="AL66" s="2">
        <v>339.86</v>
      </c>
      <c r="AM66" s="5">
        <v>7156.62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24046.240000000002</v>
      </c>
      <c r="AT66" s="12">
        <v>21469.86</v>
      </c>
      <c r="AU66" s="2">
        <v>429.39</v>
      </c>
      <c r="AV66" s="5">
        <v>0</v>
      </c>
      <c r="AX66" s="2">
        <v>782509.6</v>
      </c>
      <c r="AY66" s="2">
        <v>19032</v>
      </c>
      <c r="AZ66" s="2">
        <v>13973.380000000001</v>
      </c>
      <c r="BA66" s="2">
        <v>339.86</v>
      </c>
      <c r="BB66" s="5">
        <v>7156.62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24046.240000000002</v>
      </c>
      <c r="BI66" s="12">
        <v>21469.86</v>
      </c>
      <c r="BJ66" s="2">
        <v>429.39</v>
      </c>
      <c r="BK66" s="5">
        <v>0</v>
      </c>
      <c r="BL66" s="1" t="s">
        <v>130</v>
      </c>
    </row>
    <row r="67" spans="1:64" x14ac:dyDescent="0.3">
      <c r="A67" t="s">
        <v>1316</v>
      </c>
      <c r="B67" s="1" t="s">
        <v>1316</v>
      </c>
      <c r="C67" s="9" t="s">
        <v>1317</v>
      </c>
      <c r="D67" s="1" t="s">
        <v>41</v>
      </c>
      <c r="E67" s="1" t="s">
        <v>128</v>
      </c>
      <c r="F67" s="10" t="s">
        <v>331</v>
      </c>
      <c r="G67" s="1">
        <v>0</v>
      </c>
      <c r="H67" s="1">
        <v>0.02</v>
      </c>
      <c r="I67" s="8">
        <v>45219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235257.25</v>
      </c>
      <c r="AJ67" s="2">
        <v>23396</v>
      </c>
      <c r="AK67" s="2">
        <v>4201.03</v>
      </c>
      <c r="AL67" s="2">
        <v>417.79</v>
      </c>
      <c r="AM67" s="5">
        <v>2309.4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7759.61</v>
      </c>
      <c r="AT67" s="12">
        <v>6928.2199999999993</v>
      </c>
      <c r="AU67" s="2">
        <v>138.56</v>
      </c>
      <c r="AV67" s="5">
        <v>0</v>
      </c>
      <c r="AX67" s="2">
        <v>235257.25</v>
      </c>
      <c r="AY67" s="2">
        <v>23396</v>
      </c>
      <c r="AZ67" s="2">
        <v>4201.03</v>
      </c>
      <c r="BA67" s="2">
        <v>417.79</v>
      </c>
      <c r="BB67" s="5">
        <v>2309.4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7759.61</v>
      </c>
      <c r="BI67" s="12">
        <v>6928.2199999999993</v>
      </c>
      <c r="BJ67" s="2">
        <v>138.56</v>
      </c>
      <c r="BK67" s="5">
        <v>0</v>
      </c>
      <c r="BL67" s="1" t="s">
        <v>130</v>
      </c>
    </row>
    <row r="68" spans="1:64" x14ac:dyDescent="0.3">
      <c r="A68" t="s">
        <v>1326</v>
      </c>
      <c r="B68" s="1" t="s">
        <v>1326</v>
      </c>
      <c r="C68" s="9" t="s">
        <v>1327</v>
      </c>
      <c r="D68" s="1" t="s">
        <v>41</v>
      </c>
      <c r="E68" s="1" t="s">
        <v>135</v>
      </c>
      <c r="F68" s="10" t="s">
        <v>467</v>
      </c>
      <c r="G68" s="1">
        <v>0</v>
      </c>
      <c r="H68" s="1">
        <v>0.02</v>
      </c>
      <c r="I68" s="8">
        <v>45254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847783</v>
      </c>
      <c r="AJ68" s="2">
        <v>118937</v>
      </c>
      <c r="AK68" s="2">
        <v>15138.98</v>
      </c>
      <c r="AL68" s="2">
        <v>2123.87</v>
      </c>
      <c r="AM68" s="5">
        <v>8631.43</v>
      </c>
      <c r="AN68" s="12">
        <v>191711.40000000002</v>
      </c>
      <c r="AO68" s="2">
        <v>0</v>
      </c>
      <c r="AP68" s="2">
        <v>798.79</v>
      </c>
      <c r="AQ68" s="2">
        <v>0</v>
      </c>
      <c r="AR68" s="5">
        <v>1711.71</v>
      </c>
      <c r="AS68" s="2">
        <v>31813.35</v>
      </c>
      <c r="AT68" s="12">
        <v>28404.78</v>
      </c>
      <c r="AU68" s="2">
        <v>568.09</v>
      </c>
      <c r="AV68" s="5">
        <v>0</v>
      </c>
      <c r="AX68" s="2">
        <v>847783</v>
      </c>
      <c r="AY68" s="2">
        <v>118937</v>
      </c>
      <c r="AZ68" s="2">
        <v>15138.98</v>
      </c>
      <c r="BA68" s="2">
        <v>2123.87</v>
      </c>
      <c r="BB68" s="5">
        <v>8631.43</v>
      </c>
      <c r="BC68" s="12">
        <v>191711.40000000002</v>
      </c>
      <c r="BD68" s="2">
        <v>0</v>
      </c>
      <c r="BE68" s="2">
        <v>798.79</v>
      </c>
      <c r="BF68" s="2">
        <v>0</v>
      </c>
      <c r="BG68" s="5">
        <v>1711.71</v>
      </c>
      <c r="BH68" s="2">
        <v>31813.35</v>
      </c>
      <c r="BI68" s="12">
        <v>28404.78</v>
      </c>
      <c r="BJ68" s="2">
        <v>568.09</v>
      </c>
      <c r="BK68" s="5">
        <v>0</v>
      </c>
      <c r="BL68" s="1" t="s">
        <v>302</v>
      </c>
    </row>
    <row r="69" spans="1:64" x14ac:dyDescent="0.3">
      <c r="A69" t="s">
        <v>1338</v>
      </c>
      <c r="B69" s="1" t="s">
        <v>1339</v>
      </c>
      <c r="C69" s="9" t="s">
        <v>1340</v>
      </c>
      <c r="D69" s="1" t="s">
        <v>41</v>
      </c>
      <c r="E69" s="1" t="s">
        <v>128</v>
      </c>
      <c r="F69" s="10" t="s">
        <v>331</v>
      </c>
      <c r="G69" s="1">
        <v>0</v>
      </c>
      <c r="H69" s="1">
        <v>0.02</v>
      </c>
      <c r="I69" s="8">
        <v>45140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318727.80000000005</v>
      </c>
      <c r="AJ69" s="2">
        <v>25088</v>
      </c>
      <c r="AK69" s="2">
        <v>5691.57</v>
      </c>
      <c r="AL69" s="2">
        <v>448</v>
      </c>
      <c r="AM69" s="5">
        <v>3069.7799999999997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10314.469999999999</v>
      </c>
      <c r="AT69" s="12">
        <v>9209.35</v>
      </c>
      <c r="AU69" s="2">
        <v>184.19</v>
      </c>
      <c r="AV69" s="5">
        <v>0</v>
      </c>
      <c r="AX69" s="2">
        <v>318727.80000000005</v>
      </c>
      <c r="AY69" s="2">
        <v>25088</v>
      </c>
      <c r="AZ69" s="2">
        <v>5691.57</v>
      </c>
      <c r="BA69" s="2">
        <v>448</v>
      </c>
      <c r="BB69" s="5">
        <v>3069.7799999999997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10314.469999999999</v>
      </c>
      <c r="BI69" s="12">
        <v>9209.35</v>
      </c>
      <c r="BJ69" s="2">
        <v>184.19</v>
      </c>
      <c r="BK69" s="5">
        <v>0</v>
      </c>
      <c r="BL69" s="1" t="s">
        <v>130</v>
      </c>
    </row>
    <row r="70" spans="1:64" x14ac:dyDescent="0.3">
      <c r="A70" t="s">
        <v>1342</v>
      </c>
      <c r="B70" s="1" t="s">
        <v>1342</v>
      </c>
      <c r="C70" s="9" t="s">
        <v>1343</v>
      </c>
      <c r="D70" s="1" t="s">
        <v>41</v>
      </c>
      <c r="E70" s="1" t="s">
        <v>88</v>
      </c>
      <c r="F70" s="10" t="s">
        <v>671</v>
      </c>
      <c r="G70" s="1">
        <v>0</v>
      </c>
      <c r="H70" s="1">
        <v>0.02</v>
      </c>
      <c r="I70" s="8">
        <v>45315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87597</v>
      </c>
      <c r="AJ70" s="2">
        <v>21294</v>
      </c>
      <c r="AK70" s="2">
        <v>1564.23</v>
      </c>
      <c r="AL70" s="2">
        <v>380.25</v>
      </c>
      <c r="AM70" s="5">
        <v>972.24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3266.73</v>
      </c>
      <c r="AT70" s="12">
        <v>2916.7200000000003</v>
      </c>
      <c r="AU70" s="2">
        <v>58.33</v>
      </c>
      <c r="AV70" s="5">
        <v>0</v>
      </c>
      <c r="AX70" s="2">
        <v>87597</v>
      </c>
      <c r="AY70" s="2">
        <v>21294</v>
      </c>
      <c r="AZ70" s="2">
        <v>1564.23</v>
      </c>
      <c r="BA70" s="2">
        <v>380.25</v>
      </c>
      <c r="BB70" s="5">
        <v>972.24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3266.73</v>
      </c>
      <c r="BI70" s="12">
        <v>2916.7200000000003</v>
      </c>
      <c r="BJ70" s="2">
        <v>58.33</v>
      </c>
      <c r="BK70" s="5">
        <v>0</v>
      </c>
      <c r="BL70" s="1" t="s">
        <v>90</v>
      </c>
    </row>
    <row r="71" spans="1:64" x14ac:dyDescent="0.3">
      <c r="A71" t="s">
        <v>1375</v>
      </c>
      <c r="B71" s="1" t="s">
        <v>1376</v>
      </c>
      <c r="C71" s="9" t="s">
        <v>1377</v>
      </c>
      <c r="D71" s="1" t="s">
        <v>41</v>
      </c>
      <c r="E71" s="1" t="s">
        <v>128</v>
      </c>
      <c r="F71" s="10" t="s">
        <v>372</v>
      </c>
      <c r="G71" s="1">
        <v>0</v>
      </c>
      <c r="H71" s="1">
        <v>0.02</v>
      </c>
      <c r="I71" s="8">
        <v>44720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130438.5</v>
      </c>
      <c r="AJ71" s="2">
        <v>16874</v>
      </c>
      <c r="AK71" s="2">
        <v>2329.2600000000002</v>
      </c>
      <c r="AL71" s="2">
        <v>301.32</v>
      </c>
      <c r="AM71" s="5">
        <v>1315.28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4419.3599999999997</v>
      </c>
      <c r="AT71" s="12">
        <v>3945.86</v>
      </c>
      <c r="AU71" s="2">
        <v>78.91</v>
      </c>
      <c r="AV71" s="5">
        <v>0</v>
      </c>
      <c r="AX71" s="2">
        <v>130438.5</v>
      </c>
      <c r="AY71" s="2">
        <v>16874</v>
      </c>
      <c r="AZ71" s="2">
        <v>2329.2600000000002</v>
      </c>
      <c r="BA71" s="2">
        <v>301.32</v>
      </c>
      <c r="BB71" s="5">
        <v>1315.28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4419.3599999999997</v>
      </c>
      <c r="BI71" s="12">
        <v>3945.86</v>
      </c>
      <c r="BJ71" s="2">
        <v>78.91</v>
      </c>
      <c r="BK71" s="5">
        <v>0</v>
      </c>
      <c r="BL71" s="1" t="s">
        <v>130</v>
      </c>
    </row>
    <row r="72" spans="1:64" x14ac:dyDescent="0.3">
      <c r="A72" t="s">
        <v>1403</v>
      </c>
      <c r="B72" s="1" t="s">
        <v>1403</v>
      </c>
      <c r="C72" s="9" t="s">
        <v>1404</v>
      </c>
      <c r="D72" s="1" t="s">
        <v>41</v>
      </c>
      <c r="E72" s="1" t="s">
        <v>128</v>
      </c>
      <c r="F72" s="10" t="s">
        <v>385</v>
      </c>
      <c r="G72" s="1">
        <v>0</v>
      </c>
      <c r="H72" s="1">
        <v>0.02</v>
      </c>
      <c r="I72" s="8">
        <v>45349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453984</v>
      </c>
      <c r="AJ72" s="2">
        <v>43826</v>
      </c>
      <c r="AK72" s="2">
        <v>8106.86</v>
      </c>
      <c r="AL72" s="2">
        <v>782.61</v>
      </c>
      <c r="AM72" s="5">
        <v>4444.7299999999996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14934.3</v>
      </c>
      <c r="AT72" s="12">
        <v>13334.199999999999</v>
      </c>
      <c r="AU72" s="2">
        <v>266.68</v>
      </c>
      <c r="AV72" s="5">
        <v>0</v>
      </c>
      <c r="AX72" s="2">
        <v>453984</v>
      </c>
      <c r="AY72" s="2">
        <v>43826</v>
      </c>
      <c r="AZ72" s="2">
        <v>8106.86</v>
      </c>
      <c r="BA72" s="2">
        <v>782.61</v>
      </c>
      <c r="BB72" s="5">
        <v>4444.7299999999996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14934.3</v>
      </c>
      <c r="BI72" s="12">
        <v>13334.199999999999</v>
      </c>
      <c r="BJ72" s="2">
        <v>266.68</v>
      </c>
      <c r="BK72" s="5">
        <v>0</v>
      </c>
      <c r="BL72" s="1" t="s">
        <v>326</v>
      </c>
    </row>
    <row r="73" spans="1:64" x14ac:dyDescent="0.3">
      <c r="A73" t="s">
        <v>265</v>
      </c>
      <c r="B73" s="1" t="s">
        <v>265</v>
      </c>
      <c r="C73" s="9" t="s">
        <v>266</v>
      </c>
      <c r="D73" s="1" t="s">
        <v>42</v>
      </c>
      <c r="E73" s="1" t="s">
        <v>88</v>
      </c>
      <c r="F73" s="10" t="s">
        <v>267</v>
      </c>
      <c r="G73" s="1">
        <v>2.5000000000000001E-2</v>
      </c>
      <c r="H73" s="1">
        <v>0.02</v>
      </c>
      <c r="I73" s="8">
        <v>45527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1507370</v>
      </c>
      <c r="AJ73" s="2">
        <v>308189</v>
      </c>
      <c r="AK73" s="2">
        <v>26917.33</v>
      </c>
      <c r="AL73" s="2">
        <v>5503.37</v>
      </c>
      <c r="AM73" s="5">
        <v>16210.34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54466.76</v>
      </c>
      <c r="AT73" s="12">
        <v>48631.040000000001</v>
      </c>
      <c r="AU73" s="2">
        <v>972.62</v>
      </c>
      <c r="AV73" s="5">
        <v>0</v>
      </c>
      <c r="AX73" s="2">
        <v>1507370</v>
      </c>
      <c r="AY73" s="2">
        <v>308189</v>
      </c>
      <c r="AZ73" s="2">
        <v>26917.33</v>
      </c>
      <c r="BA73" s="2">
        <v>5503.37</v>
      </c>
      <c r="BB73" s="5">
        <v>16210.34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54466.76</v>
      </c>
      <c r="BI73" s="12">
        <v>48631.040000000001</v>
      </c>
      <c r="BJ73" s="2">
        <v>972.62</v>
      </c>
      <c r="BK73" s="5">
        <v>0</v>
      </c>
      <c r="BL73" s="1" t="s">
        <v>90</v>
      </c>
    </row>
    <row r="74" spans="1:64" x14ac:dyDescent="0.3">
      <c r="A74" t="s">
        <v>470</v>
      </c>
      <c r="B74" s="1" t="s">
        <v>470</v>
      </c>
      <c r="C74" s="9" t="s">
        <v>471</v>
      </c>
      <c r="D74" s="1" t="s">
        <v>42</v>
      </c>
      <c r="E74" s="1" t="s">
        <v>88</v>
      </c>
      <c r="F74" s="10" t="s">
        <v>472</v>
      </c>
      <c r="G74" s="1">
        <v>2.5000000000000001E-2</v>
      </c>
      <c r="H74" s="1">
        <v>0.02</v>
      </c>
      <c r="I74" s="8">
        <v>44418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606472.60000000009</v>
      </c>
      <c r="AJ74" s="2">
        <v>158573.20000000001</v>
      </c>
      <c r="AK74" s="2">
        <v>10829.86</v>
      </c>
      <c r="AL74" s="2">
        <v>2831.66</v>
      </c>
      <c r="AM74" s="5">
        <v>6830.77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22951.360000000001</v>
      </c>
      <c r="AT74" s="12">
        <v>20492.29</v>
      </c>
      <c r="AU74" s="2">
        <v>409.85</v>
      </c>
      <c r="AV74" s="5">
        <v>0</v>
      </c>
      <c r="AX74" s="2">
        <v>606472.60000000009</v>
      </c>
      <c r="AY74" s="2">
        <v>158573.20000000001</v>
      </c>
      <c r="AZ74" s="2">
        <v>10829.86</v>
      </c>
      <c r="BA74" s="2">
        <v>2831.66</v>
      </c>
      <c r="BB74" s="5">
        <v>6830.77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22951.360000000001</v>
      </c>
      <c r="BI74" s="12">
        <v>20492.29</v>
      </c>
      <c r="BJ74" s="2">
        <v>409.85</v>
      </c>
      <c r="BK74" s="5">
        <v>0</v>
      </c>
      <c r="BL74" s="1" t="s">
        <v>90</v>
      </c>
    </row>
    <row r="75" spans="1:64" x14ac:dyDescent="0.3">
      <c r="A75" t="s">
        <v>502</v>
      </c>
      <c r="B75" s="1" t="s">
        <v>502</v>
      </c>
      <c r="C75" s="9" t="s">
        <v>503</v>
      </c>
      <c r="D75" s="1" t="s">
        <v>42</v>
      </c>
      <c r="E75" s="1" t="s">
        <v>88</v>
      </c>
      <c r="F75" s="10" t="s">
        <v>472</v>
      </c>
      <c r="G75" s="1">
        <v>3.5000000000000003E-2</v>
      </c>
      <c r="H75" s="1">
        <v>0.02</v>
      </c>
      <c r="I75" s="8">
        <v>45118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509622.17</v>
      </c>
      <c r="AJ75" s="2">
        <v>247877.56</v>
      </c>
      <c r="AK75" s="2">
        <v>9100.39</v>
      </c>
      <c r="AL75" s="2">
        <v>4426.38</v>
      </c>
      <c r="AM75" s="5">
        <v>6763.39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22724.98</v>
      </c>
      <c r="AT75" s="12">
        <v>20290.160000000003</v>
      </c>
      <c r="AU75" s="2">
        <v>405.80999999999995</v>
      </c>
      <c r="AV75" s="5">
        <v>0</v>
      </c>
      <c r="AX75" s="2">
        <v>509622.17</v>
      </c>
      <c r="AY75" s="2">
        <v>247877.56</v>
      </c>
      <c r="AZ75" s="2">
        <v>9100.39</v>
      </c>
      <c r="BA75" s="2">
        <v>4426.38</v>
      </c>
      <c r="BB75" s="5">
        <v>6763.39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22724.98</v>
      </c>
      <c r="BI75" s="12">
        <v>20290.160000000003</v>
      </c>
      <c r="BJ75" s="2">
        <v>405.80999999999995</v>
      </c>
      <c r="BK75" s="5">
        <v>0</v>
      </c>
      <c r="BL75" s="1" t="s">
        <v>90</v>
      </c>
    </row>
    <row r="76" spans="1:64" x14ac:dyDescent="0.3">
      <c r="A76" t="s">
        <v>506</v>
      </c>
      <c r="B76" s="1" t="s">
        <v>506</v>
      </c>
      <c r="C76" s="9" t="s">
        <v>507</v>
      </c>
      <c r="D76" s="1" t="s">
        <v>42</v>
      </c>
      <c r="E76" s="1" t="s">
        <v>88</v>
      </c>
      <c r="F76" s="10" t="s">
        <v>472</v>
      </c>
      <c r="G76" s="1">
        <v>3.5000000000000003E-2</v>
      </c>
      <c r="H76" s="1">
        <v>0.02</v>
      </c>
      <c r="I76" s="8">
        <v>45160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910305.85</v>
      </c>
      <c r="AJ76" s="2">
        <v>209013.93</v>
      </c>
      <c r="AK76" s="2">
        <v>16255.46</v>
      </c>
      <c r="AL76" s="2">
        <v>3732.3900000000003</v>
      </c>
      <c r="AM76" s="5">
        <v>9993.93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33579.589999999997</v>
      </c>
      <c r="AT76" s="12">
        <v>29981.780000000002</v>
      </c>
      <c r="AU76" s="2">
        <v>599.64</v>
      </c>
      <c r="AV76" s="5">
        <v>0</v>
      </c>
      <c r="AX76" s="2">
        <v>910305.85</v>
      </c>
      <c r="AY76" s="2">
        <v>209013.93</v>
      </c>
      <c r="AZ76" s="2">
        <v>16255.46</v>
      </c>
      <c r="BA76" s="2">
        <v>3732.3900000000003</v>
      </c>
      <c r="BB76" s="5">
        <v>9993.93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33579.589999999997</v>
      </c>
      <c r="BI76" s="12">
        <v>29981.780000000002</v>
      </c>
      <c r="BJ76" s="2">
        <v>599.64</v>
      </c>
      <c r="BK76" s="5">
        <v>0</v>
      </c>
      <c r="BL76" s="1" t="s">
        <v>90</v>
      </c>
    </row>
    <row r="77" spans="1:64" x14ac:dyDescent="0.3">
      <c r="A77" t="s">
        <v>559</v>
      </c>
      <c r="B77" s="1" t="s">
        <v>559</v>
      </c>
      <c r="C77" s="9" t="s">
        <v>560</v>
      </c>
      <c r="D77" s="1" t="s">
        <v>42</v>
      </c>
      <c r="E77" s="1" t="s">
        <v>88</v>
      </c>
      <c r="F77" s="10" t="s">
        <v>472</v>
      </c>
      <c r="G77" s="1">
        <v>2.5000000000000001E-2</v>
      </c>
      <c r="H77" s="1">
        <v>0.02</v>
      </c>
      <c r="I77" s="8">
        <v>44093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601205.93999999994</v>
      </c>
      <c r="AJ77" s="2">
        <v>315641.66000000003</v>
      </c>
      <c r="AK77" s="2">
        <v>10735.82</v>
      </c>
      <c r="AL77" s="2">
        <v>5636.4500000000007</v>
      </c>
      <c r="AM77" s="5">
        <v>8186.15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27505.43</v>
      </c>
      <c r="AT77" s="12">
        <v>24558.420000000002</v>
      </c>
      <c r="AU77" s="2">
        <v>491.15999999999997</v>
      </c>
      <c r="AV77" s="5">
        <v>0</v>
      </c>
      <c r="AX77" s="2">
        <v>601205.93999999994</v>
      </c>
      <c r="AY77" s="2">
        <v>315641.66000000003</v>
      </c>
      <c r="AZ77" s="2">
        <v>10735.82</v>
      </c>
      <c r="BA77" s="2">
        <v>5636.4500000000007</v>
      </c>
      <c r="BB77" s="5">
        <v>8186.15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27505.43</v>
      </c>
      <c r="BI77" s="12">
        <v>24558.420000000002</v>
      </c>
      <c r="BJ77" s="2">
        <v>491.15999999999997</v>
      </c>
      <c r="BK77" s="5">
        <v>0</v>
      </c>
      <c r="BL77" s="1" t="s">
        <v>90</v>
      </c>
    </row>
    <row r="78" spans="1:64" x14ac:dyDescent="0.3">
      <c r="A78" t="s">
        <v>577</v>
      </c>
      <c r="B78" s="1" t="s">
        <v>577</v>
      </c>
      <c r="C78" s="9" t="s">
        <v>578</v>
      </c>
      <c r="D78" s="1" t="s">
        <v>42</v>
      </c>
      <c r="E78" s="1" t="s">
        <v>88</v>
      </c>
      <c r="F78" s="10" t="s">
        <v>267</v>
      </c>
      <c r="G78" s="1">
        <v>2.5000000000000001E-2</v>
      </c>
      <c r="H78" s="1">
        <v>0.02</v>
      </c>
      <c r="I78" s="8">
        <v>44374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818563.45</v>
      </c>
      <c r="AJ78" s="2">
        <v>204746</v>
      </c>
      <c r="AK78" s="2">
        <v>14617.2</v>
      </c>
      <c r="AL78" s="2">
        <v>3656.18</v>
      </c>
      <c r="AM78" s="5">
        <v>9136.68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30699.27</v>
      </c>
      <c r="AT78" s="12">
        <v>27410.06</v>
      </c>
      <c r="AU78" s="2">
        <v>548.20000000000005</v>
      </c>
      <c r="AV78" s="5">
        <v>0</v>
      </c>
      <c r="AX78" s="2">
        <v>818563.45</v>
      </c>
      <c r="AY78" s="2">
        <v>204746</v>
      </c>
      <c r="AZ78" s="2">
        <v>14617.2</v>
      </c>
      <c r="BA78" s="2">
        <v>3656.18</v>
      </c>
      <c r="BB78" s="5">
        <v>9136.68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30699.27</v>
      </c>
      <c r="BI78" s="12">
        <v>27410.06</v>
      </c>
      <c r="BJ78" s="2">
        <v>548.20000000000005</v>
      </c>
      <c r="BK78" s="5">
        <v>0</v>
      </c>
      <c r="BL78" s="1" t="s">
        <v>90</v>
      </c>
    </row>
    <row r="79" spans="1:64" x14ac:dyDescent="0.3">
      <c r="A79" t="s">
        <v>594</v>
      </c>
      <c r="B79" s="1" t="s">
        <v>594</v>
      </c>
      <c r="C79" s="9" t="s">
        <v>595</v>
      </c>
      <c r="D79" s="1" t="s">
        <v>42</v>
      </c>
      <c r="E79" s="1" t="s">
        <v>88</v>
      </c>
      <c r="F79" s="10" t="s">
        <v>472</v>
      </c>
      <c r="G79" s="1">
        <v>3.5000000000000003E-2</v>
      </c>
      <c r="H79" s="1">
        <v>0.02</v>
      </c>
      <c r="I79" s="8">
        <v>44693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525002.16</v>
      </c>
      <c r="AJ79" s="2">
        <v>159542.26</v>
      </c>
      <c r="AK79" s="2">
        <v>9375.0400000000009</v>
      </c>
      <c r="AL79" s="2">
        <v>2848.9700000000003</v>
      </c>
      <c r="AM79" s="5">
        <v>6112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20536.330000000002</v>
      </c>
      <c r="AT79" s="12">
        <v>18336.009999999998</v>
      </c>
      <c r="AU79" s="2">
        <v>366.72999999999996</v>
      </c>
      <c r="AV79" s="5">
        <v>0</v>
      </c>
      <c r="AX79" s="2">
        <v>525002.16</v>
      </c>
      <c r="AY79" s="2">
        <v>159542.26</v>
      </c>
      <c r="AZ79" s="2">
        <v>9375.0400000000009</v>
      </c>
      <c r="BA79" s="2">
        <v>2848.9700000000003</v>
      </c>
      <c r="BB79" s="5">
        <v>6112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20536.330000000002</v>
      </c>
      <c r="BI79" s="12">
        <v>18336.009999999998</v>
      </c>
      <c r="BJ79" s="2">
        <v>366.72999999999996</v>
      </c>
      <c r="BK79" s="5">
        <v>0</v>
      </c>
      <c r="BL79" s="1" t="s">
        <v>90</v>
      </c>
    </row>
    <row r="80" spans="1:64" x14ac:dyDescent="0.3">
      <c r="A80" t="s">
        <v>598</v>
      </c>
      <c r="B80" s="1" t="s">
        <v>598</v>
      </c>
      <c r="C80" s="9" t="s">
        <v>599</v>
      </c>
      <c r="D80" s="1" t="s">
        <v>42</v>
      </c>
      <c r="E80" s="1" t="s">
        <v>88</v>
      </c>
      <c r="F80" s="10" t="s">
        <v>267</v>
      </c>
      <c r="G80" s="1">
        <v>3.5000000000000003E-2</v>
      </c>
      <c r="H80" s="1">
        <v>0.02</v>
      </c>
      <c r="I80" s="8">
        <v>44774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1024327.73</v>
      </c>
      <c r="AJ80" s="2">
        <v>369659.47</v>
      </c>
      <c r="AK80" s="2">
        <v>18291.560000000001</v>
      </c>
      <c r="AL80" s="2">
        <v>6601.0599999999995</v>
      </c>
      <c r="AM80" s="5">
        <v>12446.31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41819.599999999999</v>
      </c>
      <c r="AT80" s="12">
        <v>37338.93</v>
      </c>
      <c r="AU80" s="2">
        <v>746.78</v>
      </c>
      <c r="AV80" s="5">
        <v>0</v>
      </c>
      <c r="AX80" s="2">
        <v>1024327.73</v>
      </c>
      <c r="AY80" s="2">
        <v>369659.47</v>
      </c>
      <c r="AZ80" s="2">
        <v>18291.560000000001</v>
      </c>
      <c r="BA80" s="2">
        <v>6601.0599999999995</v>
      </c>
      <c r="BB80" s="5">
        <v>12446.31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41819.599999999999</v>
      </c>
      <c r="BI80" s="12">
        <v>37338.93</v>
      </c>
      <c r="BJ80" s="2">
        <v>746.78</v>
      </c>
      <c r="BK80" s="5">
        <v>0</v>
      </c>
      <c r="BL80" s="1" t="s">
        <v>90</v>
      </c>
    </row>
    <row r="81" spans="1:64" x14ac:dyDescent="0.3">
      <c r="A81" t="s">
        <v>622</v>
      </c>
      <c r="B81" s="1" t="s">
        <v>622</v>
      </c>
      <c r="C81" s="9" t="s">
        <v>623</v>
      </c>
      <c r="D81" s="1" t="s">
        <v>42</v>
      </c>
      <c r="E81" s="1" t="s">
        <v>88</v>
      </c>
      <c r="F81" s="10" t="s">
        <v>472</v>
      </c>
      <c r="G81" s="1">
        <v>2.5000000000000001E-2</v>
      </c>
      <c r="H81" s="1">
        <v>0.02</v>
      </c>
      <c r="I81" s="8">
        <v>44415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1096089.31</v>
      </c>
      <c r="AJ81" s="2">
        <v>152914.49</v>
      </c>
      <c r="AK81" s="2">
        <v>19573.03</v>
      </c>
      <c r="AL81" s="2">
        <v>2730.62</v>
      </c>
      <c r="AM81" s="5">
        <v>11151.82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37470.129999999997</v>
      </c>
      <c r="AT81" s="12">
        <v>33455.47</v>
      </c>
      <c r="AU81" s="2">
        <v>669.11</v>
      </c>
      <c r="AV81" s="5">
        <v>0</v>
      </c>
      <c r="AX81" s="2">
        <v>1096089.31</v>
      </c>
      <c r="AY81" s="2">
        <v>152914.49</v>
      </c>
      <c r="AZ81" s="2">
        <v>19573.03</v>
      </c>
      <c r="BA81" s="2">
        <v>2730.62</v>
      </c>
      <c r="BB81" s="5">
        <v>11151.82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37470.129999999997</v>
      </c>
      <c r="BI81" s="12">
        <v>33455.47</v>
      </c>
      <c r="BJ81" s="2">
        <v>669.11</v>
      </c>
      <c r="BK81" s="5">
        <v>0</v>
      </c>
      <c r="BL81" s="1" t="s">
        <v>90</v>
      </c>
    </row>
    <row r="82" spans="1:64" x14ac:dyDescent="0.3">
      <c r="A82" t="s">
        <v>658</v>
      </c>
      <c r="B82" s="1" t="s">
        <v>658</v>
      </c>
      <c r="C82" s="9" t="s">
        <v>659</v>
      </c>
      <c r="D82" s="1" t="s">
        <v>42</v>
      </c>
      <c r="E82" s="1" t="s">
        <v>88</v>
      </c>
      <c r="F82" s="10" t="s">
        <v>267</v>
      </c>
      <c r="G82" s="1">
        <v>0</v>
      </c>
      <c r="H82" s="1">
        <v>0.02</v>
      </c>
      <c r="I82" s="8">
        <v>45171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338287</v>
      </c>
      <c r="AJ82" s="2">
        <v>90148</v>
      </c>
      <c r="AK82" s="2">
        <v>6040.84</v>
      </c>
      <c r="AL82" s="2">
        <v>1609.7800000000002</v>
      </c>
      <c r="AM82" s="5">
        <v>3825.3199999999997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12853.05</v>
      </c>
      <c r="AT82" s="12">
        <v>11475.939999999999</v>
      </c>
      <c r="AU82" s="2">
        <v>229.52</v>
      </c>
      <c r="AV82" s="5">
        <v>0</v>
      </c>
      <c r="AX82" s="2">
        <v>338287</v>
      </c>
      <c r="AY82" s="2">
        <v>90148</v>
      </c>
      <c r="AZ82" s="2">
        <v>6040.84</v>
      </c>
      <c r="BA82" s="2">
        <v>1609.7800000000002</v>
      </c>
      <c r="BB82" s="5">
        <v>3825.3199999999997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12853.05</v>
      </c>
      <c r="BI82" s="12">
        <v>11475.939999999999</v>
      </c>
      <c r="BJ82" s="2">
        <v>229.52</v>
      </c>
      <c r="BK82" s="5">
        <v>0</v>
      </c>
      <c r="BL82" s="1" t="s">
        <v>90</v>
      </c>
    </row>
    <row r="83" spans="1:64" x14ac:dyDescent="0.3">
      <c r="A83" t="s">
        <v>667</v>
      </c>
      <c r="B83" s="1" t="s">
        <v>667</v>
      </c>
      <c r="C83" s="9" t="s">
        <v>668</v>
      </c>
      <c r="D83" s="1" t="s">
        <v>42</v>
      </c>
      <c r="E83" s="1" t="s">
        <v>88</v>
      </c>
      <c r="F83" s="10" t="s">
        <v>472</v>
      </c>
      <c r="G83" s="1">
        <v>0</v>
      </c>
      <c r="H83" s="1">
        <v>0.02</v>
      </c>
      <c r="I83" s="8">
        <v>45501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827989.96</v>
      </c>
      <c r="AJ83" s="2">
        <v>195805</v>
      </c>
      <c r="AK83" s="2">
        <v>14785.54</v>
      </c>
      <c r="AL83" s="2">
        <v>3496.52</v>
      </c>
      <c r="AM83" s="5">
        <v>9141.0300000000007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30713.86</v>
      </c>
      <c r="AT83" s="12">
        <v>27423.090000000004</v>
      </c>
      <c r="AU83" s="2">
        <v>548.46</v>
      </c>
      <c r="AV83" s="5">
        <v>0</v>
      </c>
      <c r="AX83" s="2">
        <v>827989.96</v>
      </c>
      <c r="AY83" s="2">
        <v>195805</v>
      </c>
      <c r="AZ83" s="2">
        <v>14785.54</v>
      </c>
      <c r="BA83" s="2">
        <v>3496.52</v>
      </c>
      <c r="BB83" s="5">
        <v>9141.0300000000007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30713.86</v>
      </c>
      <c r="BI83" s="12">
        <v>27423.090000000004</v>
      </c>
      <c r="BJ83" s="2">
        <v>548.46</v>
      </c>
      <c r="BK83" s="5">
        <v>0</v>
      </c>
      <c r="BL83" s="1" t="s">
        <v>90</v>
      </c>
    </row>
    <row r="84" spans="1:64" x14ac:dyDescent="0.3">
      <c r="A84" t="s">
        <v>763</v>
      </c>
      <c r="B84" s="1" t="s">
        <v>763</v>
      </c>
      <c r="C84" s="9" t="s">
        <v>764</v>
      </c>
      <c r="D84" s="1" t="s">
        <v>42</v>
      </c>
      <c r="E84" s="1" t="s">
        <v>88</v>
      </c>
      <c r="F84" s="10" t="s">
        <v>472</v>
      </c>
      <c r="G84" s="1">
        <v>0</v>
      </c>
      <c r="H84" s="1">
        <v>0.02</v>
      </c>
      <c r="I84" s="8">
        <v>44612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766496.94</v>
      </c>
      <c r="AJ84" s="2">
        <v>165975.53</v>
      </c>
      <c r="AK84" s="2">
        <v>13687.45</v>
      </c>
      <c r="AL84" s="2">
        <v>2963.85</v>
      </c>
      <c r="AM84" s="5">
        <v>8325.64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27974.17</v>
      </c>
      <c r="AT84" s="12">
        <v>24976.94</v>
      </c>
      <c r="AU84" s="2">
        <v>499.54</v>
      </c>
      <c r="AV84" s="5">
        <v>0</v>
      </c>
      <c r="AX84" s="2">
        <v>766496.94</v>
      </c>
      <c r="AY84" s="2">
        <v>165975.53</v>
      </c>
      <c r="AZ84" s="2">
        <v>13687.45</v>
      </c>
      <c r="BA84" s="2">
        <v>2963.85</v>
      </c>
      <c r="BB84" s="5">
        <v>8325.64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27974.17</v>
      </c>
      <c r="BI84" s="12">
        <v>24976.94</v>
      </c>
      <c r="BJ84" s="2">
        <v>499.54</v>
      </c>
      <c r="BK84" s="5">
        <v>0</v>
      </c>
      <c r="BL84" s="1" t="s">
        <v>90</v>
      </c>
    </row>
    <row r="85" spans="1:64" x14ac:dyDescent="0.3">
      <c r="A85" t="s">
        <v>773</v>
      </c>
      <c r="B85" s="1" t="s">
        <v>773</v>
      </c>
      <c r="C85" s="9" t="s">
        <v>774</v>
      </c>
      <c r="D85" s="1" t="s">
        <v>42</v>
      </c>
      <c r="E85" s="1" t="s">
        <v>88</v>
      </c>
      <c r="F85" s="10" t="s">
        <v>267</v>
      </c>
      <c r="G85" s="1">
        <v>0</v>
      </c>
      <c r="H85" s="1">
        <v>0.02</v>
      </c>
      <c r="I85" s="8">
        <v>44768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1186865.05</v>
      </c>
      <c r="AJ85" s="2">
        <v>197103</v>
      </c>
      <c r="AK85" s="2">
        <v>21194.01</v>
      </c>
      <c r="AL85" s="2">
        <v>3519.69</v>
      </c>
      <c r="AM85" s="5">
        <v>12356.86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41519.03</v>
      </c>
      <c r="AT85" s="12">
        <v>37070.559999999998</v>
      </c>
      <c r="AU85" s="2">
        <v>741.42000000000007</v>
      </c>
      <c r="AV85" s="5">
        <v>0</v>
      </c>
      <c r="AX85" s="2">
        <v>1186865.05</v>
      </c>
      <c r="AY85" s="2">
        <v>197103</v>
      </c>
      <c r="AZ85" s="2">
        <v>21194.01</v>
      </c>
      <c r="BA85" s="2">
        <v>3519.69</v>
      </c>
      <c r="BB85" s="5">
        <v>12356.86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41519.03</v>
      </c>
      <c r="BI85" s="12">
        <v>37070.559999999998</v>
      </c>
      <c r="BJ85" s="2">
        <v>741.42000000000007</v>
      </c>
      <c r="BK85" s="5">
        <v>0</v>
      </c>
      <c r="BL85" s="1" t="s">
        <v>90</v>
      </c>
    </row>
    <row r="86" spans="1:64" x14ac:dyDescent="0.3">
      <c r="A86" t="s">
        <v>787</v>
      </c>
      <c r="B86" s="1" t="s">
        <v>787</v>
      </c>
      <c r="C86" s="9" t="s">
        <v>788</v>
      </c>
      <c r="D86" s="1" t="s">
        <v>42</v>
      </c>
      <c r="E86" s="1" t="s">
        <v>88</v>
      </c>
      <c r="F86" s="10" t="s">
        <v>267</v>
      </c>
      <c r="G86" s="1">
        <v>3.5000000000000003E-2</v>
      </c>
      <c r="H86" s="1">
        <v>0.02</v>
      </c>
      <c r="I86" s="8">
        <v>45003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413943.16000000003</v>
      </c>
      <c r="AJ86" s="2">
        <v>145622</v>
      </c>
      <c r="AK86" s="2">
        <v>7391.83</v>
      </c>
      <c r="AL86" s="2">
        <v>2600.4</v>
      </c>
      <c r="AM86" s="5">
        <v>4996.12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16786.95</v>
      </c>
      <c r="AT86" s="12">
        <v>14988.35</v>
      </c>
      <c r="AU86" s="2">
        <v>299.77</v>
      </c>
      <c r="AV86" s="5">
        <v>0</v>
      </c>
      <c r="AX86" s="2">
        <v>413943.16000000003</v>
      </c>
      <c r="AY86" s="2">
        <v>145622</v>
      </c>
      <c r="AZ86" s="2">
        <v>7391.83</v>
      </c>
      <c r="BA86" s="2">
        <v>2600.4</v>
      </c>
      <c r="BB86" s="5">
        <v>4996.12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16786.95</v>
      </c>
      <c r="BI86" s="12">
        <v>14988.35</v>
      </c>
      <c r="BJ86" s="2">
        <v>299.77</v>
      </c>
      <c r="BK86" s="5">
        <v>0</v>
      </c>
      <c r="BL86" s="1" t="s">
        <v>90</v>
      </c>
    </row>
    <row r="87" spans="1:64" x14ac:dyDescent="0.3">
      <c r="A87" t="s">
        <v>827</v>
      </c>
      <c r="B87" s="1" t="s">
        <v>827</v>
      </c>
      <c r="C87" s="9" t="s">
        <v>828</v>
      </c>
      <c r="D87" s="1" t="s">
        <v>42</v>
      </c>
      <c r="E87" s="1" t="s">
        <v>88</v>
      </c>
      <c r="F87" s="10" t="s">
        <v>472</v>
      </c>
      <c r="G87" s="1">
        <v>0</v>
      </c>
      <c r="H87" s="1">
        <v>0.02</v>
      </c>
      <c r="I87" s="8">
        <v>45051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680573.10000000009</v>
      </c>
      <c r="AJ87" s="2">
        <v>277513.25</v>
      </c>
      <c r="AK87" s="2">
        <v>12153.09</v>
      </c>
      <c r="AL87" s="2">
        <v>4955.59</v>
      </c>
      <c r="AM87" s="5">
        <v>8554.34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28742.58</v>
      </c>
      <c r="AT87" s="12">
        <v>25663.02</v>
      </c>
      <c r="AU87" s="2">
        <v>513.26</v>
      </c>
      <c r="AV87" s="5">
        <v>0</v>
      </c>
      <c r="AX87" s="2">
        <v>680573.10000000009</v>
      </c>
      <c r="AY87" s="2">
        <v>277513.25</v>
      </c>
      <c r="AZ87" s="2">
        <v>12153.09</v>
      </c>
      <c r="BA87" s="2">
        <v>4955.59</v>
      </c>
      <c r="BB87" s="5">
        <v>8554.34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28742.58</v>
      </c>
      <c r="BI87" s="12">
        <v>25663.02</v>
      </c>
      <c r="BJ87" s="2">
        <v>513.26</v>
      </c>
      <c r="BK87" s="5">
        <v>0</v>
      </c>
      <c r="BL87" s="1" t="s">
        <v>90</v>
      </c>
    </row>
    <row r="88" spans="1:64" x14ac:dyDescent="0.3">
      <c r="A88" t="s">
        <v>1009</v>
      </c>
      <c r="B88" s="1" t="s">
        <v>1010</v>
      </c>
      <c r="C88" s="9" t="s">
        <v>1011</v>
      </c>
      <c r="D88" s="1" t="s">
        <v>42</v>
      </c>
      <c r="E88" s="1" t="s">
        <v>88</v>
      </c>
      <c r="F88" s="10" t="s">
        <v>267</v>
      </c>
      <c r="G88" s="1">
        <v>0</v>
      </c>
      <c r="H88" s="1">
        <v>0.02</v>
      </c>
      <c r="I88" s="8">
        <v>44454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410584.05</v>
      </c>
      <c r="AJ88" s="2">
        <v>197917</v>
      </c>
      <c r="AK88" s="2">
        <v>7331.86</v>
      </c>
      <c r="AL88" s="2">
        <v>3534.24</v>
      </c>
      <c r="AM88" s="5">
        <v>5433.05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18255.05</v>
      </c>
      <c r="AT88" s="12">
        <v>16299.150000000001</v>
      </c>
      <c r="AU88" s="2">
        <v>325.99</v>
      </c>
      <c r="AV88" s="5">
        <v>0</v>
      </c>
      <c r="AX88" s="2">
        <v>410584.05</v>
      </c>
      <c r="AY88" s="2">
        <v>197917</v>
      </c>
      <c r="AZ88" s="2">
        <v>7331.86</v>
      </c>
      <c r="BA88" s="2">
        <v>3534.24</v>
      </c>
      <c r="BB88" s="5">
        <v>5433.05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18255.05</v>
      </c>
      <c r="BI88" s="12">
        <v>16299.150000000001</v>
      </c>
      <c r="BJ88" s="2">
        <v>325.99</v>
      </c>
      <c r="BK88" s="5">
        <v>0</v>
      </c>
      <c r="BL88" s="1" t="s">
        <v>90</v>
      </c>
    </row>
    <row r="89" spans="1:64" x14ac:dyDescent="0.3">
      <c r="A89" t="s">
        <v>1272</v>
      </c>
      <c r="B89" s="1" t="s">
        <v>1272</v>
      </c>
      <c r="C89" s="9" t="s">
        <v>1273</v>
      </c>
      <c r="D89" s="1" t="s">
        <v>42</v>
      </c>
      <c r="E89" s="1" t="s">
        <v>88</v>
      </c>
      <c r="F89" s="10" t="s">
        <v>472</v>
      </c>
      <c r="G89" s="1">
        <v>0</v>
      </c>
      <c r="H89" s="1">
        <v>0.02</v>
      </c>
      <c r="I89" s="8">
        <v>45143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595472.9</v>
      </c>
      <c r="AJ89" s="2">
        <v>129789</v>
      </c>
      <c r="AK89" s="2">
        <v>10633.45</v>
      </c>
      <c r="AL89" s="2">
        <v>2317.66</v>
      </c>
      <c r="AM89" s="5">
        <v>6475.55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21757.86</v>
      </c>
      <c r="AT89" s="12">
        <v>19426.66</v>
      </c>
      <c r="AU89" s="2">
        <v>388.53</v>
      </c>
      <c r="AV89" s="5">
        <v>0</v>
      </c>
      <c r="AX89" s="2">
        <v>595472.9</v>
      </c>
      <c r="AY89" s="2">
        <v>129789</v>
      </c>
      <c r="AZ89" s="2">
        <v>10633.45</v>
      </c>
      <c r="BA89" s="2">
        <v>2317.66</v>
      </c>
      <c r="BB89" s="5">
        <v>6475.55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21757.86</v>
      </c>
      <c r="BI89" s="12">
        <v>19426.66</v>
      </c>
      <c r="BJ89" s="2">
        <v>388.53</v>
      </c>
      <c r="BK89" s="5">
        <v>0</v>
      </c>
      <c r="BL89" s="1" t="s">
        <v>90</v>
      </c>
    </row>
    <row r="90" spans="1:64" x14ac:dyDescent="0.3">
      <c r="A90" t="s">
        <v>142</v>
      </c>
      <c r="B90" s="1" t="s">
        <v>142</v>
      </c>
      <c r="C90" s="9" t="s">
        <v>143</v>
      </c>
      <c r="D90" s="1" t="s">
        <v>43</v>
      </c>
      <c r="E90" s="1" t="s">
        <v>135</v>
      </c>
      <c r="F90" s="10" t="s">
        <v>144</v>
      </c>
      <c r="G90" s="1">
        <v>2.5000000000000001E-2</v>
      </c>
      <c r="H90" s="1">
        <v>0.02</v>
      </c>
      <c r="I90" s="8">
        <v>44009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845955.57000000007</v>
      </c>
      <c r="AJ90" s="2">
        <v>152438.56</v>
      </c>
      <c r="AK90" s="2">
        <v>15106.35</v>
      </c>
      <c r="AL90" s="2">
        <v>2722.12</v>
      </c>
      <c r="AM90" s="5">
        <v>8914.23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29951.82</v>
      </c>
      <c r="AT90" s="12">
        <v>26742.7</v>
      </c>
      <c r="AU90" s="2">
        <v>534.85</v>
      </c>
      <c r="AV90" s="5">
        <v>0</v>
      </c>
      <c r="AX90" s="2">
        <v>845955.57000000007</v>
      </c>
      <c r="AY90" s="2">
        <v>152438.56</v>
      </c>
      <c r="AZ90" s="2">
        <v>15106.35</v>
      </c>
      <c r="BA90" s="2">
        <v>2722.12</v>
      </c>
      <c r="BB90" s="5">
        <v>8914.23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29951.82</v>
      </c>
      <c r="BI90" s="12">
        <v>26742.7</v>
      </c>
      <c r="BJ90" s="2">
        <v>534.85</v>
      </c>
      <c r="BK90" s="5">
        <v>0</v>
      </c>
      <c r="BL90" s="1" t="s">
        <v>137</v>
      </c>
    </row>
    <row r="91" spans="1:64" x14ac:dyDescent="0.3">
      <c r="A91" t="s">
        <v>314</v>
      </c>
      <c r="B91" s="1" t="s">
        <v>314</v>
      </c>
      <c r="C91" s="9" t="s">
        <v>315</v>
      </c>
      <c r="D91" s="1" t="s">
        <v>43</v>
      </c>
      <c r="E91" s="1" t="s">
        <v>135</v>
      </c>
      <c r="F91" s="10" t="s">
        <v>316</v>
      </c>
      <c r="G91" s="1">
        <v>2.5000000000000001E-2</v>
      </c>
      <c r="H91" s="1">
        <v>0.02</v>
      </c>
      <c r="I91" s="8">
        <v>44183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494827</v>
      </c>
      <c r="AJ91" s="2">
        <v>46098</v>
      </c>
      <c r="AK91" s="2">
        <v>8836.19</v>
      </c>
      <c r="AL91" s="2">
        <v>823.18000000000006</v>
      </c>
      <c r="AM91" s="5">
        <v>4829.6900000000005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16227.75</v>
      </c>
      <c r="AT91" s="12">
        <v>14489.060000000001</v>
      </c>
      <c r="AU91" s="2">
        <v>289.79000000000002</v>
      </c>
      <c r="AV91" s="5">
        <v>0</v>
      </c>
      <c r="AX91" s="2">
        <v>494827</v>
      </c>
      <c r="AY91" s="2">
        <v>46098</v>
      </c>
      <c r="AZ91" s="2">
        <v>8836.19</v>
      </c>
      <c r="BA91" s="2">
        <v>823.18000000000006</v>
      </c>
      <c r="BB91" s="5">
        <v>4829.6900000000005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16227.75</v>
      </c>
      <c r="BI91" s="12">
        <v>14489.060000000001</v>
      </c>
      <c r="BJ91" s="2">
        <v>289.79000000000002</v>
      </c>
      <c r="BK91" s="5">
        <v>0</v>
      </c>
      <c r="BL91" s="1" t="s">
        <v>302</v>
      </c>
    </row>
    <row r="92" spans="1:64" x14ac:dyDescent="0.3">
      <c r="A92" t="s">
        <v>383</v>
      </c>
      <c r="B92" s="1" t="s">
        <v>383</v>
      </c>
      <c r="C92" s="9" t="s">
        <v>384</v>
      </c>
      <c r="D92" s="1" t="s">
        <v>43</v>
      </c>
      <c r="E92" s="1" t="s">
        <v>128</v>
      </c>
      <c r="F92" s="10" t="s">
        <v>385</v>
      </c>
      <c r="G92" s="1">
        <v>3.5000000000000003E-2</v>
      </c>
      <c r="H92" s="1">
        <v>0.02</v>
      </c>
      <c r="I92" s="8">
        <v>45242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0</v>
      </c>
      <c r="AJ92" s="2">
        <v>0</v>
      </c>
      <c r="AK92" s="2">
        <v>0</v>
      </c>
      <c r="AL92" s="2">
        <v>0</v>
      </c>
      <c r="AM92" s="5">
        <v>0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0</v>
      </c>
      <c r="AT92" s="12">
        <v>0</v>
      </c>
      <c r="AU92" s="2">
        <v>0</v>
      </c>
      <c r="AV92" s="5">
        <v>0</v>
      </c>
      <c r="AX92" s="2">
        <v>0</v>
      </c>
      <c r="AY92" s="2">
        <v>0</v>
      </c>
      <c r="AZ92" s="2">
        <v>0</v>
      </c>
      <c r="BA92" s="2">
        <v>0</v>
      </c>
      <c r="BB92" s="5">
        <v>0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0</v>
      </c>
      <c r="BI92" s="12">
        <v>0</v>
      </c>
      <c r="BJ92" s="2">
        <v>0</v>
      </c>
      <c r="BK92" s="5">
        <v>0</v>
      </c>
      <c r="BL92" s="1" t="s">
        <v>326</v>
      </c>
    </row>
    <row r="93" spans="1:64" x14ac:dyDescent="0.3">
      <c r="A93" t="s">
        <v>500</v>
      </c>
      <c r="B93" s="1" t="s">
        <v>500</v>
      </c>
      <c r="C93" s="9" t="s">
        <v>501</v>
      </c>
      <c r="D93" s="1" t="s">
        <v>43</v>
      </c>
      <c r="E93" s="1" t="s">
        <v>135</v>
      </c>
      <c r="F93" s="10" t="s">
        <v>316</v>
      </c>
      <c r="G93" s="1">
        <v>0</v>
      </c>
      <c r="H93" s="1">
        <v>0.02</v>
      </c>
      <c r="I93" s="8">
        <v>45091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331630.59999999998</v>
      </c>
      <c r="AJ93" s="2">
        <v>71758</v>
      </c>
      <c r="AK93" s="2">
        <v>5921.97</v>
      </c>
      <c r="AL93" s="2">
        <v>1281.3900000000001</v>
      </c>
      <c r="AM93" s="5">
        <v>3601.69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12101.66</v>
      </c>
      <c r="AT93" s="12">
        <v>10805.050000000001</v>
      </c>
      <c r="AU93" s="2">
        <v>216.1</v>
      </c>
      <c r="AV93" s="5">
        <v>0</v>
      </c>
      <c r="AX93" s="2">
        <v>331630.59999999998</v>
      </c>
      <c r="AY93" s="2">
        <v>71758</v>
      </c>
      <c r="AZ93" s="2">
        <v>5921.97</v>
      </c>
      <c r="BA93" s="2">
        <v>1281.3900000000001</v>
      </c>
      <c r="BB93" s="5">
        <v>3601.69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12101.66</v>
      </c>
      <c r="BI93" s="12">
        <v>10805.050000000001</v>
      </c>
      <c r="BJ93" s="2">
        <v>216.1</v>
      </c>
      <c r="BK93" s="5">
        <v>0</v>
      </c>
      <c r="BL93" s="1" t="s">
        <v>302</v>
      </c>
    </row>
    <row r="94" spans="1:64" x14ac:dyDescent="0.3">
      <c r="A94" t="s">
        <v>567</v>
      </c>
      <c r="B94" s="1" t="s">
        <v>567</v>
      </c>
      <c r="C94" s="9" t="s">
        <v>568</v>
      </c>
      <c r="D94" s="1" t="s">
        <v>43</v>
      </c>
      <c r="E94" s="1" t="s">
        <v>135</v>
      </c>
      <c r="F94" s="10" t="s">
        <v>144</v>
      </c>
      <c r="G94" s="1">
        <v>2.5000000000000001E-2</v>
      </c>
      <c r="H94" s="1">
        <v>0.02</v>
      </c>
      <c r="I94" s="8">
        <v>44183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441727.00000000006</v>
      </c>
      <c r="AJ94" s="2">
        <v>112626</v>
      </c>
      <c r="AK94" s="2">
        <v>7887.98</v>
      </c>
      <c r="AL94" s="2">
        <v>2011.18</v>
      </c>
      <c r="AM94" s="5">
        <v>4949.58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16630.59</v>
      </c>
      <c r="AT94" s="12">
        <v>14848.74</v>
      </c>
      <c r="AU94" s="2">
        <v>296.97000000000003</v>
      </c>
      <c r="AV94" s="5">
        <v>0</v>
      </c>
      <c r="AX94" s="2">
        <v>441727.00000000006</v>
      </c>
      <c r="AY94" s="2">
        <v>112626</v>
      </c>
      <c r="AZ94" s="2">
        <v>7887.98</v>
      </c>
      <c r="BA94" s="2">
        <v>2011.18</v>
      </c>
      <c r="BB94" s="5">
        <v>4949.58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16630.59</v>
      </c>
      <c r="BI94" s="12">
        <v>14848.74</v>
      </c>
      <c r="BJ94" s="2">
        <v>296.97000000000003</v>
      </c>
      <c r="BK94" s="5">
        <v>0</v>
      </c>
      <c r="BL94" s="1" t="s">
        <v>137</v>
      </c>
    </row>
    <row r="95" spans="1:64" x14ac:dyDescent="0.3">
      <c r="A95" t="s">
        <v>581</v>
      </c>
      <c r="B95" s="1" t="s">
        <v>581</v>
      </c>
      <c r="C95" s="9" t="s">
        <v>582</v>
      </c>
      <c r="D95" s="1" t="s">
        <v>43</v>
      </c>
      <c r="E95" s="1" t="s">
        <v>135</v>
      </c>
      <c r="F95" s="10" t="s">
        <v>583</v>
      </c>
      <c r="G95" s="1">
        <v>2.5000000000000001E-2</v>
      </c>
      <c r="H95" s="1">
        <v>0.02</v>
      </c>
      <c r="I95" s="8">
        <v>44385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693957.8</v>
      </c>
      <c r="AJ95" s="2">
        <v>104153.01000000001</v>
      </c>
      <c r="AK95" s="2">
        <v>12392.11</v>
      </c>
      <c r="AL95" s="2">
        <v>1859.87</v>
      </c>
      <c r="AM95" s="5">
        <v>7125.99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23943.33</v>
      </c>
      <c r="AT95" s="12">
        <v>21377.97</v>
      </c>
      <c r="AU95" s="2">
        <v>427.56</v>
      </c>
      <c r="AV95" s="5">
        <v>0</v>
      </c>
      <c r="AX95" s="2">
        <v>693957.8</v>
      </c>
      <c r="AY95" s="2">
        <v>104153.01000000001</v>
      </c>
      <c r="AZ95" s="2">
        <v>12392.11</v>
      </c>
      <c r="BA95" s="2">
        <v>1859.87</v>
      </c>
      <c r="BB95" s="5">
        <v>7125.99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23943.33</v>
      </c>
      <c r="BI95" s="12">
        <v>21377.97</v>
      </c>
      <c r="BJ95" s="2">
        <v>427.56</v>
      </c>
      <c r="BK95" s="5">
        <v>0</v>
      </c>
      <c r="BL95" s="1" t="s">
        <v>137</v>
      </c>
    </row>
    <row r="96" spans="1:64" x14ac:dyDescent="0.3">
      <c r="A96" t="s">
        <v>637</v>
      </c>
      <c r="B96" s="1" t="s">
        <v>637</v>
      </c>
      <c r="C96" s="9" t="s">
        <v>638</v>
      </c>
      <c r="D96" s="1" t="s">
        <v>43</v>
      </c>
      <c r="E96" s="1" t="s">
        <v>88</v>
      </c>
      <c r="F96" s="10" t="s">
        <v>639</v>
      </c>
      <c r="G96" s="1">
        <v>3.5000000000000003E-2</v>
      </c>
      <c r="H96" s="1">
        <v>0.02</v>
      </c>
      <c r="I96" s="8">
        <v>45131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340986.6</v>
      </c>
      <c r="AJ96" s="2">
        <v>101735</v>
      </c>
      <c r="AK96" s="2">
        <v>6089.04</v>
      </c>
      <c r="AL96" s="2">
        <v>1816.7</v>
      </c>
      <c r="AM96" s="5">
        <v>3952.88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13281.65</v>
      </c>
      <c r="AT96" s="12">
        <v>11858.619999999999</v>
      </c>
      <c r="AU96" s="2">
        <v>237.17</v>
      </c>
      <c r="AV96" s="5">
        <v>0</v>
      </c>
      <c r="AX96" s="2">
        <v>340986.6</v>
      </c>
      <c r="AY96" s="2">
        <v>101735</v>
      </c>
      <c r="AZ96" s="2">
        <v>6089.04</v>
      </c>
      <c r="BA96" s="2">
        <v>1816.7</v>
      </c>
      <c r="BB96" s="5">
        <v>3952.88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13281.65</v>
      </c>
      <c r="BI96" s="12">
        <v>11858.619999999999</v>
      </c>
      <c r="BJ96" s="2">
        <v>237.17</v>
      </c>
      <c r="BK96" s="5">
        <v>0</v>
      </c>
      <c r="BL96" s="1" t="s">
        <v>90</v>
      </c>
    </row>
    <row r="97" spans="1:64" x14ac:dyDescent="0.3">
      <c r="A97" t="s">
        <v>640</v>
      </c>
      <c r="B97" s="1" t="s">
        <v>640</v>
      </c>
      <c r="C97" s="9" t="s">
        <v>641</v>
      </c>
      <c r="D97" s="1" t="s">
        <v>43</v>
      </c>
      <c r="E97" s="1" t="s">
        <v>88</v>
      </c>
      <c r="F97" s="10" t="s">
        <v>639</v>
      </c>
      <c r="G97" s="1">
        <v>3.5000000000000003E-2</v>
      </c>
      <c r="H97" s="1">
        <v>0.02</v>
      </c>
      <c r="I97" s="8">
        <v>45143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463197</v>
      </c>
      <c r="AJ97" s="2">
        <v>74768</v>
      </c>
      <c r="AK97" s="2">
        <v>8271.3799999999992</v>
      </c>
      <c r="AL97" s="2">
        <v>1335.14</v>
      </c>
      <c r="AM97" s="5">
        <v>4803.26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16138.95</v>
      </c>
      <c r="AT97" s="12">
        <v>14409.779999999999</v>
      </c>
      <c r="AU97" s="2">
        <v>288.2</v>
      </c>
      <c r="AV97" s="5">
        <v>0</v>
      </c>
      <c r="AX97" s="2">
        <v>463197</v>
      </c>
      <c r="AY97" s="2">
        <v>74768</v>
      </c>
      <c r="AZ97" s="2">
        <v>8271.3799999999992</v>
      </c>
      <c r="BA97" s="2">
        <v>1335.14</v>
      </c>
      <c r="BB97" s="5">
        <v>4803.26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16138.95</v>
      </c>
      <c r="BI97" s="12">
        <v>14409.779999999999</v>
      </c>
      <c r="BJ97" s="2">
        <v>288.2</v>
      </c>
      <c r="BK97" s="5">
        <v>0</v>
      </c>
      <c r="BL97" s="1" t="s">
        <v>90</v>
      </c>
    </row>
    <row r="98" spans="1:64" x14ac:dyDescent="0.3">
      <c r="A98" t="s">
        <v>665</v>
      </c>
      <c r="B98" s="1" t="s">
        <v>665</v>
      </c>
      <c r="C98" s="9" t="s">
        <v>666</v>
      </c>
      <c r="D98" s="1" t="s">
        <v>43</v>
      </c>
      <c r="E98" s="1" t="s">
        <v>88</v>
      </c>
      <c r="F98" s="10" t="s">
        <v>639</v>
      </c>
      <c r="G98" s="1">
        <v>0</v>
      </c>
      <c r="H98" s="1">
        <v>0.02</v>
      </c>
      <c r="I98" s="8">
        <v>45434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257098</v>
      </c>
      <c r="AJ98" s="2">
        <v>83163.100000000006</v>
      </c>
      <c r="AK98" s="2">
        <v>4591.04</v>
      </c>
      <c r="AL98" s="2">
        <v>1485.05</v>
      </c>
      <c r="AM98" s="5">
        <v>3038.04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10207.83</v>
      </c>
      <c r="AT98" s="12">
        <v>9114.130000000001</v>
      </c>
      <c r="AU98" s="2">
        <v>182.28</v>
      </c>
      <c r="AV98" s="5">
        <v>0</v>
      </c>
      <c r="AX98" s="2">
        <v>257098</v>
      </c>
      <c r="AY98" s="2">
        <v>83163.100000000006</v>
      </c>
      <c r="AZ98" s="2">
        <v>4591.04</v>
      </c>
      <c r="BA98" s="2">
        <v>1485.05</v>
      </c>
      <c r="BB98" s="5">
        <v>3038.04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10207.83</v>
      </c>
      <c r="BI98" s="12">
        <v>9114.130000000001</v>
      </c>
      <c r="BJ98" s="2">
        <v>182.28</v>
      </c>
      <c r="BK98" s="5">
        <v>0</v>
      </c>
      <c r="BL98" s="1" t="s">
        <v>90</v>
      </c>
    </row>
    <row r="99" spans="1:64" x14ac:dyDescent="0.3">
      <c r="A99" t="s">
        <v>672</v>
      </c>
      <c r="B99" s="1" t="s">
        <v>672</v>
      </c>
      <c r="C99" s="9" t="s">
        <v>673</v>
      </c>
      <c r="D99" s="1" t="s">
        <v>43</v>
      </c>
      <c r="E99" s="1" t="s">
        <v>128</v>
      </c>
      <c r="F99" s="10" t="s">
        <v>385</v>
      </c>
      <c r="G99" s="1">
        <v>0</v>
      </c>
      <c r="H99" s="1">
        <v>0.02</v>
      </c>
      <c r="I99" s="8">
        <v>45607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336476</v>
      </c>
      <c r="AJ99" s="2">
        <v>47046</v>
      </c>
      <c r="AK99" s="2">
        <v>6008.5</v>
      </c>
      <c r="AL99" s="2">
        <v>840.11</v>
      </c>
      <c r="AM99" s="5">
        <v>3424.3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11505.66</v>
      </c>
      <c r="AT99" s="12">
        <v>10272.91</v>
      </c>
      <c r="AU99" s="2">
        <v>205.46</v>
      </c>
      <c r="AV99" s="5">
        <v>0</v>
      </c>
      <c r="AX99" s="2">
        <v>336476</v>
      </c>
      <c r="AY99" s="2">
        <v>47046</v>
      </c>
      <c r="AZ99" s="2">
        <v>6008.5</v>
      </c>
      <c r="BA99" s="2">
        <v>840.11</v>
      </c>
      <c r="BB99" s="5">
        <v>3424.3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11505.66</v>
      </c>
      <c r="BI99" s="12">
        <v>10272.91</v>
      </c>
      <c r="BJ99" s="2">
        <v>205.46</v>
      </c>
      <c r="BK99" s="5">
        <v>0</v>
      </c>
      <c r="BL99" s="1" t="s">
        <v>326</v>
      </c>
    </row>
    <row r="100" spans="1:64" x14ac:dyDescent="0.3">
      <c r="A100" t="s">
        <v>684</v>
      </c>
      <c r="B100" s="1" t="s">
        <v>684</v>
      </c>
      <c r="C100" s="9" t="s">
        <v>685</v>
      </c>
      <c r="D100" s="1" t="s">
        <v>43</v>
      </c>
      <c r="E100" s="1" t="s">
        <v>128</v>
      </c>
      <c r="F100" s="10" t="s">
        <v>385</v>
      </c>
      <c r="G100" s="1">
        <v>0</v>
      </c>
      <c r="H100" s="1">
        <v>0.02</v>
      </c>
      <c r="I100" s="8">
        <v>45575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271345.95</v>
      </c>
      <c r="AJ100" s="2">
        <v>26183.75</v>
      </c>
      <c r="AK100" s="2">
        <v>4845.46</v>
      </c>
      <c r="AL100" s="2">
        <v>467.56</v>
      </c>
      <c r="AM100" s="5">
        <v>2656.52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8925.8799999999992</v>
      </c>
      <c r="AT100" s="12">
        <v>7969.5400000000009</v>
      </c>
      <c r="AU100" s="2">
        <v>159.38999999999999</v>
      </c>
      <c r="AV100" s="5">
        <v>0</v>
      </c>
      <c r="AX100" s="2">
        <v>271345.95</v>
      </c>
      <c r="AY100" s="2">
        <v>26183.75</v>
      </c>
      <c r="AZ100" s="2">
        <v>4845.46</v>
      </c>
      <c r="BA100" s="2">
        <v>467.56</v>
      </c>
      <c r="BB100" s="5">
        <v>2656.52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8925.8799999999992</v>
      </c>
      <c r="BI100" s="12">
        <v>7969.5400000000009</v>
      </c>
      <c r="BJ100" s="2">
        <v>159.38999999999999</v>
      </c>
      <c r="BK100" s="5">
        <v>0</v>
      </c>
      <c r="BL100" s="1" t="s">
        <v>326</v>
      </c>
    </row>
    <row r="101" spans="1:64" x14ac:dyDescent="0.3">
      <c r="A101" t="s">
        <v>750</v>
      </c>
      <c r="B101" s="1" t="s">
        <v>750</v>
      </c>
      <c r="C101" s="9" t="s">
        <v>751</v>
      </c>
      <c r="D101" s="1" t="s">
        <v>43</v>
      </c>
      <c r="E101" s="1" t="s">
        <v>135</v>
      </c>
      <c r="F101" s="10" t="s">
        <v>752</v>
      </c>
      <c r="G101" s="1">
        <v>0</v>
      </c>
      <c r="H101" s="1">
        <v>0.02</v>
      </c>
      <c r="I101" s="8">
        <v>44511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677098.51</v>
      </c>
      <c r="AJ101" s="2">
        <v>57544.99</v>
      </c>
      <c r="AK101" s="2">
        <v>12091.04</v>
      </c>
      <c r="AL101" s="2">
        <v>1027.5899999999999</v>
      </c>
      <c r="AM101" s="5">
        <v>6559.32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22039.3</v>
      </c>
      <c r="AT101" s="12">
        <v>19677.949999999997</v>
      </c>
      <c r="AU101" s="2">
        <v>393.56</v>
      </c>
      <c r="AV101" s="5">
        <v>0</v>
      </c>
      <c r="AX101" s="2">
        <v>677098.51</v>
      </c>
      <c r="AY101" s="2">
        <v>57544.99</v>
      </c>
      <c r="AZ101" s="2">
        <v>12091.04</v>
      </c>
      <c r="BA101" s="2">
        <v>1027.5899999999999</v>
      </c>
      <c r="BB101" s="5">
        <v>6559.32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22039.3</v>
      </c>
      <c r="BI101" s="12">
        <v>19677.949999999997</v>
      </c>
      <c r="BJ101" s="2">
        <v>393.56</v>
      </c>
      <c r="BK101" s="5">
        <v>0</v>
      </c>
      <c r="BL101" s="1" t="s">
        <v>302</v>
      </c>
    </row>
    <row r="102" spans="1:64" x14ac:dyDescent="0.3">
      <c r="A102" t="s">
        <v>804</v>
      </c>
      <c r="B102" s="1" t="s">
        <v>804</v>
      </c>
      <c r="C102" s="9" t="s">
        <v>805</v>
      </c>
      <c r="D102" s="1" t="s">
        <v>43</v>
      </c>
      <c r="E102" s="1" t="s">
        <v>128</v>
      </c>
      <c r="F102" s="10" t="s">
        <v>385</v>
      </c>
      <c r="G102" s="1">
        <v>0</v>
      </c>
      <c r="H102" s="1">
        <v>0.02</v>
      </c>
      <c r="I102" s="8">
        <v>44831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466490</v>
      </c>
      <c r="AJ102" s="2">
        <v>63881</v>
      </c>
      <c r="AK102" s="2">
        <v>8330.18</v>
      </c>
      <c r="AL102" s="2">
        <v>1140.73</v>
      </c>
      <c r="AM102" s="5">
        <v>4735.46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15911.13</v>
      </c>
      <c r="AT102" s="12">
        <v>14206.369999999999</v>
      </c>
      <c r="AU102" s="2">
        <v>284.13</v>
      </c>
      <c r="AV102" s="5">
        <v>0</v>
      </c>
      <c r="AX102" s="2">
        <v>466490</v>
      </c>
      <c r="AY102" s="2">
        <v>63881</v>
      </c>
      <c r="AZ102" s="2">
        <v>8330.18</v>
      </c>
      <c r="BA102" s="2">
        <v>1140.73</v>
      </c>
      <c r="BB102" s="5">
        <v>4735.46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15911.13</v>
      </c>
      <c r="BI102" s="12">
        <v>14206.369999999999</v>
      </c>
      <c r="BJ102" s="2">
        <v>284.13</v>
      </c>
      <c r="BK102" s="5">
        <v>0</v>
      </c>
      <c r="BL102" s="1" t="s">
        <v>326</v>
      </c>
    </row>
    <row r="103" spans="1:64" x14ac:dyDescent="0.3">
      <c r="A103" t="s">
        <v>814</v>
      </c>
      <c r="B103" s="1" t="s">
        <v>814</v>
      </c>
      <c r="C103" s="9" t="s">
        <v>815</v>
      </c>
      <c r="D103" s="1" t="s">
        <v>43</v>
      </c>
      <c r="E103" s="1" t="s">
        <v>88</v>
      </c>
      <c r="F103" s="10" t="s">
        <v>639</v>
      </c>
      <c r="G103" s="1">
        <v>0</v>
      </c>
      <c r="H103" s="1">
        <v>0.02</v>
      </c>
      <c r="I103" s="8">
        <v>44985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347442.05</v>
      </c>
      <c r="AJ103" s="2">
        <v>71663</v>
      </c>
      <c r="AK103" s="2">
        <v>6204.32</v>
      </c>
      <c r="AL103" s="2">
        <v>1279.7</v>
      </c>
      <c r="AM103" s="5">
        <v>3742.01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12573.15</v>
      </c>
      <c r="AT103" s="12">
        <v>11226.029999999999</v>
      </c>
      <c r="AU103" s="2">
        <v>224.52</v>
      </c>
      <c r="AV103" s="5">
        <v>0</v>
      </c>
      <c r="AX103" s="2">
        <v>347442.05</v>
      </c>
      <c r="AY103" s="2">
        <v>71663</v>
      </c>
      <c r="AZ103" s="2">
        <v>6204.32</v>
      </c>
      <c r="BA103" s="2">
        <v>1279.7</v>
      </c>
      <c r="BB103" s="5">
        <v>3742.01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12573.15</v>
      </c>
      <c r="BI103" s="12">
        <v>11226.029999999999</v>
      </c>
      <c r="BJ103" s="2">
        <v>224.52</v>
      </c>
      <c r="BK103" s="5">
        <v>0</v>
      </c>
      <c r="BL103" s="1" t="s">
        <v>90</v>
      </c>
    </row>
    <row r="104" spans="1:64" x14ac:dyDescent="0.3">
      <c r="A104" t="s">
        <v>820</v>
      </c>
      <c r="B104" s="1" t="s">
        <v>820</v>
      </c>
      <c r="C104" s="9" t="s">
        <v>821</v>
      </c>
      <c r="D104" s="1" t="s">
        <v>43</v>
      </c>
      <c r="E104" s="1" t="s">
        <v>88</v>
      </c>
      <c r="F104" s="10" t="s">
        <v>639</v>
      </c>
      <c r="G104" s="1">
        <v>0</v>
      </c>
      <c r="H104" s="1">
        <v>0.02</v>
      </c>
      <c r="I104" s="8">
        <v>45209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155408</v>
      </c>
      <c r="AJ104" s="2">
        <v>30539</v>
      </c>
      <c r="AK104" s="2">
        <v>2775.14</v>
      </c>
      <c r="AL104" s="2">
        <v>545.34</v>
      </c>
      <c r="AM104" s="5">
        <v>1660.24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5578.41</v>
      </c>
      <c r="AT104" s="12">
        <v>4980.72</v>
      </c>
      <c r="AU104" s="2">
        <v>99.61</v>
      </c>
      <c r="AV104" s="5">
        <v>0</v>
      </c>
      <c r="AX104" s="2">
        <v>155408</v>
      </c>
      <c r="AY104" s="2">
        <v>30539</v>
      </c>
      <c r="AZ104" s="2">
        <v>2775.14</v>
      </c>
      <c r="BA104" s="2">
        <v>545.34</v>
      </c>
      <c r="BB104" s="5">
        <v>1660.24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5578.41</v>
      </c>
      <c r="BI104" s="12">
        <v>4980.72</v>
      </c>
      <c r="BJ104" s="2">
        <v>99.61</v>
      </c>
      <c r="BK104" s="5">
        <v>0</v>
      </c>
      <c r="BL104" s="1" t="s">
        <v>90</v>
      </c>
    </row>
    <row r="105" spans="1:64" x14ac:dyDescent="0.3">
      <c r="A105" t="s">
        <v>822</v>
      </c>
      <c r="B105" s="1" t="s">
        <v>822</v>
      </c>
      <c r="C105" s="9" t="s">
        <v>823</v>
      </c>
      <c r="D105" s="1" t="s">
        <v>43</v>
      </c>
      <c r="E105" s="1" t="s">
        <v>88</v>
      </c>
      <c r="F105" s="10" t="s">
        <v>639</v>
      </c>
      <c r="G105" s="1">
        <v>0</v>
      </c>
      <c r="H105" s="1">
        <v>0.02</v>
      </c>
      <c r="I105" s="8">
        <v>45198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123877.4</v>
      </c>
      <c r="AJ105" s="2">
        <v>65432</v>
      </c>
      <c r="AK105" s="2">
        <v>2212.1</v>
      </c>
      <c r="AL105" s="2">
        <v>1168.43</v>
      </c>
      <c r="AM105" s="5">
        <v>1690.26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5679.28</v>
      </c>
      <c r="AT105" s="12">
        <v>5070.79</v>
      </c>
      <c r="AU105" s="2">
        <v>101.42</v>
      </c>
      <c r="AV105" s="5">
        <v>0</v>
      </c>
      <c r="AX105" s="2">
        <v>123877.4</v>
      </c>
      <c r="AY105" s="2">
        <v>65432</v>
      </c>
      <c r="AZ105" s="2">
        <v>2212.1</v>
      </c>
      <c r="BA105" s="2">
        <v>1168.43</v>
      </c>
      <c r="BB105" s="5">
        <v>1690.26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5679.28</v>
      </c>
      <c r="BI105" s="12">
        <v>5070.79</v>
      </c>
      <c r="BJ105" s="2">
        <v>101.42</v>
      </c>
      <c r="BK105" s="5">
        <v>0</v>
      </c>
      <c r="BL105" s="1" t="s">
        <v>90</v>
      </c>
    </row>
    <row r="106" spans="1:64" x14ac:dyDescent="0.3">
      <c r="A106" t="s">
        <v>831</v>
      </c>
      <c r="B106" s="1" t="s">
        <v>831</v>
      </c>
      <c r="C106" s="9" t="s">
        <v>832</v>
      </c>
      <c r="D106" s="1" t="s">
        <v>43</v>
      </c>
      <c r="E106" s="1" t="s">
        <v>135</v>
      </c>
      <c r="F106" s="10" t="s">
        <v>752</v>
      </c>
      <c r="G106" s="1">
        <v>0</v>
      </c>
      <c r="H106" s="1">
        <v>0.02</v>
      </c>
      <c r="I106" s="8">
        <v>45429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421356.48000000004</v>
      </c>
      <c r="AJ106" s="2">
        <v>42123.42</v>
      </c>
      <c r="AK106" s="2">
        <v>7524.22</v>
      </c>
      <c r="AL106" s="2">
        <v>752.21</v>
      </c>
      <c r="AM106" s="5">
        <v>4138.21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13904.4</v>
      </c>
      <c r="AT106" s="12">
        <v>12414.64</v>
      </c>
      <c r="AU106" s="2">
        <v>248.29</v>
      </c>
      <c r="AV106" s="5">
        <v>0</v>
      </c>
      <c r="AX106" s="2">
        <v>421356.48000000004</v>
      </c>
      <c r="AY106" s="2">
        <v>42123.42</v>
      </c>
      <c r="AZ106" s="2">
        <v>7524.22</v>
      </c>
      <c r="BA106" s="2">
        <v>752.21</v>
      </c>
      <c r="BB106" s="5">
        <v>4138.21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13904.4</v>
      </c>
      <c r="BI106" s="12">
        <v>12414.64</v>
      </c>
      <c r="BJ106" s="2">
        <v>248.29</v>
      </c>
      <c r="BK106" s="5">
        <v>0</v>
      </c>
      <c r="BL106" s="1" t="s">
        <v>302</v>
      </c>
    </row>
    <row r="107" spans="1:64" x14ac:dyDescent="0.3">
      <c r="A107" t="s">
        <v>958</v>
      </c>
      <c r="B107" s="1" t="s">
        <v>958</v>
      </c>
      <c r="C107" s="9" t="s">
        <v>959</v>
      </c>
      <c r="D107" s="1" t="s">
        <v>43</v>
      </c>
      <c r="E107" s="1" t="s">
        <v>135</v>
      </c>
      <c r="F107" s="10" t="s">
        <v>583</v>
      </c>
      <c r="G107" s="1">
        <v>0</v>
      </c>
      <c r="H107" s="1">
        <v>0.02</v>
      </c>
      <c r="I107" s="8">
        <v>45706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254365</v>
      </c>
      <c r="AJ107" s="2">
        <v>58352</v>
      </c>
      <c r="AK107" s="2">
        <v>4542.2299999999996</v>
      </c>
      <c r="AL107" s="2">
        <v>1042</v>
      </c>
      <c r="AM107" s="5">
        <v>2792.12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9381.51</v>
      </c>
      <c r="AT107" s="12">
        <v>8376.3499999999985</v>
      </c>
      <c r="AU107" s="2">
        <v>167.53</v>
      </c>
      <c r="AV107" s="5">
        <v>0</v>
      </c>
      <c r="AX107" s="2">
        <v>254365</v>
      </c>
      <c r="AY107" s="2">
        <v>58352</v>
      </c>
      <c r="AZ107" s="2">
        <v>4542.2299999999996</v>
      </c>
      <c r="BA107" s="2">
        <v>1042</v>
      </c>
      <c r="BB107" s="5">
        <v>2792.12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9381.51</v>
      </c>
      <c r="BI107" s="12">
        <v>8376.3499999999985</v>
      </c>
      <c r="BJ107" s="2">
        <v>167.53</v>
      </c>
      <c r="BK107" s="5">
        <v>0</v>
      </c>
      <c r="BL107" s="1" t="s">
        <v>137</v>
      </c>
    </row>
    <row r="108" spans="1:64" x14ac:dyDescent="0.3">
      <c r="A108" t="s">
        <v>1019</v>
      </c>
      <c r="B108" s="1" t="s">
        <v>1019</v>
      </c>
      <c r="C108" s="9" t="s">
        <v>1020</v>
      </c>
      <c r="D108" s="1" t="s">
        <v>43</v>
      </c>
      <c r="E108" s="1" t="s">
        <v>135</v>
      </c>
      <c r="F108" s="10" t="s">
        <v>316</v>
      </c>
      <c r="G108" s="1">
        <v>0</v>
      </c>
      <c r="H108" s="1">
        <v>0.02</v>
      </c>
      <c r="I108" s="8">
        <v>44500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404811</v>
      </c>
      <c r="AJ108" s="2">
        <v>47047</v>
      </c>
      <c r="AK108" s="2">
        <v>7228.77</v>
      </c>
      <c r="AL108" s="2">
        <v>840.12</v>
      </c>
      <c r="AM108" s="5">
        <v>4034.45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13555.74</v>
      </c>
      <c r="AT108" s="12">
        <v>12103.34</v>
      </c>
      <c r="AU108" s="2">
        <v>242.07</v>
      </c>
      <c r="AV108" s="5">
        <v>0</v>
      </c>
      <c r="AX108" s="2">
        <v>404811</v>
      </c>
      <c r="AY108" s="2">
        <v>47047</v>
      </c>
      <c r="AZ108" s="2">
        <v>7228.77</v>
      </c>
      <c r="BA108" s="2">
        <v>840.12</v>
      </c>
      <c r="BB108" s="5">
        <v>4034.45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13555.74</v>
      </c>
      <c r="BI108" s="12">
        <v>12103.34</v>
      </c>
      <c r="BJ108" s="2">
        <v>242.07</v>
      </c>
      <c r="BK108" s="5">
        <v>0</v>
      </c>
      <c r="BL108" s="1" t="s">
        <v>302</v>
      </c>
    </row>
    <row r="109" spans="1:64" x14ac:dyDescent="0.3">
      <c r="A109" t="s">
        <v>1049</v>
      </c>
      <c r="B109" s="1" t="s">
        <v>1049</v>
      </c>
      <c r="C109" s="9" t="s">
        <v>1050</v>
      </c>
      <c r="D109" s="1" t="s">
        <v>43</v>
      </c>
      <c r="E109" s="1" t="s">
        <v>128</v>
      </c>
      <c r="F109" s="10" t="s">
        <v>385</v>
      </c>
      <c r="G109" s="1">
        <v>0</v>
      </c>
      <c r="H109" s="1">
        <v>0.02</v>
      </c>
      <c r="I109" s="8">
        <v>44548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276483</v>
      </c>
      <c r="AJ109" s="2">
        <v>28071</v>
      </c>
      <c r="AK109" s="2">
        <v>4937.2</v>
      </c>
      <c r="AL109" s="2">
        <v>501.27</v>
      </c>
      <c r="AM109" s="5">
        <v>2719.23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9136.6200000000008</v>
      </c>
      <c r="AT109" s="12">
        <v>8157.6999999999989</v>
      </c>
      <c r="AU109" s="2">
        <v>163.15</v>
      </c>
      <c r="AV109" s="5">
        <v>0</v>
      </c>
      <c r="AX109" s="2">
        <v>276483</v>
      </c>
      <c r="AY109" s="2">
        <v>28071</v>
      </c>
      <c r="AZ109" s="2">
        <v>4937.2</v>
      </c>
      <c r="BA109" s="2">
        <v>501.27</v>
      </c>
      <c r="BB109" s="5">
        <v>2719.23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9136.6200000000008</v>
      </c>
      <c r="BI109" s="12">
        <v>8157.6999999999989</v>
      </c>
      <c r="BJ109" s="2">
        <v>163.15</v>
      </c>
      <c r="BK109" s="5">
        <v>0</v>
      </c>
      <c r="BL109" s="1" t="s">
        <v>326</v>
      </c>
    </row>
    <row r="110" spans="1:64" x14ac:dyDescent="0.3">
      <c r="A110" t="s">
        <v>1053</v>
      </c>
      <c r="B110" s="1" t="s">
        <v>1053</v>
      </c>
      <c r="C110" s="9" t="s">
        <v>1054</v>
      </c>
      <c r="D110" s="1" t="s">
        <v>43</v>
      </c>
      <c r="E110" s="1" t="s">
        <v>128</v>
      </c>
      <c r="F110" s="10" t="s">
        <v>385</v>
      </c>
      <c r="G110" s="1">
        <v>0</v>
      </c>
      <c r="H110" s="1">
        <v>0.02</v>
      </c>
      <c r="I110" s="8">
        <v>44576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289543</v>
      </c>
      <c r="AJ110" s="2">
        <v>65857</v>
      </c>
      <c r="AK110" s="2">
        <v>5170.41</v>
      </c>
      <c r="AL110" s="2">
        <v>1176.02</v>
      </c>
      <c r="AM110" s="5">
        <v>3173.21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10662</v>
      </c>
      <c r="AT110" s="12">
        <v>9519.64</v>
      </c>
      <c r="AU110" s="2">
        <v>190.39</v>
      </c>
      <c r="AV110" s="5">
        <v>0</v>
      </c>
      <c r="AX110" s="2">
        <v>289543</v>
      </c>
      <c r="AY110" s="2">
        <v>65857</v>
      </c>
      <c r="AZ110" s="2">
        <v>5170.41</v>
      </c>
      <c r="BA110" s="2">
        <v>1176.02</v>
      </c>
      <c r="BB110" s="5">
        <v>3173.21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10662</v>
      </c>
      <c r="BI110" s="12">
        <v>9519.64</v>
      </c>
      <c r="BJ110" s="2">
        <v>190.39</v>
      </c>
      <c r="BK110" s="5">
        <v>0</v>
      </c>
      <c r="BL110" s="1" t="s">
        <v>326</v>
      </c>
    </row>
    <row r="111" spans="1:64" x14ac:dyDescent="0.3">
      <c r="A111" t="s">
        <v>1154</v>
      </c>
      <c r="B111" s="1" t="s">
        <v>1154</v>
      </c>
      <c r="C111" s="9" t="s">
        <v>1155</v>
      </c>
      <c r="D111" s="1" t="s">
        <v>43</v>
      </c>
      <c r="E111" s="1" t="s">
        <v>128</v>
      </c>
      <c r="F111" s="10" t="s">
        <v>385</v>
      </c>
      <c r="G111" s="1">
        <v>0</v>
      </c>
      <c r="H111" s="1">
        <v>0.02</v>
      </c>
      <c r="I111" s="8">
        <v>44897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619576.19999999995</v>
      </c>
      <c r="AJ111" s="2">
        <v>35852</v>
      </c>
      <c r="AK111" s="2">
        <v>11063.86</v>
      </c>
      <c r="AL111" s="2">
        <v>640.21</v>
      </c>
      <c r="AM111" s="5">
        <v>5852.04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19662.84</v>
      </c>
      <c r="AT111" s="12">
        <v>17556.11</v>
      </c>
      <c r="AU111" s="2">
        <v>351.12</v>
      </c>
      <c r="AV111" s="5">
        <v>0</v>
      </c>
      <c r="AX111" s="2">
        <v>619576.19999999995</v>
      </c>
      <c r="AY111" s="2">
        <v>35852</v>
      </c>
      <c r="AZ111" s="2">
        <v>11063.86</v>
      </c>
      <c r="BA111" s="2">
        <v>640.21</v>
      </c>
      <c r="BB111" s="5">
        <v>5852.04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19662.84</v>
      </c>
      <c r="BI111" s="12">
        <v>17556.11</v>
      </c>
      <c r="BJ111" s="2">
        <v>351.12</v>
      </c>
      <c r="BK111" s="5">
        <v>0</v>
      </c>
      <c r="BL111" s="1" t="s">
        <v>326</v>
      </c>
    </row>
    <row r="112" spans="1:64" x14ac:dyDescent="0.3">
      <c r="A112" t="s">
        <v>1233</v>
      </c>
      <c r="B112" s="1" t="s">
        <v>1234</v>
      </c>
      <c r="C112" s="9" t="s">
        <v>1235</v>
      </c>
      <c r="D112" s="1" t="s">
        <v>43</v>
      </c>
      <c r="E112" s="1" t="s">
        <v>128</v>
      </c>
      <c r="F112" s="10" t="s">
        <v>385</v>
      </c>
      <c r="G112" s="1">
        <v>0</v>
      </c>
      <c r="H112" s="1">
        <v>0.02</v>
      </c>
      <c r="I112" s="8">
        <v>45036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742140.3</v>
      </c>
      <c r="AJ112" s="2">
        <v>9034</v>
      </c>
      <c r="AK112" s="2">
        <v>13252.51</v>
      </c>
      <c r="AL112" s="2">
        <v>161.32</v>
      </c>
      <c r="AM112" s="5">
        <v>6706.91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22535.23</v>
      </c>
      <c r="AT112" s="12">
        <v>20120.740000000002</v>
      </c>
      <c r="AU112" s="2">
        <v>402.41000000000008</v>
      </c>
      <c r="AV112" s="5">
        <v>0</v>
      </c>
      <c r="AX112" s="2">
        <v>742140.3</v>
      </c>
      <c r="AY112" s="2">
        <v>9034</v>
      </c>
      <c r="AZ112" s="2">
        <v>13252.51</v>
      </c>
      <c r="BA112" s="2">
        <v>161.32</v>
      </c>
      <c r="BB112" s="5">
        <v>6706.91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22535.23</v>
      </c>
      <c r="BI112" s="12">
        <v>20120.740000000002</v>
      </c>
      <c r="BJ112" s="2">
        <v>402.41000000000008</v>
      </c>
      <c r="BK112" s="5">
        <v>0</v>
      </c>
      <c r="BL112" s="1" t="s">
        <v>326</v>
      </c>
    </row>
    <row r="113" spans="1:64" x14ac:dyDescent="0.3">
      <c r="A113" t="s">
        <v>1246</v>
      </c>
      <c r="B113" s="1" t="s">
        <v>1246</v>
      </c>
      <c r="C113" s="9" t="s">
        <v>1247</v>
      </c>
      <c r="D113" s="1" t="s">
        <v>43</v>
      </c>
      <c r="E113" s="1" t="s">
        <v>128</v>
      </c>
      <c r="F113" s="10" t="s">
        <v>385</v>
      </c>
      <c r="G113" s="1">
        <v>0</v>
      </c>
      <c r="H113" s="1">
        <v>0.02</v>
      </c>
      <c r="I113" s="8">
        <v>45152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853015.65</v>
      </c>
      <c r="AJ113" s="2">
        <v>45236</v>
      </c>
      <c r="AK113" s="2">
        <v>15232.43</v>
      </c>
      <c r="AL113" s="2">
        <v>807.79</v>
      </c>
      <c r="AM113" s="5">
        <v>8020.11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26947.57</v>
      </c>
      <c r="AT113" s="12">
        <v>24060.329999999998</v>
      </c>
      <c r="AU113" s="2">
        <v>481.19999999999993</v>
      </c>
      <c r="AV113" s="5">
        <v>0</v>
      </c>
      <c r="AX113" s="2">
        <v>853015.65</v>
      </c>
      <c r="AY113" s="2">
        <v>45236</v>
      </c>
      <c r="AZ113" s="2">
        <v>15232.43</v>
      </c>
      <c r="BA113" s="2">
        <v>807.79</v>
      </c>
      <c r="BB113" s="5">
        <v>8020.11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26947.57</v>
      </c>
      <c r="BI113" s="12">
        <v>24060.329999999998</v>
      </c>
      <c r="BJ113" s="2">
        <v>481.19999999999993</v>
      </c>
      <c r="BK113" s="5">
        <v>0</v>
      </c>
      <c r="BL113" s="1" t="s">
        <v>326</v>
      </c>
    </row>
    <row r="114" spans="1:64" x14ac:dyDescent="0.3">
      <c r="A114" t="s">
        <v>1252</v>
      </c>
      <c r="B114" s="1" t="s">
        <v>1252</v>
      </c>
      <c r="C114" s="9" t="s">
        <v>1253</v>
      </c>
      <c r="D114" s="1" t="s">
        <v>43</v>
      </c>
      <c r="E114" s="1" t="s">
        <v>128</v>
      </c>
      <c r="F114" s="10" t="s">
        <v>385</v>
      </c>
      <c r="G114" s="1">
        <v>0</v>
      </c>
      <c r="H114" s="1">
        <v>0.02</v>
      </c>
      <c r="I114" s="8">
        <v>45131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144426</v>
      </c>
      <c r="AJ114" s="2">
        <v>15686</v>
      </c>
      <c r="AK114" s="2">
        <v>2579.04</v>
      </c>
      <c r="AL114" s="2">
        <v>280.11</v>
      </c>
      <c r="AM114" s="5">
        <v>1429.57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4803.37</v>
      </c>
      <c r="AT114" s="12">
        <v>4288.72</v>
      </c>
      <c r="AU114" s="2">
        <v>85.77</v>
      </c>
      <c r="AV114" s="5">
        <v>0</v>
      </c>
      <c r="AX114" s="2">
        <v>144426</v>
      </c>
      <c r="AY114" s="2">
        <v>15686</v>
      </c>
      <c r="AZ114" s="2">
        <v>2579.04</v>
      </c>
      <c r="BA114" s="2">
        <v>280.11</v>
      </c>
      <c r="BB114" s="5">
        <v>1429.57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4803.37</v>
      </c>
      <c r="BI114" s="12">
        <v>4288.72</v>
      </c>
      <c r="BJ114" s="2">
        <v>85.77</v>
      </c>
      <c r="BK114" s="5">
        <v>0</v>
      </c>
      <c r="BL114" s="1" t="s">
        <v>326</v>
      </c>
    </row>
    <row r="115" spans="1:64" x14ac:dyDescent="0.3">
      <c r="A115" t="s">
        <v>1274</v>
      </c>
      <c r="B115" s="1" t="s">
        <v>1274</v>
      </c>
      <c r="C115" s="9" t="s">
        <v>1275</v>
      </c>
      <c r="D115" s="1" t="s">
        <v>43</v>
      </c>
      <c r="E115" s="1" t="s">
        <v>128</v>
      </c>
      <c r="F115" s="10" t="s">
        <v>385</v>
      </c>
      <c r="G115" s="1">
        <v>0</v>
      </c>
      <c r="H115" s="1">
        <v>0.02</v>
      </c>
      <c r="I115" s="8">
        <v>45283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397872</v>
      </c>
      <c r="AJ115" s="2">
        <v>13229</v>
      </c>
      <c r="AK115" s="2">
        <v>7104.86</v>
      </c>
      <c r="AL115" s="2">
        <v>236.23000000000002</v>
      </c>
      <c r="AM115" s="5">
        <v>3670.5499999999997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12333.04</v>
      </c>
      <c r="AT115" s="12">
        <v>11011.64</v>
      </c>
      <c r="AU115" s="2">
        <v>220.23000000000002</v>
      </c>
      <c r="AV115" s="5">
        <v>0</v>
      </c>
      <c r="AX115" s="2">
        <v>397872</v>
      </c>
      <c r="AY115" s="2">
        <v>13229</v>
      </c>
      <c r="AZ115" s="2">
        <v>7104.86</v>
      </c>
      <c r="BA115" s="2">
        <v>236.23000000000002</v>
      </c>
      <c r="BB115" s="5">
        <v>3670.5499999999997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12333.04</v>
      </c>
      <c r="BI115" s="12">
        <v>11011.64</v>
      </c>
      <c r="BJ115" s="2">
        <v>220.23000000000002</v>
      </c>
      <c r="BK115" s="5">
        <v>0</v>
      </c>
      <c r="BL115" s="1" t="s">
        <v>326</v>
      </c>
    </row>
    <row r="116" spans="1:64" x14ac:dyDescent="0.3">
      <c r="A116" t="s">
        <v>1300</v>
      </c>
      <c r="B116" s="1" t="s">
        <v>1300</v>
      </c>
      <c r="C116" s="9" t="s">
        <v>1301</v>
      </c>
      <c r="D116" s="1" t="s">
        <v>43</v>
      </c>
      <c r="E116" s="1" t="s">
        <v>88</v>
      </c>
      <c r="F116" s="10" t="s">
        <v>639</v>
      </c>
      <c r="G116" s="1">
        <v>0</v>
      </c>
      <c r="H116" s="1">
        <v>0.02</v>
      </c>
      <c r="I116" s="8">
        <v>45350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490332.21</v>
      </c>
      <c r="AJ116" s="2">
        <v>36596</v>
      </c>
      <c r="AK116" s="2">
        <v>8755.93</v>
      </c>
      <c r="AL116" s="2">
        <v>653.5</v>
      </c>
      <c r="AM116" s="5">
        <v>4704.72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15807.85</v>
      </c>
      <c r="AT116" s="12">
        <v>14114.15</v>
      </c>
      <c r="AU116" s="2">
        <v>282.28999999999996</v>
      </c>
      <c r="AV116" s="5">
        <v>0</v>
      </c>
      <c r="AX116" s="2">
        <v>490332.21</v>
      </c>
      <c r="AY116" s="2">
        <v>36596</v>
      </c>
      <c r="AZ116" s="2">
        <v>8755.93</v>
      </c>
      <c r="BA116" s="2">
        <v>653.5</v>
      </c>
      <c r="BB116" s="5">
        <v>4704.72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15807.85</v>
      </c>
      <c r="BI116" s="12">
        <v>14114.15</v>
      </c>
      <c r="BJ116" s="2">
        <v>282.28999999999996</v>
      </c>
      <c r="BK116" s="5">
        <v>0</v>
      </c>
      <c r="BL116" s="1" t="s">
        <v>90</v>
      </c>
    </row>
    <row r="117" spans="1:64" x14ac:dyDescent="0.3">
      <c r="A117" t="s">
        <v>1334</v>
      </c>
      <c r="B117" s="1" t="s">
        <v>1334</v>
      </c>
      <c r="C117" s="9" t="s">
        <v>1335</v>
      </c>
      <c r="D117" s="1" t="s">
        <v>43</v>
      </c>
      <c r="E117" s="1" t="s">
        <v>135</v>
      </c>
      <c r="F117" s="10" t="s">
        <v>144</v>
      </c>
      <c r="G117" s="1">
        <v>0</v>
      </c>
      <c r="H117" s="1">
        <v>0.02</v>
      </c>
      <c r="I117" s="8">
        <v>45252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306851</v>
      </c>
      <c r="AJ117" s="2">
        <v>54782</v>
      </c>
      <c r="AK117" s="2">
        <v>5479.48</v>
      </c>
      <c r="AL117" s="2">
        <v>978.25</v>
      </c>
      <c r="AM117" s="5">
        <v>3228.87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10848.99</v>
      </c>
      <c r="AT117" s="12">
        <v>9686.5999999999985</v>
      </c>
      <c r="AU117" s="2">
        <v>193.73</v>
      </c>
      <c r="AV117" s="5">
        <v>0</v>
      </c>
      <c r="AX117" s="2">
        <v>306851</v>
      </c>
      <c r="AY117" s="2">
        <v>54782</v>
      </c>
      <c r="AZ117" s="2">
        <v>5479.48</v>
      </c>
      <c r="BA117" s="2">
        <v>978.25</v>
      </c>
      <c r="BB117" s="5">
        <v>3228.87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10848.99</v>
      </c>
      <c r="BI117" s="12">
        <v>9686.5999999999985</v>
      </c>
      <c r="BJ117" s="2">
        <v>193.73</v>
      </c>
      <c r="BK117" s="5">
        <v>0</v>
      </c>
      <c r="BL117" s="1" t="s">
        <v>436</v>
      </c>
    </row>
    <row r="118" spans="1:64" x14ac:dyDescent="0.3">
      <c r="A118" t="s">
        <v>1336</v>
      </c>
      <c r="B118" s="1" t="s">
        <v>1336</v>
      </c>
      <c r="C118" s="9" t="s">
        <v>1337</v>
      </c>
      <c r="D118" s="1" t="s">
        <v>43</v>
      </c>
      <c r="E118" s="1" t="s">
        <v>135</v>
      </c>
      <c r="F118" s="10" t="s">
        <v>316</v>
      </c>
      <c r="G118" s="1">
        <v>0</v>
      </c>
      <c r="H118" s="1">
        <v>0.02</v>
      </c>
      <c r="I118" s="8">
        <v>45296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324816.23</v>
      </c>
      <c r="AJ118" s="2">
        <v>58650</v>
      </c>
      <c r="AK118" s="2">
        <v>5800.29</v>
      </c>
      <c r="AL118" s="2">
        <v>1047.32</v>
      </c>
      <c r="AM118" s="5">
        <v>3423.8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11503.98</v>
      </c>
      <c r="AT118" s="12">
        <v>10271.41</v>
      </c>
      <c r="AU118" s="2">
        <v>205.43</v>
      </c>
      <c r="AV118" s="5">
        <v>0</v>
      </c>
      <c r="AX118" s="2">
        <v>324816.23</v>
      </c>
      <c r="AY118" s="2">
        <v>58650</v>
      </c>
      <c r="AZ118" s="2">
        <v>5800.29</v>
      </c>
      <c r="BA118" s="2">
        <v>1047.32</v>
      </c>
      <c r="BB118" s="5">
        <v>3423.8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11503.98</v>
      </c>
      <c r="BI118" s="12">
        <v>10271.41</v>
      </c>
      <c r="BJ118" s="2">
        <v>205.43</v>
      </c>
      <c r="BK118" s="5">
        <v>0</v>
      </c>
      <c r="BL118" s="1" t="s">
        <v>302</v>
      </c>
    </row>
    <row r="119" spans="1:64" x14ac:dyDescent="0.3">
      <c r="A119" t="s">
        <v>1351</v>
      </c>
      <c r="B119" s="1" t="s">
        <v>1351</v>
      </c>
      <c r="C119" s="9" t="s">
        <v>1352</v>
      </c>
      <c r="D119" s="1" t="s">
        <v>43</v>
      </c>
      <c r="E119" s="1" t="s">
        <v>135</v>
      </c>
      <c r="F119" s="10" t="s">
        <v>144</v>
      </c>
      <c r="G119" s="1">
        <v>0</v>
      </c>
      <c r="H119" s="1">
        <v>0.02</v>
      </c>
      <c r="I119" s="8">
        <v>45311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572074</v>
      </c>
      <c r="AJ119" s="2">
        <v>82506</v>
      </c>
      <c r="AK119" s="2">
        <v>10215.61</v>
      </c>
      <c r="AL119" s="2">
        <v>1473.32</v>
      </c>
      <c r="AM119" s="5">
        <v>5844.46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19637.400000000001</v>
      </c>
      <c r="AT119" s="12">
        <v>17533.39</v>
      </c>
      <c r="AU119" s="2">
        <v>350.67</v>
      </c>
      <c r="AV119" s="5">
        <v>0</v>
      </c>
      <c r="AX119" s="2">
        <v>572074</v>
      </c>
      <c r="AY119" s="2">
        <v>82506</v>
      </c>
      <c r="AZ119" s="2">
        <v>10215.61</v>
      </c>
      <c r="BA119" s="2">
        <v>1473.32</v>
      </c>
      <c r="BB119" s="5">
        <v>5844.46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19637.400000000001</v>
      </c>
      <c r="BI119" s="12">
        <v>17533.39</v>
      </c>
      <c r="BJ119" s="2">
        <v>350.67</v>
      </c>
      <c r="BK119" s="5">
        <v>0</v>
      </c>
      <c r="BL119" s="1" t="s">
        <v>137</v>
      </c>
    </row>
    <row r="120" spans="1:64" x14ac:dyDescent="0.3">
      <c r="A120" t="s">
        <v>1353</v>
      </c>
      <c r="B120" s="1" t="s">
        <v>1353</v>
      </c>
      <c r="C120" s="9" t="s">
        <v>1354</v>
      </c>
      <c r="D120" s="1" t="s">
        <v>43</v>
      </c>
      <c r="E120" s="1" t="s">
        <v>135</v>
      </c>
      <c r="F120" s="10" t="s">
        <v>583</v>
      </c>
      <c r="G120" s="1">
        <v>0</v>
      </c>
      <c r="H120" s="1">
        <v>0.02</v>
      </c>
      <c r="I120" s="8">
        <v>45297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315610</v>
      </c>
      <c r="AJ120" s="2">
        <v>29305</v>
      </c>
      <c r="AK120" s="2">
        <v>5635.89</v>
      </c>
      <c r="AL120" s="2">
        <v>523.29999999999995</v>
      </c>
      <c r="AM120" s="5">
        <v>3079.6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10347.44</v>
      </c>
      <c r="AT120" s="12">
        <v>9238.7900000000009</v>
      </c>
      <c r="AU120" s="2">
        <v>184.78</v>
      </c>
      <c r="AV120" s="5">
        <v>0</v>
      </c>
      <c r="AX120" s="2">
        <v>315610</v>
      </c>
      <c r="AY120" s="2">
        <v>29305</v>
      </c>
      <c r="AZ120" s="2">
        <v>5635.89</v>
      </c>
      <c r="BA120" s="2">
        <v>523.29999999999995</v>
      </c>
      <c r="BB120" s="5">
        <v>3079.6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10347.44</v>
      </c>
      <c r="BI120" s="12">
        <v>9238.7900000000009</v>
      </c>
      <c r="BJ120" s="2">
        <v>184.78</v>
      </c>
      <c r="BK120" s="5">
        <v>0</v>
      </c>
      <c r="BL120" s="1" t="s">
        <v>137</v>
      </c>
    </row>
    <row r="121" spans="1:64" x14ac:dyDescent="0.3">
      <c r="A121" t="s">
        <v>1379</v>
      </c>
      <c r="B121" s="1" t="s">
        <v>1380</v>
      </c>
      <c r="C121" s="9" t="s">
        <v>1381</v>
      </c>
      <c r="D121" s="1" t="s">
        <v>43</v>
      </c>
      <c r="E121" s="1" t="s">
        <v>135</v>
      </c>
      <c r="F121" s="10" t="s">
        <v>144</v>
      </c>
      <c r="G121" s="1">
        <v>0</v>
      </c>
      <c r="H121" s="1">
        <v>0.02</v>
      </c>
      <c r="I121" s="8">
        <v>45198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1021467.8999999999</v>
      </c>
      <c r="AJ121" s="2">
        <v>90030</v>
      </c>
      <c r="AK121" s="2">
        <v>18240.5</v>
      </c>
      <c r="AL121" s="2">
        <v>1607.67</v>
      </c>
      <c r="AM121" s="5">
        <v>9924.09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33344.93</v>
      </c>
      <c r="AT121" s="12">
        <v>29772.260000000002</v>
      </c>
      <c r="AU121" s="2">
        <v>595.45000000000005</v>
      </c>
      <c r="AV121" s="5">
        <v>0</v>
      </c>
      <c r="AX121" s="2">
        <v>1021467.8999999999</v>
      </c>
      <c r="AY121" s="2">
        <v>90030</v>
      </c>
      <c r="AZ121" s="2">
        <v>18240.5</v>
      </c>
      <c r="BA121" s="2">
        <v>1607.67</v>
      </c>
      <c r="BB121" s="5">
        <v>9924.09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33344.93</v>
      </c>
      <c r="BI121" s="12">
        <v>29772.260000000002</v>
      </c>
      <c r="BJ121" s="2">
        <v>595.45000000000005</v>
      </c>
      <c r="BK121" s="5">
        <v>0</v>
      </c>
      <c r="BL121" s="1" t="s">
        <v>137</v>
      </c>
    </row>
    <row r="122" spans="1:64" x14ac:dyDescent="0.3">
      <c r="A122" t="s">
        <v>86</v>
      </c>
      <c r="B122" s="1" t="s">
        <v>86</v>
      </c>
      <c r="C122" s="9" t="s">
        <v>87</v>
      </c>
      <c r="D122" s="1" t="s">
        <v>44</v>
      </c>
      <c r="E122" s="1" t="s">
        <v>88</v>
      </c>
      <c r="F122" s="10" t="s">
        <v>89</v>
      </c>
      <c r="G122" s="1">
        <v>0</v>
      </c>
      <c r="H122" s="1">
        <v>0.02</v>
      </c>
      <c r="I122" s="8">
        <v>44328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686000.96</v>
      </c>
      <c r="AJ122" s="2">
        <v>137543</v>
      </c>
      <c r="AK122" s="2">
        <v>12250.02</v>
      </c>
      <c r="AL122" s="2">
        <v>2456.13</v>
      </c>
      <c r="AM122" s="5">
        <v>7353.07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24706.33</v>
      </c>
      <c r="AT122" s="12">
        <v>22059.22</v>
      </c>
      <c r="AU122" s="2">
        <v>441.18</v>
      </c>
      <c r="AV122" s="5">
        <v>0</v>
      </c>
      <c r="AX122" s="2">
        <v>686000.96</v>
      </c>
      <c r="AY122" s="2">
        <v>137543</v>
      </c>
      <c r="AZ122" s="2">
        <v>12250.02</v>
      </c>
      <c r="BA122" s="2">
        <v>2456.13</v>
      </c>
      <c r="BB122" s="5">
        <v>7353.07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24706.33</v>
      </c>
      <c r="BI122" s="12">
        <v>22059.22</v>
      </c>
      <c r="BJ122" s="2">
        <v>441.18</v>
      </c>
      <c r="BK122" s="5">
        <v>0</v>
      </c>
      <c r="BL122" s="1" t="s">
        <v>90</v>
      </c>
    </row>
    <row r="123" spans="1:64" x14ac:dyDescent="0.3">
      <c r="A123" t="s">
        <v>99</v>
      </c>
      <c r="B123" s="1" t="s">
        <v>99</v>
      </c>
      <c r="C123" s="9" t="s">
        <v>100</v>
      </c>
      <c r="D123" s="1" t="s">
        <v>44</v>
      </c>
      <c r="E123" s="1" t="s">
        <v>88</v>
      </c>
      <c r="F123" s="10" t="s">
        <v>101</v>
      </c>
      <c r="G123" s="1">
        <v>2.5000000000000001E-2</v>
      </c>
      <c r="H123" s="1">
        <v>0.02</v>
      </c>
      <c r="I123" s="8">
        <v>45725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0</v>
      </c>
      <c r="AJ123" s="2">
        <v>0</v>
      </c>
      <c r="AK123" s="2">
        <v>0</v>
      </c>
      <c r="AL123" s="2">
        <v>0</v>
      </c>
      <c r="AM123" s="5">
        <v>0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0</v>
      </c>
      <c r="AT123" s="12">
        <v>0</v>
      </c>
      <c r="AU123" s="2">
        <v>0</v>
      </c>
      <c r="AV123" s="5">
        <v>0</v>
      </c>
      <c r="AX123" s="2">
        <v>0</v>
      </c>
      <c r="AY123" s="2">
        <v>0</v>
      </c>
      <c r="AZ123" s="2">
        <v>0</v>
      </c>
      <c r="BA123" s="2">
        <v>0</v>
      </c>
      <c r="BB123" s="5">
        <v>0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0</v>
      </c>
      <c r="BI123" s="12">
        <v>0</v>
      </c>
      <c r="BJ123" s="2">
        <v>0</v>
      </c>
      <c r="BK123" s="5">
        <v>0</v>
      </c>
      <c r="BL123" s="1" t="s">
        <v>90</v>
      </c>
    </row>
    <row r="124" spans="1:64" x14ac:dyDescent="0.3">
      <c r="A124" t="s">
        <v>102</v>
      </c>
      <c r="B124" s="1" t="s">
        <v>102</v>
      </c>
      <c r="C124" s="9" t="s">
        <v>103</v>
      </c>
      <c r="D124" s="1" t="s">
        <v>44</v>
      </c>
      <c r="E124" s="1" t="s">
        <v>88</v>
      </c>
      <c r="F124" s="10" t="s">
        <v>104</v>
      </c>
      <c r="G124" s="1">
        <v>2.5000000000000001E-2</v>
      </c>
      <c r="H124" s="1">
        <v>0.02</v>
      </c>
      <c r="I124" s="8">
        <v>44009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501089</v>
      </c>
      <c r="AJ124" s="2">
        <v>147476</v>
      </c>
      <c r="AK124" s="2">
        <v>8948.02</v>
      </c>
      <c r="AL124" s="2">
        <v>2633.5</v>
      </c>
      <c r="AM124" s="5">
        <v>5790.76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19456.95</v>
      </c>
      <c r="AT124" s="12">
        <v>17372.28</v>
      </c>
      <c r="AU124" s="2">
        <v>347.45</v>
      </c>
      <c r="AV124" s="5">
        <v>0</v>
      </c>
      <c r="AX124" s="2">
        <v>501089</v>
      </c>
      <c r="AY124" s="2">
        <v>147476</v>
      </c>
      <c r="AZ124" s="2">
        <v>8948.02</v>
      </c>
      <c r="BA124" s="2">
        <v>2633.5</v>
      </c>
      <c r="BB124" s="5">
        <v>5790.76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19456.95</v>
      </c>
      <c r="BI124" s="12">
        <v>17372.28</v>
      </c>
      <c r="BJ124" s="2">
        <v>347.45</v>
      </c>
      <c r="BK124" s="5">
        <v>0</v>
      </c>
      <c r="BL124" s="1" t="s">
        <v>90</v>
      </c>
    </row>
    <row r="125" spans="1:64" x14ac:dyDescent="0.3">
      <c r="A125" t="s">
        <v>112</v>
      </c>
      <c r="B125" s="1" t="s">
        <v>112</v>
      </c>
      <c r="C125" s="9" t="s">
        <v>113</v>
      </c>
      <c r="D125" s="1" t="s">
        <v>44</v>
      </c>
      <c r="E125" s="1" t="s">
        <v>88</v>
      </c>
      <c r="F125" s="10" t="s">
        <v>114</v>
      </c>
      <c r="G125" s="1">
        <v>2.5000000000000001E-2</v>
      </c>
      <c r="H125" s="1">
        <v>0.02</v>
      </c>
      <c r="I125" s="8">
        <v>45657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492066.38</v>
      </c>
      <c r="AJ125" s="2">
        <v>122615.23</v>
      </c>
      <c r="AK125" s="2">
        <v>8786.9</v>
      </c>
      <c r="AL125" s="2">
        <v>2189.5500000000002</v>
      </c>
      <c r="AM125" s="5">
        <v>5488.23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18440.439999999999</v>
      </c>
      <c r="AT125" s="12">
        <v>16464.68</v>
      </c>
      <c r="AU125" s="2">
        <v>329.29</v>
      </c>
      <c r="AV125" s="5">
        <v>0</v>
      </c>
      <c r="AX125" s="2">
        <v>492066.38</v>
      </c>
      <c r="AY125" s="2">
        <v>122615.23</v>
      </c>
      <c r="AZ125" s="2">
        <v>8786.9</v>
      </c>
      <c r="BA125" s="2">
        <v>2189.5500000000002</v>
      </c>
      <c r="BB125" s="5">
        <v>5488.23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18440.439999999999</v>
      </c>
      <c r="BI125" s="12">
        <v>16464.68</v>
      </c>
      <c r="BJ125" s="2">
        <v>329.29</v>
      </c>
      <c r="BK125" s="5">
        <v>0</v>
      </c>
      <c r="BL125" s="1" t="s">
        <v>90</v>
      </c>
    </row>
    <row r="126" spans="1:64" x14ac:dyDescent="0.3">
      <c r="A126" t="s">
        <v>118</v>
      </c>
      <c r="B126" s="1" t="s">
        <v>118</v>
      </c>
      <c r="C126" s="9" t="s">
        <v>119</v>
      </c>
      <c r="D126" s="1" t="s">
        <v>44</v>
      </c>
      <c r="E126" s="1" t="s">
        <v>88</v>
      </c>
      <c r="F126" s="10" t="s">
        <v>114</v>
      </c>
      <c r="G126" s="1">
        <v>2.5000000000000001E-2</v>
      </c>
      <c r="H126" s="1">
        <v>0.02</v>
      </c>
      <c r="I126" s="8">
        <v>44009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738405.79</v>
      </c>
      <c r="AJ126" s="2">
        <v>151545</v>
      </c>
      <c r="AK126" s="2">
        <v>13185.82</v>
      </c>
      <c r="AL126" s="2">
        <v>2706.16</v>
      </c>
      <c r="AM126" s="5">
        <v>7945.99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26698.53</v>
      </c>
      <c r="AT126" s="12">
        <v>23837.97</v>
      </c>
      <c r="AU126" s="2">
        <v>476.76</v>
      </c>
      <c r="AV126" s="5">
        <v>0</v>
      </c>
      <c r="AX126" s="2">
        <v>738405.79</v>
      </c>
      <c r="AY126" s="2">
        <v>151545</v>
      </c>
      <c r="AZ126" s="2">
        <v>13185.82</v>
      </c>
      <c r="BA126" s="2">
        <v>2706.16</v>
      </c>
      <c r="BB126" s="5">
        <v>7945.99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26698.53</v>
      </c>
      <c r="BI126" s="12">
        <v>23837.97</v>
      </c>
      <c r="BJ126" s="2">
        <v>476.76</v>
      </c>
      <c r="BK126" s="5">
        <v>0</v>
      </c>
      <c r="BL126" s="1" t="s">
        <v>90</v>
      </c>
    </row>
    <row r="127" spans="1:64" x14ac:dyDescent="0.3">
      <c r="A127" t="s">
        <v>156</v>
      </c>
      <c r="B127" s="1" t="s">
        <v>156</v>
      </c>
      <c r="C127" s="9" t="s">
        <v>157</v>
      </c>
      <c r="D127" s="1" t="s">
        <v>44</v>
      </c>
      <c r="E127" s="1" t="s">
        <v>88</v>
      </c>
      <c r="F127" s="10" t="s">
        <v>101</v>
      </c>
      <c r="G127" s="1">
        <v>2.5000000000000001E-2</v>
      </c>
      <c r="H127" s="1">
        <v>0.02</v>
      </c>
      <c r="I127" s="8">
        <v>45716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257922.99000000002</v>
      </c>
      <c r="AJ127" s="2">
        <v>90327.91</v>
      </c>
      <c r="AK127" s="2">
        <v>4605.7700000000004</v>
      </c>
      <c r="AL127" s="2">
        <v>1613</v>
      </c>
      <c r="AM127" s="5">
        <v>3109.38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10447.530000000001</v>
      </c>
      <c r="AT127" s="12">
        <v>9328.1500000000015</v>
      </c>
      <c r="AU127" s="2">
        <v>186.56</v>
      </c>
      <c r="AV127" s="5">
        <v>0</v>
      </c>
      <c r="AX127" s="2">
        <v>257922.99000000002</v>
      </c>
      <c r="AY127" s="2">
        <v>90327.91</v>
      </c>
      <c r="AZ127" s="2">
        <v>4605.7700000000004</v>
      </c>
      <c r="BA127" s="2">
        <v>1613</v>
      </c>
      <c r="BB127" s="5">
        <v>3109.38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10447.530000000001</v>
      </c>
      <c r="BI127" s="12">
        <v>9328.1500000000015</v>
      </c>
      <c r="BJ127" s="2">
        <v>186.56</v>
      </c>
      <c r="BK127" s="5">
        <v>0</v>
      </c>
      <c r="BL127" s="1" t="s">
        <v>90</v>
      </c>
    </row>
    <row r="128" spans="1:64" x14ac:dyDescent="0.3">
      <c r="A128" t="s">
        <v>164</v>
      </c>
      <c r="B128" s="1" t="s">
        <v>164</v>
      </c>
      <c r="C128" s="9" t="s">
        <v>165</v>
      </c>
      <c r="D128" s="1" t="s">
        <v>44</v>
      </c>
      <c r="E128" s="1" t="s">
        <v>88</v>
      </c>
      <c r="F128" s="10" t="s">
        <v>89</v>
      </c>
      <c r="G128" s="1">
        <v>2.5000000000000001E-2</v>
      </c>
      <c r="H128" s="1">
        <v>0.02</v>
      </c>
      <c r="I128" s="8">
        <v>45657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1147589</v>
      </c>
      <c r="AJ128" s="2">
        <v>292489</v>
      </c>
      <c r="AK128" s="2">
        <v>20492.66</v>
      </c>
      <c r="AL128" s="2">
        <v>5223.0200000000004</v>
      </c>
      <c r="AM128" s="5">
        <v>12857.84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43202.34</v>
      </c>
      <c r="AT128" s="12">
        <v>38573.520000000004</v>
      </c>
      <c r="AU128" s="2">
        <v>771.47</v>
      </c>
      <c r="AV128" s="5">
        <v>0</v>
      </c>
      <c r="AX128" s="2">
        <v>1147589</v>
      </c>
      <c r="AY128" s="2">
        <v>292489</v>
      </c>
      <c r="AZ128" s="2">
        <v>20492.66</v>
      </c>
      <c r="BA128" s="2">
        <v>5223.0200000000004</v>
      </c>
      <c r="BB128" s="5">
        <v>12857.84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43202.34</v>
      </c>
      <c r="BI128" s="12">
        <v>38573.520000000004</v>
      </c>
      <c r="BJ128" s="2">
        <v>771.47</v>
      </c>
      <c r="BK128" s="5">
        <v>0</v>
      </c>
      <c r="BL128" s="1" t="s">
        <v>90</v>
      </c>
    </row>
    <row r="129" spans="1:64" x14ac:dyDescent="0.3">
      <c r="A129" t="s">
        <v>170</v>
      </c>
      <c r="B129" s="1" t="s">
        <v>170</v>
      </c>
      <c r="C129" s="9" t="s">
        <v>171</v>
      </c>
      <c r="D129" s="1" t="s">
        <v>44</v>
      </c>
      <c r="E129" s="1" t="s">
        <v>88</v>
      </c>
      <c r="F129" s="10" t="s">
        <v>89</v>
      </c>
      <c r="G129" s="1">
        <v>2.5000000000000001E-2</v>
      </c>
      <c r="H129" s="1">
        <v>0.02</v>
      </c>
      <c r="I129" s="8">
        <v>45657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464474.52999999997</v>
      </c>
      <c r="AJ129" s="2">
        <v>142256.16999999998</v>
      </c>
      <c r="AK129" s="2">
        <v>8294.19</v>
      </c>
      <c r="AL129" s="2">
        <v>2540.2799999999997</v>
      </c>
      <c r="AM129" s="5">
        <v>5417.24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18201.919999999998</v>
      </c>
      <c r="AT129" s="12">
        <v>16251.71</v>
      </c>
      <c r="AU129" s="2">
        <v>325.02999999999997</v>
      </c>
      <c r="AV129" s="5">
        <v>0</v>
      </c>
      <c r="AX129" s="2">
        <v>464474.52999999997</v>
      </c>
      <c r="AY129" s="2">
        <v>142256.16999999998</v>
      </c>
      <c r="AZ129" s="2">
        <v>8294.19</v>
      </c>
      <c r="BA129" s="2">
        <v>2540.2799999999997</v>
      </c>
      <c r="BB129" s="5">
        <v>5417.24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18201.919999999998</v>
      </c>
      <c r="BI129" s="12">
        <v>16251.71</v>
      </c>
      <c r="BJ129" s="2">
        <v>325.02999999999997</v>
      </c>
      <c r="BK129" s="5">
        <v>0</v>
      </c>
      <c r="BL129" s="1" t="s">
        <v>90</v>
      </c>
    </row>
    <row r="130" spans="1:64" x14ac:dyDescent="0.3">
      <c r="A130" t="s">
        <v>174</v>
      </c>
      <c r="B130" s="1" t="s">
        <v>174</v>
      </c>
      <c r="C130" s="9" t="s">
        <v>175</v>
      </c>
      <c r="D130" s="1" t="s">
        <v>44</v>
      </c>
      <c r="E130" s="1" t="s">
        <v>88</v>
      </c>
      <c r="F130" s="10" t="s">
        <v>104</v>
      </c>
      <c r="G130" s="1">
        <v>2.5000000000000001E-2</v>
      </c>
      <c r="H130" s="1">
        <v>0.02</v>
      </c>
      <c r="I130" s="8">
        <v>44051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584693</v>
      </c>
      <c r="AJ130" s="2">
        <v>153868.75</v>
      </c>
      <c r="AK130" s="2">
        <v>10440.950000000001</v>
      </c>
      <c r="AL130" s="2">
        <v>2747.66</v>
      </c>
      <c r="AM130" s="5">
        <v>6594.3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22156.86</v>
      </c>
      <c r="AT130" s="12">
        <v>19782.91</v>
      </c>
      <c r="AU130" s="2">
        <v>395.66</v>
      </c>
      <c r="AV130" s="5">
        <v>0</v>
      </c>
      <c r="AX130" s="2">
        <v>584693</v>
      </c>
      <c r="AY130" s="2">
        <v>153868.75</v>
      </c>
      <c r="AZ130" s="2">
        <v>10440.950000000001</v>
      </c>
      <c r="BA130" s="2">
        <v>2747.66</v>
      </c>
      <c r="BB130" s="5">
        <v>6594.3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22156.86</v>
      </c>
      <c r="BI130" s="12">
        <v>19782.91</v>
      </c>
      <c r="BJ130" s="2">
        <v>395.66</v>
      </c>
      <c r="BK130" s="5">
        <v>0</v>
      </c>
      <c r="BL130" s="1" t="s">
        <v>90</v>
      </c>
    </row>
    <row r="131" spans="1:64" x14ac:dyDescent="0.3">
      <c r="A131" t="s">
        <v>176</v>
      </c>
      <c r="B131" s="1" t="s">
        <v>176</v>
      </c>
      <c r="C131" s="9" t="s">
        <v>177</v>
      </c>
      <c r="D131" s="1" t="s">
        <v>44</v>
      </c>
      <c r="E131" s="1" t="s">
        <v>88</v>
      </c>
      <c r="F131" s="10" t="s">
        <v>178</v>
      </c>
      <c r="G131" s="1">
        <v>2.5000000000000001E-2</v>
      </c>
      <c r="H131" s="1">
        <v>0.02</v>
      </c>
      <c r="I131" s="8">
        <v>44358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506334.08</v>
      </c>
      <c r="AJ131" s="2">
        <v>98633.97</v>
      </c>
      <c r="AK131" s="2">
        <v>9041.68</v>
      </c>
      <c r="AL131" s="2">
        <v>1761.32</v>
      </c>
      <c r="AM131" s="5">
        <v>5401.5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18149.04</v>
      </c>
      <c r="AT131" s="12">
        <v>16204.5</v>
      </c>
      <c r="AU131" s="2">
        <v>324.08999999999997</v>
      </c>
      <c r="AV131" s="5">
        <v>0</v>
      </c>
      <c r="AX131" s="2">
        <v>506334.08</v>
      </c>
      <c r="AY131" s="2">
        <v>98633.97</v>
      </c>
      <c r="AZ131" s="2">
        <v>9041.68</v>
      </c>
      <c r="BA131" s="2">
        <v>1761.32</v>
      </c>
      <c r="BB131" s="5">
        <v>5401.5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18149.04</v>
      </c>
      <c r="BI131" s="12">
        <v>16204.5</v>
      </c>
      <c r="BJ131" s="2">
        <v>324.08999999999997</v>
      </c>
      <c r="BK131" s="5">
        <v>0</v>
      </c>
      <c r="BL131" s="1" t="s">
        <v>90</v>
      </c>
    </row>
    <row r="132" spans="1:64" x14ac:dyDescent="0.3">
      <c r="A132" t="s">
        <v>179</v>
      </c>
      <c r="B132" s="1" t="s">
        <v>179</v>
      </c>
      <c r="C132" s="9" t="s">
        <v>180</v>
      </c>
      <c r="D132" s="1" t="s">
        <v>44</v>
      </c>
      <c r="E132" s="1" t="s">
        <v>88</v>
      </c>
      <c r="F132" s="10" t="s">
        <v>181</v>
      </c>
      <c r="G132" s="1">
        <v>2.5000000000000001E-2</v>
      </c>
      <c r="H132" s="1">
        <v>0.02</v>
      </c>
      <c r="I132" s="8">
        <v>45657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561775.25</v>
      </c>
      <c r="AJ132" s="2">
        <v>211818</v>
      </c>
      <c r="AK132" s="2">
        <v>10031.69</v>
      </c>
      <c r="AL132" s="2">
        <v>3782.46</v>
      </c>
      <c r="AM132" s="5">
        <v>6907.0700000000006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23207.77</v>
      </c>
      <c r="AT132" s="12">
        <v>20721.22</v>
      </c>
      <c r="AU132" s="2">
        <v>414.42</v>
      </c>
      <c r="AV132" s="5">
        <v>0</v>
      </c>
      <c r="AX132" s="2">
        <v>561775.25</v>
      </c>
      <c r="AY132" s="2">
        <v>211818</v>
      </c>
      <c r="AZ132" s="2">
        <v>10031.69</v>
      </c>
      <c r="BA132" s="2">
        <v>3782.46</v>
      </c>
      <c r="BB132" s="5">
        <v>6907.0700000000006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23207.77</v>
      </c>
      <c r="BI132" s="12">
        <v>20721.22</v>
      </c>
      <c r="BJ132" s="2">
        <v>414.42</v>
      </c>
      <c r="BK132" s="5">
        <v>0</v>
      </c>
      <c r="BL132" s="1" t="s">
        <v>90</v>
      </c>
    </row>
    <row r="133" spans="1:64" x14ac:dyDescent="0.3">
      <c r="A133" t="s">
        <v>186</v>
      </c>
      <c r="B133" s="1" t="s">
        <v>186</v>
      </c>
      <c r="C133" s="9" t="s">
        <v>187</v>
      </c>
      <c r="D133" s="1" t="s">
        <v>44</v>
      </c>
      <c r="E133" s="1" t="s">
        <v>88</v>
      </c>
      <c r="F133" s="10" t="s">
        <v>188</v>
      </c>
      <c r="G133" s="1">
        <v>2.5000000000000001E-2</v>
      </c>
      <c r="H133" s="1">
        <v>0.02</v>
      </c>
      <c r="I133" s="8">
        <v>44396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690102.66999999993</v>
      </c>
      <c r="AJ133" s="2">
        <v>147713.5</v>
      </c>
      <c r="AK133" s="2">
        <v>12323.26</v>
      </c>
      <c r="AL133" s="2">
        <v>2637.75</v>
      </c>
      <c r="AM133" s="5">
        <v>7480.51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25134.5</v>
      </c>
      <c r="AT133" s="12">
        <v>22441.52</v>
      </c>
      <c r="AU133" s="2">
        <v>448.83000000000004</v>
      </c>
      <c r="AV133" s="5">
        <v>0</v>
      </c>
      <c r="AX133" s="2">
        <v>690102.66999999993</v>
      </c>
      <c r="AY133" s="2">
        <v>147713.5</v>
      </c>
      <c r="AZ133" s="2">
        <v>12323.26</v>
      </c>
      <c r="BA133" s="2">
        <v>2637.75</v>
      </c>
      <c r="BB133" s="5">
        <v>7480.51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25134.5</v>
      </c>
      <c r="BI133" s="12">
        <v>22441.52</v>
      </c>
      <c r="BJ133" s="2">
        <v>448.83000000000004</v>
      </c>
      <c r="BK133" s="5">
        <v>0</v>
      </c>
      <c r="BL133" s="1" t="s">
        <v>90</v>
      </c>
    </row>
    <row r="134" spans="1:64" x14ac:dyDescent="0.3">
      <c r="A134" t="s">
        <v>204</v>
      </c>
      <c r="B134" s="1" t="s">
        <v>204</v>
      </c>
      <c r="C134" s="9" t="s">
        <v>205</v>
      </c>
      <c r="D134" s="1" t="s">
        <v>44</v>
      </c>
      <c r="E134" s="1" t="s">
        <v>88</v>
      </c>
      <c r="F134" s="10" t="s">
        <v>181</v>
      </c>
      <c r="G134" s="1">
        <v>2.5000000000000001E-2</v>
      </c>
      <c r="H134" s="1">
        <v>0.02</v>
      </c>
      <c r="I134" s="8">
        <v>45657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690511.8</v>
      </c>
      <c r="AJ134" s="2">
        <v>184692</v>
      </c>
      <c r="AK134" s="2">
        <v>12330.57</v>
      </c>
      <c r="AL134" s="2">
        <v>3298.08</v>
      </c>
      <c r="AM134" s="5">
        <v>7814.32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26256.13</v>
      </c>
      <c r="AT134" s="12">
        <v>23442.97</v>
      </c>
      <c r="AU134" s="2">
        <v>468.86</v>
      </c>
      <c r="AV134" s="5">
        <v>0</v>
      </c>
      <c r="AX134" s="2">
        <v>690511.8</v>
      </c>
      <c r="AY134" s="2">
        <v>184692</v>
      </c>
      <c r="AZ134" s="2">
        <v>12330.57</v>
      </c>
      <c r="BA134" s="2">
        <v>3298.08</v>
      </c>
      <c r="BB134" s="5">
        <v>7814.32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26256.13</v>
      </c>
      <c r="BI134" s="12">
        <v>23442.97</v>
      </c>
      <c r="BJ134" s="2">
        <v>468.86</v>
      </c>
      <c r="BK134" s="5">
        <v>0</v>
      </c>
      <c r="BL134" s="1" t="s">
        <v>90</v>
      </c>
    </row>
    <row r="135" spans="1:64" x14ac:dyDescent="0.3">
      <c r="A135" t="s">
        <v>208</v>
      </c>
      <c r="B135" s="1" t="s">
        <v>208</v>
      </c>
      <c r="C135" s="9" t="s">
        <v>209</v>
      </c>
      <c r="D135" s="1" t="s">
        <v>44</v>
      </c>
      <c r="E135" s="1" t="s">
        <v>88</v>
      </c>
      <c r="F135" s="10" t="s">
        <v>181</v>
      </c>
      <c r="G135" s="1">
        <v>2.5000000000000001E-2</v>
      </c>
      <c r="H135" s="1">
        <v>0.02</v>
      </c>
      <c r="I135" s="8">
        <v>45752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562197.15</v>
      </c>
      <c r="AJ135" s="2">
        <v>155127</v>
      </c>
      <c r="AK135" s="2">
        <v>10319.27</v>
      </c>
      <c r="AL135" s="2">
        <v>2841.77</v>
      </c>
      <c r="AM135" s="5">
        <v>6404.6799999999994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21913.61</v>
      </c>
      <c r="AT135" s="12">
        <v>19565.72</v>
      </c>
      <c r="AU135" s="2">
        <v>391.30999999999995</v>
      </c>
      <c r="AV135" s="5">
        <v>0</v>
      </c>
      <c r="AX135" s="2">
        <v>562197.15</v>
      </c>
      <c r="AY135" s="2">
        <v>155127</v>
      </c>
      <c r="AZ135" s="2">
        <v>10319.27</v>
      </c>
      <c r="BA135" s="2">
        <v>2841.77</v>
      </c>
      <c r="BB135" s="5">
        <v>6404.6799999999994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21913.61</v>
      </c>
      <c r="BI135" s="12">
        <v>19565.72</v>
      </c>
      <c r="BJ135" s="2">
        <v>391.30999999999995</v>
      </c>
      <c r="BK135" s="5">
        <v>0</v>
      </c>
      <c r="BL135" s="1" t="s">
        <v>90</v>
      </c>
    </row>
    <row r="136" spans="1:64" x14ac:dyDescent="0.3">
      <c r="A136" t="s">
        <v>214</v>
      </c>
      <c r="B136" s="1" t="s">
        <v>214</v>
      </c>
      <c r="C136" s="9" t="s">
        <v>215</v>
      </c>
      <c r="D136" s="1" t="s">
        <v>44</v>
      </c>
      <c r="E136" s="1" t="s">
        <v>88</v>
      </c>
      <c r="F136" s="10" t="s">
        <v>104</v>
      </c>
      <c r="G136" s="1">
        <v>2.5000000000000001E-2</v>
      </c>
      <c r="H136" s="1">
        <v>0.02</v>
      </c>
      <c r="I136" s="8">
        <v>44009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590822</v>
      </c>
      <c r="AJ136" s="2">
        <v>165050</v>
      </c>
      <c r="AK136" s="2">
        <v>10550.39</v>
      </c>
      <c r="AL136" s="2">
        <v>2947.32</v>
      </c>
      <c r="AM136" s="5">
        <v>6748.86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22676.16</v>
      </c>
      <c r="AT136" s="12">
        <v>20246.57</v>
      </c>
      <c r="AU136" s="2">
        <v>404.93</v>
      </c>
      <c r="AV136" s="5">
        <v>0</v>
      </c>
      <c r="AX136" s="2">
        <v>590822</v>
      </c>
      <c r="AY136" s="2">
        <v>165050</v>
      </c>
      <c r="AZ136" s="2">
        <v>10550.39</v>
      </c>
      <c r="BA136" s="2">
        <v>2947.32</v>
      </c>
      <c r="BB136" s="5">
        <v>6748.86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22676.16</v>
      </c>
      <c r="BI136" s="12">
        <v>20246.57</v>
      </c>
      <c r="BJ136" s="2">
        <v>404.93</v>
      </c>
      <c r="BK136" s="5">
        <v>0</v>
      </c>
      <c r="BL136" s="1" t="s">
        <v>90</v>
      </c>
    </row>
    <row r="137" spans="1:64" x14ac:dyDescent="0.3">
      <c r="A137" t="s">
        <v>229</v>
      </c>
      <c r="B137" s="1" t="s">
        <v>229</v>
      </c>
      <c r="C137" s="9" t="s">
        <v>230</v>
      </c>
      <c r="D137" s="1" t="s">
        <v>44</v>
      </c>
      <c r="E137" s="1" t="s">
        <v>88</v>
      </c>
      <c r="F137" s="10" t="s">
        <v>104</v>
      </c>
      <c r="G137" s="1">
        <v>2.5000000000000001E-2</v>
      </c>
      <c r="H137" s="1">
        <v>0.02</v>
      </c>
      <c r="I137" s="8">
        <v>44009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688493.75000000012</v>
      </c>
      <c r="AJ137" s="2">
        <v>154765</v>
      </c>
      <c r="AK137" s="2">
        <v>12294.54</v>
      </c>
      <c r="AL137" s="2">
        <v>2763.66</v>
      </c>
      <c r="AM137" s="5">
        <v>7529.1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25297.78</v>
      </c>
      <c r="AT137" s="12">
        <v>22587.300000000003</v>
      </c>
      <c r="AU137" s="2">
        <v>451.75</v>
      </c>
      <c r="AV137" s="5">
        <v>0</v>
      </c>
      <c r="AX137" s="2">
        <v>688493.75000000012</v>
      </c>
      <c r="AY137" s="2">
        <v>154765</v>
      </c>
      <c r="AZ137" s="2">
        <v>12294.54</v>
      </c>
      <c r="BA137" s="2">
        <v>2763.66</v>
      </c>
      <c r="BB137" s="5">
        <v>7529.1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25297.78</v>
      </c>
      <c r="BI137" s="12">
        <v>22587.300000000003</v>
      </c>
      <c r="BJ137" s="2">
        <v>451.75</v>
      </c>
      <c r="BK137" s="5">
        <v>0</v>
      </c>
      <c r="BL137" s="1" t="s">
        <v>90</v>
      </c>
    </row>
    <row r="138" spans="1:64" x14ac:dyDescent="0.3">
      <c r="A138" t="s">
        <v>231</v>
      </c>
      <c r="B138" s="1" t="s">
        <v>231</v>
      </c>
      <c r="C138" s="9" t="s">
        <v>232</v>
      </c>
      <c r="D138" s="1" t="s">
        <v>44</v>
      </c>
      <c r="E138" s="1" t="s">
        <v>88</v>
      </c>
      <c r="F138" s="10" t="s">
        <v>188</v>
      </c>
      <c r="G138" s="1">
        <v>2.5000000000000001E-2</v>
      </c>
      <c r="H138" s="1">
        <v>0.02</v>
      </c>
      <c r="I138" s="8">
        <v>45657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707584.81</v>
      </c>
      <c r="AJ138" s="2">
        <v>222189.41000000003</v>
      </c>
      <c r="AK138" s="2">
        <v>12635.45</v>
      </c>
      <c r="AL138" s="2">
        <v>3967.67</v>
      </c>
      <c r="AM138" s="5">
        <v>8301.5499999999993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27893.23</v>
      </c>
      <c r="AT138" s="12">
        <v>24904.670000000002</v>
      </c>
      <c r="AU138" s="2">
        <v>498.09</v>
      </c>
      <c r="AV138" s="5">
        <v>0</v>
      </c>
      <c r="AX138" s="2">
        <v>707584.81</v>
      </c>
      <c r="AY138" s="2">
        <v>222189.41000000003</v>
      </c>
      <c r="AZ138" s="2">
        <v>12635.45</v>
      </c>
      <c r="BA138" s="2">
        <v>3967.67</v>
      </c>
      <c r="BB138" s="5">
        <v>8301.5499999999993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27893.23</v>
      </c>
      <c r="BI138" s="12">
        <v>24904.670000000002</v>
      </c>
      <c r="BJ138" s="2">
        <v>498.09</v>
      </c>
      <c r="BK138" s="5">
        <v>0</v>
      </c>
      <c r="BL138" s="1" t="s">
        <v>90</v>
      </c>
    </row>
    <row r="139" spans="1:64" x14ac:dyDescent="0.3">
      <c r="A139" t="s">
        <v>233</v>
      </c>
      <c r="B139" s="1" t="s">
        <v>233</v>
      </c>
      <c r="C139" s="9" t="s">
        <v>234</v>
      </c>
      <c r="D139" s="1" t="s">
        <v>44</v>
      </c>
      <c r="E139" s="1" t="s">
        <v>88</v>
      </c>
      <c r="F139" s="10" t="s">
        <v>101</v>
      </c>
      <c r="G139" s="1">
        <v>2.5000000000000001E-2</v>
      </c>
      <c r="H139" s="1">
        <v>0.02</v>
      </c>
      <c r="I139" s="8">
        <v>44204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418567</v>
      </c>
      <c r="AJ139" s="2">
        <v>66592</v>
      </c>
      <c r="AK139" s="2">
        <v>7474.41</v>
      </c>
      <c r="AL139" s="2">
        <v>1189.1400000000001</v>
      </c>
      <c r="AM139" s="5">
        <v>4331.78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14554.77</v>
      </c>
      <c r="AT139" s="12">
        <v>12995.329999999998</v>
      </c>
      <c r="AU139" s="2">
        <v>259.91000000000003</v>
      </c>
      <c r="AV139" s="5">
        <v>0</v>
      </c>
      <c r="AX139" s="2">
        <v>418567</v>
      </c>
      <c r="AY139" s="2">
        <v>66592</v>
      </c>
      <c r="AZ139" s="2">
        <v>7474.41</v>
      </c>
      <c r="BA139" s="2">
        <v>1189.1400000000001</v>
      </c>
      <c r="BB139" s="5">
        <v>4331.78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14554.77</v>
      </c>
      <c r="BI139" s="12">
        <v>12995.329999999998</v>
      </c>
      <c r="BJ139" s="2">
        <v>259.91000000000003</v>
      </c>
      <c r="BK139" s="5">
        <v>0</v>
      </c>
      <c r="BL139" s="1" t="s">
        <v>90</v>
      </c>
    </row>
    <row r="140" spans="1:64" x14ac:dyDescent="0.3">
      <c r="A140" t="s">
        <v>235</v>
      </c>
      <c r="B140" s="1" t="s">
        <v>235</v>
      </c>
      <c r="C140" s="9" t="s">
        <v>236</v>
      </c>
      <c r="D140" s="1" t="s">
        <v>44</v>
      </c>
      <c r="E140" s="1" t="s">
        <v>88</v>
      </c>
      <c r="F140" s="10" t="s">
        <v>101</v>
      </c>
      <c r="G140" s="1">
        <v>2.5000000000000001E-2</v>
      </c>
      <c r="H140" s="1">
        <v>0.02</v>
      </c>
      <c r="I140" s="8">
        <v>44009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239293.2</v>
      </c>
      <c r="AJ140" s="2">
        <v>173480</v>
      </c>
      <c r="AK140" s="2">
        <v>4273.09</v>
      </c>
      <c r="AL140" s="2">
        <v>3097.86</v>
      </c>
      <c r="AM140" s="5">
        <v>3685.47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12383.19</v>
      </c>
      <c r="AT140" s="12">
        <v>11056.42</v>
      </c>
      <c r="AU140" s="2">
        <v>221.13</v>
      </c>
      <c r="AV140" s="5">
        <v>0</v>
      </c>
      <c r="AX140" s="2">
        <v>239293.2</v>
      </c>
      <c r="AY140" s="2">
        <v>173480</v>
      </c>
      <c r="AZ140" s="2">
        <v>4273.09</v>
      </c>
      <c r="BA140" s="2">
        <v>3097.86</v>
      </c>
      <c r="BB140" s="5">
        <v>3685.47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12383.19</v>
      </c>
      <c r="BI140" s="12">
        <v>11056.42</v>
      </c>
      <c r="BJ140" s="2">
        <v>221.13</v>
      </c>
      <c r="BK140" s="5">
        <v>0</v>
      </c>
      <c r="BL140" s="1" t="s">
        <v>90</v>
      </c>
    </row>
    <row r="141" spans="1:64" x14ac:dyDescent="0.3">
      <c r="A141" t="s">
        <v>247</v>
      </c>
      <c r="B141" s="1" t="s">
        <v>247</v>
      </c>
      <c r="C141" s="9" t="s">
        <v>248</v>
      </c>
      <c r="D141" s="1" t="s">
        <v>44</v>
      </c>
      <c r="E141" s="1" t="s">
        <v>88</v>
      </c>
      <c r="F141" s="10" t="s">
        <v>114</v>
      </c>
      <c r="G141" s="1">
        <v>2.5000000000000001E-2</v>
      </c>
      <c r="H141" s="1">
        <v>0.02</v>
      </c>
      <c r="I141" s="8">
        <v>45657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600128.78</v>
      </c>
      <c r="AJ141" s="2">
        <v>141990.66</v>
      </c>
      <c r="AK141" s="2">
        <v>10716.59</v>
      </c>
      <c r="AL141" s="2">
        <v>2535.54</v>
      </c>
      <c r="AM141" s="5">
        <v>6626.06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22263.57</v>
      </c>
      <c r="AT141" s="12">
        <v>19878.190000000002</v>
      </c>
      <c r="AU141" s="2">
        <v>397.56</v>
      </c>
      <c r="AV141" s="5">
        <v>0</v>
      </c>
      <c r="AX141" s="2">
        <v>600128.78</v>
      </c>
      <c r="AY141" s="2">
        <v>141990.66</v>
      </c>
      <c r="AZ141" s="2">
        <v>10716.59</v>
      </c>
      <c r="BA141" s="2">
        <v>2535.54</v>
      </c>
      <c r="BB141" s="5">
        <v>6626.06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22263.57</v>
      </c>
      <c r="BI141" s="12">
        <v>19878.190000000002</v>
      </c>
      <c r="BJ141" s="2">
        <v>397.56</v>
      </c>
      <c r="BK141" s="5">
        <v>0</v>
      </c>
      <c r="BL141" s="1" t="s">
        <v>90</v>
      </c>
    </row>
    <row r="142" spans="1:64" x14ac:dyDescent="0.3">
      <c r="A142" t="s">
        <v>253</v>
      </c>
      <c r="B142" s="1" t="s">
        <v>253</v>
      </c>
      <c r="C142" s="9" t="s">
        <v>254</v>
      </c>
      <c r="D142" s="1" t="s">
        <v>44</v>
      </c>
      <c r="E142" s="1" t="s">
        <v>88</v>
      </c>
      <c r="F142" s="10" t="s">
        <v>114</v>
      </c>
      <c r="G142" s="1">
        <v>2.5000000000000001E-2</v>
      </c>
      <c r="H142" s="1">
        <v>0.02</v>
      </c>
      <c r="I142" s="8">
        <v>45657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534136</v>
      </c>
      <c r="AJ142" s="2">
        <v>98312</v>
      </c>
      <c r="AK142" s="2">
        <v>9538.14</v>
      </c>
      <c r="AL142" s="2">
        <v>1755.57</v>
      </c>
      <c r="AM142" s="5">
        <v>5646.86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18973.439999999999</v>
      </c>
      <c r="AT142" s="12">
        <v>16940.57</v>
      </c>
      <c r="AU142" s="2">
        <v>338.81</v>
      </c>
      <c r="AV142" s="5">
        <v>0</v>
      </c>
      <c r="AX142" s="2">
        <v>534136</v>
      </c>
      <c r="AY142" s="2">
        <v>98312</v>
      </c>
      <c r="AZ142" s="2">
        <v>9538.14</v>
      </c>
      <c r="BA142" s="2">
        <v>1755.57</v>
      </c>
      <c r="BB142" s="5">
        <v>5646.86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18973.439999999999</v>
      </c>
      <c r="BI142" s="12">
        <v>16940.57</v>
      </c>
      <c r="BJ142" s="2">
        <v>338.81</v>
      </c>
      <c r="BK142" s="5">
        <v>0</v>
      </c>
      <c r="BL142" s="1" t="s">
        <v>90</v>
      </c>
    </row>
    <row r="143" spans="1:64" x14ac:dyDescent="0.3">
      <c r="A143" t="s">
        <v>270</v>
      </c>
      <c r="B143" s="1" t="s">
        <v>270</v>
      </c>
      <c r="C143" s="9" t="s">
        <v>271</v>
      </c>
      <c r="D143" s="1" t="s">
        <v>44</v>
      </c>
      <c r="E143" s="1" t="s">
        <v>88</v>
      </c>
      <c r="F143" s="10" t="s">
        <v>104</v>
      </c>
      <c r="G143" s="1">
        <v>2.5000000000000001E-2</v>
      </c>
      <c r="H143" s="1">
        <v>0.02</v>
      </c>
      <c r="I143" s="8">
        <v>45585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421276</v>
      </c>
      <c r="AJ143" s="2">
        <v>136211</v>
      </c>
      <c r="AK143" s="2">
        <v>7522.79</v>
      </c>
      <c r="AL143" s="2">
        <v>2432.34</v>
      </c>
      <c r="AM143" s="5">
        <v>4977.5600000000004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16724.61</v>
      </c>
      <c r="AT143" s="12">
        <v>14932.690000000002</v>
      </c>
      <c r="AU143" s="2">
        <v>298.64999999999998</v>
      </c>
      <c r="AV143" s="5">
        <v>0</v>
      </c>
      <c r="AX143" s="2">
        <v>421276</v>
      </c>
      <c r="AY143" s="2">
        <v>136211</v>
      </c>
      <c r="AZ143" s="2">
        <v>7522.79</v>
      </c>
      <c r="BA143" s="2">
        <v>2432.34</v>
      </c>
      <c r="BB143" s="5">
        <v>4977.5600000000004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16724.61</v>
      </c>
      <c r="BI143" s="12">
        <v>14932.690000000002</v>
      </c>
      <c r="BJ143" s="2">
        <v>298.64999999999998</v>
      </c>
      <c r="BK143" s="5">
        <v>0</v>
      </c>
      <c r="BL143" s="1" t="s">
        <v>90</v>
      </c>
    </row>
    <row r="144" spans="1:64" x14ac:dyDescent="0.3">
      <c r="A144" t="s">
        <v>272</v>
      </c>
      <c r="B144" s="1" t="s">
        <v>272</v>
      </c>
      <c r="C144" s="9" t="s">
        <v>273</v>
      </c>
      <c r="D144" s="1" t="s">
        <v>44</v>
      </c>
      <c r="E144" s="1" t="s">
        <v>88</v>
      </c>
      <c r="F144" s="10" t="s">
        <v>101</v>
      </c>
      <c r="G144" s="1">
        <v>2.5000000000000001E-2</v>
      </c>
      <c r="H144" s="1">
        <v>0.02</v>
      </c>
      <c r="I144" s="8">
        <v>44416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325750.5</v>
      </c>
      <c r="AJ144" s="2">
        <v>99924.75</v>
      </c>
      <c r="AK144" s="2">
        <v>5816.97</v>
      </c>
      <c r="AL144" s="2">
        <v>1784.37</v>
      </c>
      <c r="AM144" s="5">
        <v>3800.67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12770.25</v>
      </c>
      <c r="AT144" s="12">
        <v>11402.01</v>
      </c>
      <c r="AU144" s="2">
        <v>228.04</v>
      </c>
      <c r="AV144" s="5">
        <v>0</v>
      </c>
      <c r="AX144" s="2">
        <v>325750.5</v>
      </c>
      <c r="AY144" s="2">
        <v>99924.75</v>
      </c>
      <c r="AZ144" s="2">
        <v>5816.97</v>
      </c>
      <c r="BA144" s="2">
        <v>1784.37</v>
      </c>
      <c r="BB144" s="5">
        <v>3800.67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12770.25</v>
      </c>
      <c r="BI144" s="12">
        <v>11402.01</v>
      </c>
      <c r="BJ144" s="2">
        <v>228.04</v>
      </c>
      <c r="BK144" s="5">
        <v>0</v>
      </c>
      <c r="BL144" s="1" t="s">
        <v>90</v>
      </c>
    </row>
    <row r="145" spans="1:64" x14ac:dyDescent="0.3">
      <c r="A145" t="s">
        <v>280</v>
      </c>
      <c r="B145" s="1" t="s">
        <v>280</v>
      </c>
      <c r="C145" s="9" t="s">
        <v>281</v>
      </c>
      <c r="D145" s="1" t="s">
        <v>44</v>
      </c>
      <c r="E145" s="1" t="s">
        <v>88</v>
      </c>
      <c r="F145" s="10" t="s">
        <v>188</v>
      </c>
      <c r="G145" s="1">
        <v>2.5000000000000001E-2</v>
      </c>
      <c r="H145" s="1">
        <v>0.02</v>
      </c>
      <c r="I145" s="8">
        <v>45657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776203.63</v>
      </c>
      <c r="AJ145" s="2">
        <v>177157.52000000002</v>
      </c>
      <c r="AK145" s="2">
        <v>13860.78</v>
      </c>
      <c r="AL145" s="2">
        <v>3163.53</v>
      </c>
      <c r="AM145" s="5">
        <v>8512.15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28600.84</v>
      </c>
      <c r="AT145" s="12">
        <v>25536.46</v>
      </c>
      <c r="AU145" s="2">
        <v>510.73</v>
      </c>
      <c r="AV145" s="5">
        <v>0</v>
      </c>
      <c r="AX145" s="2">
        <v>776203.63</v>
      </c>
      <c r="AY145" s="2">
        <v>177157.52000000002</v>
      </c>
      <c r="AZ145" s="2">
        <v>13860.78</v>
      </c>
      <c r="BA145" s="2">
        <v>3163.53</v>
      </c>
      <c r="BB145" s="5">
        <v>8512.15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28600.84</v>
      </c>
      <c r="BI145" s="12">
        <v>25536.46</v>
      </c>
      <c r="BJ145" s="2">
        <v>510.73</v>
      </c>
      <c r="BK145" s="5">
        <v>0</v>
      </c>
      <c r="BL145" s="1" t="s">
        <v>90</v>
      </c>
    </row>
    <row r="146" spans="1:64" x14ac:dyDescent="0.3">
      <c r="A146" t="s">
        <v>288</v>
      </c>
      <c r="B146" s="1" t="s">
        <v>288</v>
      </c>
      <c r="C146" s="9" t="s">
        <v>289</v>
      </c>
      <c r="D146" s="1" t="s">
        <v>44</v>
      </c>
      <c r="E146" s="1" t="s">
        <v>88</v>
      </c>
      <c r="F146" s="10" t="s">
        <v>114</v>
      </c>
      <c r="G146" s="1">
        <v>2.5000000000000001E-2</v>
      </c>
      <c r="H146" s="1">
        <v>0.02</v>
      </c>
      <c r="I146" s="8">
        <v>45657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382259</v>
      </c>
      <c r="AJ146" s="2">
        <v>53362</v>
      </c>
      <c r="AK146" s="2">
        <v>6826.05</v>
      </c>
      <c r="AL146" s="2">
        <v>952.89</v>
      </c>
      <c r="AM146" s="5">
        <v>3889.47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13068.62</v>
      </c>
      <c r="AT146" s="12">
        <v>11668.41</v>
      </c>
      <c r="AU146" s="2">
        <v>233.37</v>
      </c>
      <c r="AV146" s="5">
        <v>0</v>
      </c>
      <c r="AX146" s="2">
        <v>382259</v>
      </c>
      <c r="AY146" s="2">
        <v>53362</v>
      </c>
      <c r="AZ146" s="2">
        <v>6826.05</v>
      </c>
      <c r="BA146" s="2">
        <v>952.89</v>
      </c>
      <c r="BB146" s="5">
        <v>3889.47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13068.62</v>
      </c>
      <c r="BI146" s="12">
        <v>11668.41</v>
      </c>
      <c r="BJ146" s="2">
        <v>233.37</v>
      </c>
      <c r="BK146" s="5">
        <v>0</v>
      </c>
      <c r="BL146" s="1" t="s">
        <v>90</v>
      </c>
    </row>
    <row r="147" spans="1:64" x14ac:dyDescent="0.3">
      <c r="A147" t="s">
        <v>290</v>
      </c>
      <c r="B147" s="1" t="s">
        <v>290</v>
      </c>
      <c r="C147" s="9" t="s">
        <v>291</v>
      </c>
      <c r="D147" s="1" t="s">
        <v>44</v>
      </c>
      <c r="E147" s="1" t="s">
        <v>88</v>
      </c>
      <c r="F147" s="10" t="s">
        <v>114</v>
      </c>
      <c r="G147" s="1">
        <v>2.5000000000000001E-2</v>
      </c>
      <c r="H147" s="1">
        <v>0.02</v>
      </c>
      <c r="I147" s="8">
        <v>44487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391689.95</v>
      </c>
      <c r="AJ147" s="2">
        <v>90521</v>
      </c>
      <c r="AK147" s="2">
        <v>6994.46</v>
      </c>
      <c r="AL147" s="2">
        <v>1616.45</v>
      </c>
      <c r="AM147" s="5">
        <v>4305.46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14466.33</v>
      </c>
      <c r="AT147" s="12">
        <v>12916.369999999999</v>
      </c>
      <c r="AU147" s="2">
        <v>258.33</v>
      </c>
      <c r="AV147" s="5">
        <v>0</v>
      </c>
      <c r="AX147" s="2">
        <v>391689.95</v>
      </c>
      <c r="AY147" s="2">
        <v>90521</v>
      </c>
      <c r="AZ147" s="2">
        <v>6994.46</v>
      </c>
      <c r="BA147" s="2">
        <v>1616.45</v>
      </c>
      <c r="BB147" s="5">
        <v>4305.46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14466.33</v>
      </c>
      <c r="BI147" s="12">
        <v>12916.369999999999</v>
      </c>
      <c r="BJ147" s="2">
        <v>258.33</v>
      </c>
      <c r="BK147" s="5">
        <v>0</v>
      </c>
      <c r="BL147" s="1" t="s">
        <v>90</v>
      </c>
    </row>
    <row r="148" spans="1:64" x14ac:dyDescent="0.3">
      <c r="A148" t="s">
        <v>312</v>
      </c>
      <c r="B148" s="1" t="s">
        <v>312</v>
      </c>
      <c r="C148" s="9" t="s">
        <v>313</v>
      </c>
      <c r="D148" s="1" t="s">
        <v>44</v>
      </c>
      <c r="E148" s="1" t="s">
        <v>88</v>
      </c>
      <c r="F148" s="10" t="s">
        <v>178</v>
      </c>
      <c r="G148" s="1">
        <v>2.5000000000000001E-2</v>
      </c>
      <c r="H148" s="1">
        <v>0.02</v>
      </c>
      <c r="I148" s="8">
        <v>44068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247151</v>
      </c>
      <c r="AJ148" s="2">
        <v>65736</v>
      </c>
      <c r="AK148" s="2">
        <v>4413.41</v>
      </c>
      <c r="AL148" s="2">
        <v>1173.8599999999999</v>
      </c>
      <c r="AM148" s="5">
        <v>2793.63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9386.61</v>
      </c>
      <c r="AT148" s="12">
        <v>8380.9</v>
      </c>
      <c r="AU148" s="2">
        <v>167.62</v>
      </c>
      <c r="AV148" s="5">
        <v>0</v>
      </c>
      <c r="AX148" s="2">
        <v>247151</v>
      </c>
      <c r="AY148" s="2">
        <v>65736</v>
      </c>
      <c r="AZ148" s="2">
        <v>4413.41</v>
      </c>
      <c r="BA148" s="2">
        <v>1173.8599999999999</v>
      </c>
      <c r="BB148" s="5">
        <v>2793.63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9386.61</v>
      </c>
      <c r="BI148" s="12">
        <v>8380.9</v>
      </c>
      <c r="BJ148" s="2">
        <v>167.62</v>
      </c>
      <c r="BK148" s="5">
        <v>0</v>
      </c>
      <c r="BL148" s="1" t="s">
        <v>90</v>
      </c>
    </row>
    <row r="149" spans="1:64" x14ac:dyDescent="0.3">
      <c r="A149" t="s">
        <v>319</v>
      </c>
      <c r="B149" s="1" t="s">
        <v>319</v>
      </c>
      <c r="C149" s="9" t="s">
        <v>320</v>
      </c>
      <c r="D149" s="1" t="s">
        <v>44</v>
      </c>
      <c r="E149" s="1" t="s">
        <v>88</v>
      </c>
      <c r="F149" s="10" t="s">
        <v>188</v>
      </c>
      <c r="G149" s="1">
        <v>2.5000000000000001E-2</v>
      </c>
      <c r="H149" s="1">
        <v>0.02</v>
      </c>
      <c r="I149" s="8">
        <v>45657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1006260.4700000001</v>
      </c>
      <c r="AJ149" s="2">
        <v>190696.29</v>
      </c>
      <c r="AK149" s="2">
        <v>17968.93</v>
      </c>
      <c r="AL149" s="2">
        <v>3405.29</v>
      </c>
      <c r="AM149" s="5">
        <v>10687.12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35908.699999999997</v>
      </c>
      <c r="AT149" s="12">
        <v>32061.34</v>
      </c>
      <c r="AU149" s="2">
        <v>641.23</v>
      </c>
      <c r="AV149" s="5">
        <v>0</v>
      </c>
      <c r="AX149" s="2">
        <v>1006260.4700000001</v>
      </c>
      <c r="AY149" s="2">
        <v>190696.29</v>
      </c>
      <c r="AZ149" s="2">
        <v>17968.93</v>
      </c>
      <c r="BA149" s="2">
        <v>3405.29</v>
      </c>
      <c r="BB149" s="5">
        <v>10687.12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35908.699999999997</v>
      </c>
      <c r="BI149" s="12">
        <v>32061.34</v>
      </c>
      <c r="BJ149" s="2">
        <v>641.23</v>
      </c>
      <c r="BK149" s="5">
        <v>0</v>
      </c>
      <c r="BL149" s="1" t="s">
        <v>90</v>
      </c>
    </row>
    <row r="150" spans="1:64" x14ac:dyDescent="0.3">
      <c r="A150" t="s">
        <v>327</v>
      </c>
      <c r="B150" s="1" t="s">
        <v>327</v>
      </c>
      <c r="C150" s="9" t="s">
        <v>328</v>
      </c>
      <c r="D150" s="1" t="s">
        <v>44</v>
      </c>
      <c r="E150" s="1" t="s">
        <v>88</v>
      </c>
      <c r="F150" s="10" t="s">
        <v>178</v>
      </c>
      <c r="G150" s="1">
        <v>2.5000000000000001E-2</v>
      </c>
      <c r="H150" s="1">
        <v>0.02</v>
      </c>
      <c r="I150" s="8">
        <v>44499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369056.69</v>
      </c>
      <c r="AJ150" s="2">
        <v>108115.41</v>
      </c>
      <c r="AK150" s="2">
        <v>6590.29</v>
      </c>
      <c r="AL150" s="2">
        <v>1930.63</v>
      </c>
      <c r="AM150" s="5">
        <v>4260.46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14315.15</v>
      </c>
      <c r="AT150" s="12">
        <v>12781.380000000001</v>
      </c>
      <c r="AU150" s="2">
        <v>255.63</v>
      </c>
      <c r="AV150" s="5">
        <v>0</v>
      </c>
      <c r="AX150" s="2">
        <v>369056.69</v>
      </c>
      <c r="AY150" s="2">
        <v>108115.41</v>
      </c>
      <c r="AZ150" s="2">
        <v>6590.29</v>
      </c>
      <c r="BA150" s="2">
        <v>1930.63</v>
      </c>
      <c r="BB150" s="5">
        <v>4260.46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14315.15</v>
      </c>
      <c r="BI150" s="12">
        <v>12781.380000000001</v>
      </c>
      <c r="BJ150" s="2">
        <v>255.63</v>
      </c>
      <c r="BK150" s="5">
        <v>0</v>
      </c>
      <c r="BL150" s="1" t="s">
        <v>90</v>
      </c>
    </row>
    <row r="151" spans="1:64" x14ac:dyDescent="0.3">
      <c r="A151" t="s">
        <v>334</v>
      </c>
      <c r="B151" s="1" t="s">
        <v>334</v>
      </c>
      <c r="C151" s="9" t="s">
        <v>335</v>
      </c>
      <c r="D151" s="1" t="s">
        <v>44</v>
      </c>
      <c r="E151" s="1" t="s">
        <v>88</v>
      </c>
      <c r="F151" s="10" t="s">
        <v>188</v>
      </c>
      <c r="G151" s="1">
        <v>3.5000000000000003E-2</v>
      </c>
      <c r="H151" s="1">
        <v>0.02</v>
      </c>
      <c r="I151" s="8">
        <v>44607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1320922.71</v>
      </c>
      <c r="AJ151" s="2">
        <v>288785.71999999997</v>
      </c>
      <c r="AK151" s="2">
        <v>23587.899999999998</v>
      </c>
      <c r="AL151" s="2">
        <v>5156.8900000000003</v>
      </c>
      <c r="AM151" s="5">
        <v>14372.4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48291.25</v>
      </c>
      <c r="AT151" s="12">
        <v>43117.189999999995</v>
      </c>
      <c r="AU151" s="2">
        <v>862.35</v>
      </c>
      <c r="AV151" s="5">
        <v>0</v>
      </c>
      <c r="AX151" s="2">
        <v>1320922.71</v>
      </c>
      <c r="AY151" s="2">
        <v>288785.71999999997</v>
      </c>
      <c r="AZ151" s="2">
        <v>23587.899999999998</v>
      </c>
      <c r="BA151" s="2">
        <v>5156.8900000000003</v>
      </c>
      <c r="BB151" s="5">
        <v>14372.4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48291.25</v>
      </c>
      <c r="BI151" s="12">
        <v>43117.189999999995</v>
      </c>
      <c r="BJ151" s="2">
        <v>862.35</v>
      </c>
      <c r="BK151" s="5">
        <v>0</v>
      </c>
      <c r="BL151" s="1" t="s">
        <v>90</v>
      </c>
    </row>
    <row r="152" spans="1:64" x14ac:dyDescent="0.3">
      <c r="A152" t="s">
        <v>351</v>
      </c>
      <c r="B152" s="1" t="s">
        <v>351</v>
      </c>
      <c r="C152" s="9" t="s">
        <v>352</v>
      </c>
      <c r="D152" s="1" t="s">
        <v>44</v>
      </c>
      <c r="E152" s="1" t="s">
        <v>88</v>
      </c>
      <c r="F152" s="10" t="s">
        <v>178</v>
      </c>
      <c r="G152" s="1">
        <v>3.5000000000000003E-2</v>
      </c>
      <c r="H152" s="1">
        <v>0.02</v>
      </c>
      <c r="I152" s="8">
        <v>44661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312349.7</v>
      </c>
      <c r="AJ152" s="2">
        <v>51157.75</v>
      </c>
      <c r="AK152" s="2">
        <v>5577.67</v>
      </c>
      <c r="AL152" s="2">
        <v>913.54</v>
      </c>
      <c r="AM152" s="5">
        <v>3245.6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10905.23</v>
      </c>
      <c r="AT152" s="12">
        <v>9736.81</v>
      </c>
      <c r="AU152" s="2">
        <v>194.74</v>
      </c>
      <c r="AV152" s="5">
        <v>0</v>
      </c>
      <c r="AX152" s="2">
        <v>312349.7</v>
      </c>
      <c r="AY152" s="2">
        <v>51157.75</v>
      </c>
      <c r="AZ152" s="2">
        <v>5577.67</v>
      </c>
      <c r="BA152" s="2">
        <v>913.54</v>
      </c>
      <c r="BB152" s="5">
        <v>3245.6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10905.23</v>
      </c>
      <c r="BI152" s="12">
        <v>9736.81</v>
      </c>
      <c r="BJ152" s="2">
        <v>194.74</v>
      </c>
      <c r="BK152" s="5">
        <v>0</v>
      </c>
      <c r="BL152" s="1" t="s">
        <v>90</v>
      </c>
    </row>
    <row r="153" spans="1:64" x14ac:dyDescent="0.3">
      <c r="A153" t="s">
        <v>379</v>
      </c>
      <c r="B153" s="1" t="s">
        <v>379</v>
      </c>
      <c r="C153" s="9" t="s">
        <v>380</v>
      </c>
      <c r="D153" s="1" t="s">
        <v>44</v>
      </c>
      <c r="E153" s="1" t="s">
        <v>88</v>
      </c>
      <c r="F153" s="10" t="s">
        <v>188</v>
      </c>
      <c r="G153" s="1">
        <v>3.5000000000000003E-2</v>
      </c>
      <c r="H153" s="1">
        <v>0.02</v>
      </c>
      <c r="I153" s="8">
        <v>44755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1037753.61</v>
      </c>
      <c r="AJ153" s="2">
        <v>202004.13999999996</v>
      </c>
      <c r="AK153" s="2">
        <v>18531.310000000001</v>
      </c>
      <c r="AL153" s="2">
        <v>3607.21</v>
      </c>
      <c r="AM153" s="5">
        <v>11069.27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37192.720000000001</v>
      </c>
      <c r="AT153" s="12">
        <v>33207.79</v>
      </c>
      <c r="AU153" s="2">
        <v>664.16</v>
      </c>
      <c r="AV153" s="5">
        <v>0</v>
      </c>
      <c r="AX153" s="2">
        <v>1037753.61</v>
      </c>
      <c r="AY153" s="2">
        <v>202004.13999999996</v>
      </c>
      <c r="AZ153" s="2">
        <v>18531.310000000001</v>
      </c>
      <c r="BA153" s="2">
        <v>3607.21</v>
      </c>
      <c r="BB153" s="5">
        <v>11069.27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37192.720000000001</v>
      </c>
      <c r="BI153" s="12">
        <v>33207.79</v>
      </c>
      <c r="BJ153" s="2">
        <v>664.16</v>
      </c>
      <c r="BK153" s="5">
        <v>0</v>
      </c>
      <c r="BL153" s="1" t="s">
        <v>90</v>
      </c>
    </row>
    <row r="154" spans="1:64" x14ac:dyDescent="0.3">
      <c r="A154" t="s">
        <v>381</v>
      </c>
      <c r="B154" s="1" t="s">
        <v>381</v>
      </c>
      <c r="C154" s="9" t="s">
        <v>382</v>
      </c>
      <c r="D154" s="1" t="s">
        <v>44</v>
      </c>
      <c r="E154" s="1" t="s">
        <v>88</v>
      </c>
      <c r="F154" s="10" t="s">
        <v>114</v>
      </c>
      <c r="G154" s="1">
        <v>3.5000000000000003E-2</v>
      </c>
      <c r="H154" s="1">
        <v>0.02</v>
      </c>
      <c r="I154" s="8">
        <v>44885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830878.42</v>
      </c>
      <c r="AJ154" s="2">
        <v>128764.01999999999</v>
      </c>
      <c r="AK154" s="2">
        <v>14837.12</v>
      </c>
      <c r="AL154" s="2">
        <v>2299.36</v>
      </c>
      <c r="AM154" s="5">
        <v>8568.23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28789.279999999999</v>
      </c>
      <c r="AT154" s="12">
        <v>25704.71</v>
      </c>
      <c r="AU154" s="2">
        <v>514.09</v>
      </c>
      <c r="AV154" s="5">
        <v>0</v>
      </c>
      <c r="AX154" s="2">
        <v>830878.42</v>
      </c>
      <c r="AY154" s="2">
        <v>128764.01999999999</v>
      </c>
      <c r="AZ154" s="2">
        <v>14837.12</v>
      </c>
      <c r="BA154" s="2">
        <v>2299.36</v>
      </c>
      <c r="BB154" s="5">
        <v>8568.23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28789.279999999999</v>
      </c>
      <c r="BI154" s="12">
        <v>25704.71</v>
      </c>
      <c r="BJ154" s="2">
        <v>514.09</v>
      </c>
      <c r="BK154" s="5">
        <v>0</v>
      </c>
      <c r="BL154" s="1" t="s">
        <v>90</v>
      </c>
    </row>
    <row r="155" spans="1:64" x14ac:dyDescent="0.3">
      <c r="A155" t="s">
        <v>418</v>
      </c>
      <c r="B155" s="1" t="s">
        <v>418</v>
      </c>
      <c r="C155" s="9" t="s">
        <v>419</v>
      </c>
      <c r="D155" s="1" t="s">
        <v>44</v>
      </c>
      <c r="E155" s="1" t="s">
        <v>88</v>
      </c>
      <c r="F155" s="10" t="s">
        <v>188</v>
      </c>
      <c r="G155" s="1">
        <v>2.5000000000000001E-2</v>
      </c>
      <c r="H155" s="1">
        <v>0.02</v>
      </c>
      <c r="I155" s="8">
        <v>45440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680955.74</v>
      </c>
      <c r="AJ155" s="2">
        <v>254268.41</v>
      </c>
      <c r="AK155" s="2">
        <v>12159.91</v>
      </c>
      <c r="AL155" s="2">
        <v>4540.51</v>
      </c>
      <c r="AM155" s="5">
        <v>8350.2100000000009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28056.71</v>
      </c>
      <c r="AT155" s="12">
        <v>25050.63</v>
      </c>
      <c r="AU155" s="2">
        <v>501.01</v>
      </c>
      <c r="AV155" s="5">
        <v>0</v>
      </c>
      <c r="AX155" s="2">
        <v>680955.74</v>
      </c>
      <c r="AY155" s="2">
        <v>254268.41</v>
      </c>
      <c r="AZ155" s="2">
        <v>12159.91</v>
      </c>
      <c r="BA155" s="2">
        <v>4540.51</v>
      </c>
      <c r="BB155" s="5">
        <v>8350.2100000000009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28056.71</v>
      </c>
      <c r="BI155" s="12">
        <v>25050.63</v>
      </c>
      <c r="BJ155" s="2">
        <v>501.01</v>
      </c>
      <c r="BK155" s="5">
        <v>0</v>
      </c>
      <c r="BL155" s="1" t="s">
        <v>90</v>
      </c>
    </row>
    <row r="156" spans="1:64" x14ac:dyDescent="0.3">
      <c r="A156" t="s">
        <v>446</v>
      </c>
      <c r="B156" s="1" t="s">
        <v>446</v>
      </c>
      <c r="C156" s="9" t="s">
        <v>447</v>
      </c>
      <c r="D156" s="1" t="s">
        <v>44</v>
      </c>
      <c r="E156" s="1" t="s">
        <v>88</v>
      </c>
      <c r="F156" s="10" t="s">
        <v>178</v>
      </c>
      <c r="G156" s="1">
        <v>2.5000000000000001E-2</v>
      </c>
      <c r="H156" s="1">
        <v>0.02</v>
      </c>
      <c r="I156" s="8">
        <v>44092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366391.82999999996</v>
      </c>
      <c r="AJ156" s="2">
        <v>79584.97</v>
      </c>
      <c r="AK156" s="2">
        <v>6542.71</v>
      </c>
      <c r="AL156" s="2">
        <v>1421.16</v>
      </c>
      <c r="AM156" s="5">
        <v>3981.94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13379.31</v>
      </c>
      <c r="AT156" s="12">
        <v>11945.81</v>
      </c>
      <c r="AU156" s="2">
        <v>238.92</v>
      </c>
      <c r="AV156" s="5">
        <v>0</v>
      </c>
      <c r="AX156" s="2">
        <v>366391.82999999996</v>
      </c>
      <c r="AY156" s="2">
        <v>79584.97</v>
      </c>
      <c r="AZ156" s="2">
        <v>6542.71</v>
      </c>
      <c r="BA156" s="2">
        <v>1421.16</v>
      </c>
      <c r="BB156" s="5">
        <v>3981.94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13379.31</v>
      </c>
      <c r="BI156" s="12">
        <v>11945.81</v>
      </c>
      <c r="BJ156" s="2">
        <v>238.92</v>
      </c>
      <c r="BK156" s="5">
        <v>0</v>
      </c>
      <c r="BL156" s="1" t="s">
        <v>90</v>
      </c>
    </row>
    <row r="157" spans="1:64" x14ac:dyDescent="0.3">
      <c r="A157" t="s">
        <v>454</v>
      </c>
      <c r="B157" s="1" t="s">
        <v>454</v>
      </c>
      <c r="C157" s="9" t="s">
        <v>455</v>
      </c>
      <c r="D157" s="1" t="s">
        <v>44</v>
      </c>
      <c r="E157" s="1" t="s">
        <v>88</v>
      </c>
      <c r="F157" s="10" t="s">
        <v>188</v>
      </c>
      <c r="G157" s="1">
        <v>2.5000000000000001E-2</v>
      </c>
      <c r="H157" s="1">
        <v>0.02</v>
      </c>
      <c r="I157" s="8">
        <v>44272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517205.25000000006</v>
      </c>
      <c r="AJ157" s="2">
        <v>114750</v>
      </c>
      <c r="AK157" s="2">
        <v>9235.81</v>
      </c>
      <c r="AL157" s="2">
        <v>2049.1</v>
      </c>
      <c r="AM157" s="5">
        <v>5642.45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18958.64</v>
      </c>
      <c r="AT157" s="12">
        <v>16927.36</v>
      </c>
      <c r="AU157" s="2">
        <v>338.54</v>
      </c>
      <c r="AV157" s="5">
        <v>0</v>
      </c>
      <c r="AX157" s="2">
        <v>517205.25000000006</v>
      </c>
      <c r="AY157" s="2">
        <v>114750</v>
      </c>
      <c r="AZ157" s="2">
        <v>9235.81</v>
      </c>
      <c r="BA157" s="2">
        <v>2049.1</v>
      </c>
      <c r="BB157" s="5">
        <v>5642.45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18958.64</v>
      </c>
      <c r="BI157" s="12">
        <v>16927.36</v>
      </c>
      <c r="BJ157" s="2">
        <v>338.54</v>
      </c>
      <c r="BK157" s="5">
        <v>0</v>
      </c>
      <c r="BL157" s="1" t="s">
        <v>90</v>
      </c>
    </row>
    <row r="158" spans="1:64" x14ac:dyDescent="0.3">
      <c r="A158" t="s">
        <v>498</v>
      </c>
      <c r="B158" s="1" t="s">
        <v>498</v>
      </c>
      <c r="C158" s="9" t="s">
        <v>499</v>
      </c>
      <c r="D158" s="1" t="s">
        <v>44</v>
      </c>
      <c r="E158" s="1" t="s">
        <v>88</v>
      </c>
      <c r="F158" s="10" t="s">
        <v>178</v>
      </c>
      <c r="G158" s="1">
        <v>3.5000000000000003E-2</v>
      </c>
      <c r="H158" s="1">
        <v>0.02</v>
      </c>
      <c r="I158" s="8">
        <v>45069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391286</v>
      </c>
      <c r="AJ158" s="2">
        <v>78281</v>
      </c>
      <c r="AK158" s="2">
        <v>6987.25</v>
      </c>
      <c r="AL158" s="2">
        <v>1397.87</v>
      </c>
      <c r="AM158" s="5">
        <v>4192.5600000000004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14087</v>
      </c>
      <c r="AT158" s="12">
        <v>12577.68</v>
      </c>
      <c r="AU158" s="2">
        <v>251.55</v>
      </c>
      <c r="AV158" s="5">
        <v>0</v>
      </c>
      <c r="AX158" s="2">
        <v>391286</v>
      </c>
      <c r="AY158" s="2">
        <v>78281</v>
      </c>
      <c r="AZ158" s="2">
        <v>6987.25</v>
      </c>
      <c r="BA158" s="2">
        <v>1397.87</v>
      </c>
      <c r="BB158" s="5">
        <v>4192.5600000000004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14087</v>
      </c>
      <c r="BI158" s="12">
        <v>12577.68</v>
      </c>
      <c r="BJ158" s="2">
        <v>251.55</v>
      </c>
      <c r="BK158" s="5">
        <v>0</v>
      </c>
      <c r="BL158" s="1" t="s">
        <v>90</v>
      </c>
    </row>
    <row r="159" spans="1:64" x14ac:dyDescent="0.3">
      <c r="A159" t="s">
        <v>518</v>
      </c>
      <c r="B159" s="1" t="s">
        <v>518</v>
      </c>
      <c r="C159" s="9" t="s">
        <v>519</v>
      </c>
      <c r="D159" s="1" t="s">
        <v>44</v>
      </c>
      <c r="E159" s="1" t="s">
        <v>88</v>
      </c>
      <c r="F159" s="10" t="s">
        <v>89</v>
      </c>
      <c r="G159" s="1">
        <v>2.5000000000000001E-2</v>
      </c>
      <c r="H159" s="1">
        <v>0.02</v>
      </c>
      <c r="I159" s="8">
        <v>45437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561280</v>
      </c>
      <c r="AJ159" s="2">
        <v>160537</v>
      </c>
      <c r="AK159" s="2">
        <v>10022.869999999999</v>
      </c>
      <c r="AL159" s="2">
        <v>2866.72</v>
      </c>
      <c r="AM159" s="5">
        <v>6444.79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21654.51</v>
      </c>
      <c r="AT159" s="12">
        <v>19334.379999999997</v>
      </c>
      <c r="AU159" s="2">
        <v>386.69</v>
      </c>
      <c r="AV159" s="5">
        <v>0</v>
      </c>
      <c r="AX159" s="2">
        <v>561280</v>
      </c>
      <c r="AY159" s="2">
        <v>160537</v>
      </c>
      <c r="AZ159" s="2">
        <v>10022.869999999999</v>
      </c>
      <c r="BA159" s="2">
        <v>2866.72</v>
      </c>
      <c r="BB159" s="5">
        <v>6444.79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21654.51</v>
      </c>
      <c r="BI159" s="12">
        <v>19334.379999999997</v>
      </c>
      <c r="BJ159" s="2">
        <v>386.69</v>
      </c>
      <c r="BK159" s="5">
        <v>0</v>
      </c>
      <c r="BL159" s="1" t="s">
        <v>90</v>
      </c>
    </row>
    <row r="160" spans="1:64" x14ac:dyDescent="0.3">
      <c r="A160" t="s">
        <v>569</v>
      </c>
      <c r="B160" s="1" t="s">
        <v>569</v>
      </c>
      <c r="C160" s="9" t="s">
        <v>570</v>
      </c>
      <c r="D160" s="1" t="s">
        <v>44</v>
      </c>
      <c r="E160" s="1" t="s">
        <v>88</v>
      </c>
      <c r="F160" s="10" t="s">
        <v>104</v>
      </c>
      <c r="G160" s="1">
        <v>2.5000000000000001E-2</v>
      </c>
      <c r="H160" s="1">
        <v>0.02</v>
      </c>
      <c r="I160" s="8">
        <v>44228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1143488</v>
      </c>
      <c r="AJ160" s="2">
        <v>267557.25</v>
      </c>
      <c r="AK160" s="2">
        <v>20419.43</v>
      </c>
      <c r="AL160" s="2">
        <v>4777.8</v>
      </c>
      <c r="AM160" s="5">
        <v>12598.62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42331.35</v>
      </c>
      <c r="AT160" s="12">
        <v>37795.85</v>
      </c>
      <c r="AU160" s="2">
        <v>755.92</v>
      </c>
      <c r="AV160" s="5">
        <v>0</v>
      </c>
      <c r="AX160" s="2">
        <v>1143488</v>
      </c>
      <c r="AY160" s="2">
        <v>267557.25</v>
      </c>
      <c r="AZ160" s="2">
        <v>20419.43</v>
      </c>
      <c r="BA160" s="2">
        <v>4777.8</v>
      </c>
      <c r="BB160" s="5">
        <v>12598.62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42331.35</v>
      </c>
      <c r="BI160" s="12">
        <v>37795.85</v>
      </c>
      <c r="BJ160" s="2">
        <v>755.92</v>
      </c>
      <c r="BK160" s="5">
        <v>0</v>
      </c>
      <c r="BL160" s="1" t="s">
        <v>90</v>
      </c>
    </row>
    <row r="161" spans="1:64" x14ac:dyDescent="0.3">
      <c r="A161" t="s">
        <v>586</v>
      </c>
      <c r="B161" s="1" t="s">
        <v>586</v>
      </c>
      <c r="C161" s="9" t="s">
        <v>587</v>
      </c>
      <c r="D161" s="1" t="s">
        <v>44</v>
      </c>
      <c r="E161" s="1" t="s">
        <v>88</v>
      </c>
      <c r="F161" s="10" t="s">
        <v>104</v>
      </c>
      <c r="G161" s="1">
        <v>2.5000000000000001E-2</v>
      </c>
      <c r="H161" s="1">
        <v>0.02</v>
      </c>
      <c r="I161" s="8">
        <v>44520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716839.05</v>
      </c>
      <c r="AJ161" s="2">
        <v>286641.05</v>
      </c>
      <c r="AK161" s="2">
        <v>12800.7</v>
      </c>
      <c r="AL161" s="2">
        <v>5118.59</v>
      </c>
      <c r="AM161" s="5">
        <v>8959.64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30104.400000000001</v>
      </c>
      <c r="AT161" s="12">
        <v>26878.93</v>
      </c>
      <c r="AU161" s="2">
        <v>537.58000000000004</v>
      </c>
      <c r="AV161" s="5">
        <v>0</v>
      </c>
      <c r="AX161" s="2">
        <v>716839.05</v>
      </c>
      <c r="AY161" s="2">
        <v>286641.05</v>
      </c>
      <c r="AZ161" s="2">
        <v>12800.7</v>
      </c>
      <c r="BA161" s="2">
        <v>5118.59</v>
      </c>
      <c r="BB161" s="5">
        <v>8959.64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30104.400000000001</v>
      </c>
      <c r="BI161" s="12">
        <v>26878.93</v>
      </c>
      <c r="BJ161" s="2">
        <v>537.58000000000004</v>
      </c>
      <c r="BK161" s="5">
        <v>0</v>
      </c>
      <c r="BL161" s="1" t="s">
        <v>90</v>
      </c>
    </row>
    <row r="162" spans="1:64" x14ac:dyDescent="0.3">
      <c r="A162" t="s">
        <v>624</v>
      </c>
      <c r="B162" s="1" t="s">
        <v>625</v>
      </c>
      <c r="C162" s="9" t="s">
        <v>626</v>
      </c>
      <c r="D162" s="1" t="s">
        <v>44</v>
      </c>
      <c r="E162" s="1" t="s">
        <v>88</v>
      </c>
      <c r="F162" s="10" t="s">
        <v>181</v>
      </c>
      <c r="G162" s="1">
        <v>3.5000000000000003E-2</v>
      </c>
      <c r="H162" s="1">
        <v>0.02</v>
      </c>
      <c r="I162" s="8">
        <v>44805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0</v>
      </c>
      <c r="AJ162" s="2">
        <v>0</v>
      </c>
      <c r="AK162" s="2">
        <v>0</v>
      </c>
      <c r="AL162" s="2">
        <v>0</v>
      </c>
      <c r="AM162" s="5">
        <v>0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0</v>
      </c>
      <c r="AT162" s="12">
        <v>0</v>
      </c>
      <c r="AU162" s="2">
        <v>0</v>
      </c>
      <c r="AV162" s="5">
        <v>0</v>
      </c>
      <c r="AX162" s="2">
        <v>0</v>
      </c>
      <c r="AY162" s="2">
        <v>0</v>
      </c>
      <c r="AZ162" s="2">
        <v>0</v>
      </c>
      <c r="BA162" s="2">
        <v>0</v>
      </c>
      <c r="BB162" s="5">
        <v>0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0</v>
      </c>
      <c r="BI162" s="12">
        <v>0</v>
      </c>
      <c r="BJ162" s="2">
        <v>0</v>
      </c>
      <c r="BK162" s="5">
        <v>0</v>
      </c>
      <c r="BL162" s="1" t="s">
        <v>90</v>
      </c>
    </row>
    <row r="163" spans="1:64" x14ac:dyDescent="0.3">
      <c r="A163" t="s">
        <v>629</v>
      </c>
      <c r="B163" s="1" t="s">
        <v>629</v>
      </c>
      <c r="C163" s="9" t="s">
        <v>630</v>
      </c>
      <c r="D163" s="1" t="s">
        <v>44</v>
      </c>
      <c r="E163" s="1" t="s">
        <v>88</v>
      </c>
      <c r="F163" s="10" t="s">
        <v>89</v>
      </c>
      <c r="G163" s="1">
        <v>3.5000000000000003E-2</v>
      </c>
      <c r="H163" s="1">
        <v>0.02</v>
      </c>
      <c r="I163" s="8">
        <v>45046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684421.55</v>
      </c>
      <c r="AJ163" s="2">
        <v>153191.1</v>
      </c>
      <c r="AK163" s="2">
        <v>12221.82</v>
      </c>
      <c r="AL163" s="2">
        <v>2735.56</v>
      </c>
      <c r="AM163" s="5">
        <v>7478.6900000000005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25128.400000000001</v>
      </c>
      <c r="AT163" s="12">
        <v>22436.07</v>
      </c>
      <c r="AU163" s="2">
        <v>448.73000000000008</v>
      </c>
      <c r="AV163" s="5">
        <v>0</v>
      </c>
      <c r="AX163" s="2">
        <v>684421.55</v>
      </c>
      <c r="AY163" s="2">
        <v>153191.1</v>
      </c>
      <c r="AZ163" s="2">
        <v>12221.82</v>
      </c>
      <c r="BA163" s="2">
        <v>2735.56</v>
      </c>
      <c r="BB163" s="5">
        <v>7478.6900000000005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25128.400000000001</v>
      </c>
      <c r="BI163" s="12">
        <v>22436.07</v>
      </c>
      <c r="BJ163" s="2">
        <v>448.73000000000008</v>
      </c>
      <c r="BK163" s="5">
        <v>0</v>
      </c>
      <c r="BL163" s="1" t="s">
        <v>90</v>
      </c>
    </row>
    <row r="164" spans="1:64" x14ac:dyDescent="0.3">
      <c r="A164" t="s">
        <v>644</v>
      </c>
      <c r="B164" s="1" t="s">
        <v>644</v>
      </c>
      <c r="C164" s="9" t="s">
        <v>645</v>
      </c>
      <c r="D164" s="1" t="s">
        <v>44</v>
      </c>
      <c r="E164" s="1" t="s">
        <v>88</v>
      </c>
      <c r="F164" s="10" t="s">
        <v>188</v>
      </c>
      <c r="G164" s="1">
        <v>0</v>
      </c>
      <c r="H164" s="1">
        <v>0.02</v>
      </c>
      <c r="I164" s="8">
        <v>45153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678838.97</v>
      </c>
      <c r="AJ164" s="2">
        <v>137015.37</v>
      </c>
      <c r="AK164" s="2">
        <v>12122.119999999999</v>
      </c>
      <c r="AL164" s="2">
        <v>2446.71</v>
      </c>
      <c r="AM164" s="5">
        <v>7284.42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24475.64</v>
      </c>
      <c r="AT164" s="12">
        <v>21853.249999999996</v>
      </c>
      <c r="AU164" s="2">
        <v>437.07</v>
      </c>
      <c r="AV164" s="5">
        <v>0</v>
      </c>
      <c r="AX164" s="2">
        <v>678838.97</v>
      </c>
      <c r="AY164" s="2">
        <v>137015.37</v>
      </c>
      <c r="AZ164" s="2">
        <v>12122.119999999999</v>
      </c>
      <c r="BA164" s="2">
        <v>2446.71</v>
      </c>
      <c r="BB164" s="5">
        <v>7284.42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24475.64</v>
      </c>
      <c r="BI164" s="12">
        <v>21853.249999999996</v>
      </c>
      <c r="BJ164" s="2">
        <v>437.07</v>
      </c>
      <c r="BK164" s="5">
        <v>0</v>
      </c>
      <c r="BL164" s="1" t="s">
        <v>90</v>
      </c>
    </row>
    <row r="165" spans="1:64" x14ac:dyDescent="0.3">
      <c r="A165" t="s">
        <v>648</v>
      </c>
      <c r="B165" s="1" t="s">
        <v>648</v>
      </c>
      <c r="C165" s="9" t="s">
        <v>649</v>
      </c>
      <c r="D165" s="1" t="s">
        <v>44</v>
      </c>
      <c r="E165" s="1" t="s">
        <v>88</v>
      </c>
      <c r="F165" s="10" t="s">
        <v>178</v>
      </c>
      <c r="G165" s="1">
        <v>3.5000000000000003E-2</v>
      </c>
      <c r="H165" s="1">
        <v>0.02</v>
      </c>
      <c r="I165" s="8">
        <v>45201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215305</v>
      </c>
      <c r="AJ165" s="2">
        <v>42509</v>
      </c>
      <c r="AK165" s="2">
        <v>3844.73</v>
      </c>
      <c r="AL165" s="2">
        <v>759.09</v>
      </c>
      <c r="AM165" s="5">
        <v>2301.91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7734.42</v>
      </c>
      <c r="AT165" s="12">
        <v>6905.73</v>
      </c>
      <c r="AU165" s="2">
        <v>138.11000000000001</v>
      </c>
      <c r="AV165" s="5">
        <v>0</v>
      </c>
      <c r="AX165" s="2">
        <v>215305</v>
      </c>
      <c r="AY165" s="2">
        <v>42509</v>
      </c>
      <c r="AZ165" s="2">
        <v>3844.73</v>
      </c>
      <c r="BA165" s="2">
        <v>759.09</v>
      </c>
      <c r="BB165" s="5">
        <v>2301.91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7734.42</v>
      </c>
      <c r="BI165" s="12">
        <v>6905.73</v>
      </c>
      <c r="BJ165" s="2">
        <v>138.11000000000001</v>
      </c>
      <c r="BK165" s="5">
        <v>0</v>
      </c>
      <c r="BL165" s="1" t="s">
        <v>90</v>
      </c>
    </row>
    <row r="166" spans="1:64" x14ac:dyDescent="0.3">
      <c r="A166" t="s">
        <v>702</v>
      </c>
      <c r="B166" s="1" t="s">
        <v>702</v>
      </c>
      <c r="C166" s="9" t="s">
        <v>703</v>
      </c>
      <c r="D166" s="1" t="s">
        <v>44</v>
      </c>
      <c r="E166" s="1" t="s">
        <v>88</v>
      </c>
      <c r="F166" s="10" t="s">
        <v>104</v>
      </c>
      <c r="G166" s="1">
        <v>0</v>
      </c>
      <c r="H166" s="1">
        <v>0.02</v>
      </c>
      <c r="I166" s="8">
        <v>45777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302085.55000000005</v>
      </c>
      <c r="AJ166" s="2">
        <v>119694.75</v>
      </c>
      <c r="AK166" s="2">
        <v>179.81</v>
      </c>
      <c r="AL166" s="2">
        <v>71.25</v>
      </c>
      <c r="AM166" s="5">
        <v>3765.89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4498.9799999999996</v>
      </c>
      <c r="AT166" s="12">
        <v>4016.95</v>
      </c>
      <c r="AU166" s="2">
        <v>80.34</v>
      </c>
      <c r="AV166" s="5">
        <v>0</v>
      </c>
      <c r="AX166" s="2">
        <v>302085.55000000005</v>
      </c>
      <c r="AY166" s="2">
        <v>119694.75</v>
      </c>
      <c r="AZ166" s="2">
        <v>179.81</v>
      </c>
      <c r="BA166" s="2">
        <v>71.25</v>
      </c>
      <c r="BB166" s="5">
        <v>3765.89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4498.9799999999996</v>
      </c>
      <c r="BI166" s="12">
        <v>4016.95</v>
      </c>
      <c r="BJ166" s="2">
        <v>80.34</v>
      </c>
      <c r="BK166" s="5">
        <v>0</v>
      </c>
      <c r="BL166" s="1" t="s">
        <v>90</v>
      </c>
    </row>
    <row r="167" spans="1:64" x14ac:dyDescent="0.3">
      <c r="A167" t="s">
        <v>740</v>
      </c>
      <c r="B167" s="1" t="s">
        <v>740</v>
      </c>
      <c r="C167" s="9" t="s">
        <v>741</v>
      </c>
      <c r="D167" s="1" t="s">
        <v>44</v>
      </c>
      <c r="E167" s="1" t="s">
        <v>88</v>
      </c>
      <c r="F167" s="10" t="s">
        <v>101</v>
      </c>
      <c r="G167" s="1">
        <v>0</v>
      </c>
      <c r="H167" s="1">
        <v>0.02</v>
      </c>
      <c r="I167" s="8">
        <v>44009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298424.75000000006</v>
      </c>
      <c r="AJ167" s="2">
        <v>73293.850000000006</v>
      </c>
      <c r="AK167" s="2">
        <v>5329.02</v>
      </c>
      <c r="AL167" s="2">
        <v>1308.82</v>
      </c>
      <c r="AM167" s="5">
        <v>3318.92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11151.57</v>
      </c>
      <c r="AT167" s="12">
        <v>9956.76</v>
      </c>
      <c r="AU167" s="2">
        <v>199.14</v>
      </c>
      <c r="AV167" s="5">
        <v>0</v>
      </c>
      <c r="AX167" s="2">
        <v>298424.75000000006</v>
      </c>
      <c r="AY167" s="2">
        <v>73293.850000000006</v>
      </c>
      <c r="AZ167" s="2">
        <v>5329.02</v>
      </c>
      <c r="BA167" s="2">
        <v>1308.82</v>
      </c>
      <c r="BB167" s="5">
        <v>3318.92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11151.57</v>
      </c>
      <c r="BI167" s="12">
        <v>9956.76</v>
      </c>
      <c r="BJ167" s="2">
        <v>199.14</v>
      </c>
      <c r="BK167" s="5">
        <v>0</v>
      </c>
      <c r="BL167" s="1" t="s">
        <v>90</v>
      </c>
    </row>
    <row r="168" spans="1:64" x14ac:dyDescent="0.3">
      <c r="A168" t="s">
        <v>742</v>
      </c>
      <c r="B168" s="1" t="s">
        <v>742</v>
      </c>
      <c r="C168" s="9" t="s">
        <v>743</v>
      </c>
      <c r="D168" s="1" t="s">
        <v>44</v>
      </c>
      <c r="E168" s="1" t="s">
        <v>88</v>
      </c>
      <c r="F168" s="10" t="s">
        <v>114</v>
      </c>
      <c r="G168" s="1">
        <v>3.5000000000000003E-2</v>
      </c>
      <c r="H168" s="1">
        <v>0.02</v>
      </c>
      <c r="I168" s="8">
        <v>45083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353621.69</v>
      </c>
      <c r="AJ168" s="2">
        <v>106777.74</v>
      </c>
      <c r="AK168" s="2">
        <v>6314.67</v>
      </c>
      <c r="AL168" s="2">
        <v>1906.74</v>
      </c>
      <c r="AM168" s="5">
        <v>4110.71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13811.97</v>
      </c>
      <c r="AT168" s="12">
        <v>12332.119999999999</v>
      </c>
      <c r="AU168" s="2">
        <v>246.64</v>
      </c>
      <c r="AV168" s="5">
        <v>0</v>
      </c>
      <c r="AX168" s="2">
        <v>353621.69</v>
      </c>
      <c r="AY168" s="2">
        <v>106777.74</v>
      </c>
      <c r="AZ168" s="2">
        <v>6314.67</v>
      </c>
      <c r="BA168" s="2">
        <v>1906.74</v>
      </c>
      <c r="BB168" s="5">
        <v>4110.71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13811.97</v>
      </c>
      <c r="BI168" s="12">
        <v>12332.119999999999</v>
      </c>
      <c r="BJ168" s="2">
        <v>246.64</v>
      </c>
      <c r="BK168" s="5">
        <v>0</v>
      </c>
      <c r="BL168" s="1" t="s">
        <v>90</v>
      </c>
    </row>
    <row r="169" spans="1:64" x14ac:dyDescent="0.3">
      <c r="A169" t="s">
        <v>755</v>
      </c>
      <c r="B169" s="1" t="s">
        <v>755</v>
      </c>
      <c r="C169" s="9" t="s">
        <v>756</v>
      </c>
      <c r="D169" s="1" t="s">
        <v>44</v>
      </c>
      <c r="E169" s="1" t="s">
        <v>88</v>
      </c>
      <c r="F169" s="10" t="s">
        <v>104</v>
      </c>
      <c r="G169" s="1">
        <v>0</v>
      </c>
      <c r="H169" s="1">
        <v>0.02</v>
      </c>
      <c r="I169" s="8">
        <v>44612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498460</v>
      </c>
      <c r="AJ169" s="2">
        <v>130457</v>
      </c>
      <c r="AK169" s="2">
        <v>8901.07</v>
      </c>
      <c r="AL169" s="2">
        <v>2329.59</v>
      </c>
      <c r="AM169" s="5">
        <v>5615.33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18867.509999999998</v>
      </c>
      <c r="AT169" s="12">
        <v>16845.989999999998</v>
      </c>
      <c r="AU169" s="2">
        <v>336.92</v>
      </c>
      <c r="AV169" s="5">
        <v>0</v>
      </c>
      <c r="AX169" s="2">
        <v>498460</v>
      </c>
      <c r="AY169" s="2">
        <v>130457</v>
      </c>
      <c r="AZ169" s="2">
        <v>8901.07</v>
      </c>
      <c r="BA169" s="2">
        <v>2329.59</v>
      </c>
      <c r="BB169" s="5">
        <v>5615.33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18867.509999999998</v>
      </c>
      <c r="BI169" s="12">
        <v>16845.989999999998</v>
      </c>
      <c r="BJ169" s="2">
        <v>336.92</v>
      </c>
      <c r="BK169" s="5">
        <v>0</v>
      </c>
      <c r="BL169" s="1" t="s">
        <v>90</v>
      </c>
    </row>
    <row r="170" spans="1:64" x14ac:dyDescent="0.3">
      <c r="A170" t="s">
        <v>765</v>
      </c>
      <c r="B170" s="1" t="s">
        <v>765</v>
      </c>
      <c r="C170" s="9" t="s">
        <v>766</v>
      </c>
      <c r="D170" s="1" t="s">
        <v>44</v>
      </c>
      <c r="E170" s="1" t="s">
        <v>88</v>
      </c>
      <c r="F170" s="10" t="s">
        <v>101</v>
      </c>
      <c r="G170" s="1">
        <v>3.5000000000000003E-2</v>
      </c>
      <c r="H170" s="1">
        <v>0.02</v>
      </c>
      <c r="I170" s="8">
        <v>45003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1047475</v>
      </c>
      <c r="AJ170" s="2">
        <v>227286.31</v>
      </c>
      <c r="AK170" s="2">
        <v>18704.91</v>
      </c>
      <c r="AL170" s="2">
        <v>4058.69</v>
      </c>
      <c r="AM170" s="5">
        <v>11381.79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38242.839999999997</v>
      </c>
      <c r="AT170" s="12">
        <v>34145.39</v>
      </c>
      <c r="AU170" s="2">
        <v>682.91</v>
      </c>
      <c r="AV170" s="5">
        <v>0</v>
      </c>
      <c r="AX170" s="2">
        <v>1047475</v>
      </c>
      <c r="AY170" s="2">
        <v>227286.31</v>
      </c>
      <c r="AZ170" s="2">
        <v>18704.91</v>
      </c>
      <c r="BA170" s="2">
        <v>4058.69</v>
      </c>
      <c r="BB170" s="5">
        <v>11381.79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38242.839999999997</v>
      </c>
      <c r="BI170" s="12">
        <v>34145.39</v>
      </c>
      <c r="BJ170" s="2">
        <v>682.91</v>
      </c>
      <c r="BK170" s="5">
        <v>0</v>
      </c>
      <c r="BL170" s="1" t="s">
        <v>90</v>
      </c>
    </row>
    <row r="171" spans="1:64" x14ac:dyDescent="0.3">
      <c r="A171" t="s">
        <v>810</v>
      </c>
      <c r="B171" s="1" t="s">
        <v>810</v>
      </c>
      <c r="C171" s="9" t="s">
        <v>811</v>
      </c>
      <c r="D171" s="1" t="s">
        <v>44</v>
      </c>
      <c r="E171" s="1" t="s">
        <v>88</v>
      </c>
      <c r="F171" s="10" t="s">
        <v>104</v>
      </c>
      <c r="G171" s="1">
        <v>0</v>
      </c>
      <c r="H171" s="1">
        <v>0.02</v>
      </c>
      <c r="I171" s="8">
        <v>44936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165579</v>
      </c>
      <c r="AJ171" s="2">
        <v>56670</v>
      </c>
      <c r="AK171" s="2">
        <v>2956.77</v>
      </c>
      <c r="AL171" s="2">
        <v>1011.96</v>
      </c>
      <c r="AM171" s="5">
        <v>1984.37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6667.47</v>
      </c>
      <c r="AT171" s="12">
        <v>5953.1</v>
      </c>
      <c r="AU171" s="2">
        <v>119.06</v>
      </c>
      <c r="AV171" s="5">
        <v>0</v>
      </c>
      <c r="AX171" s="2">
        <v>165579</v>
      </c>
      <c r="AY171" s="2">
        <v>56670</v>
      </c>
      <c r="AZ171" s="2">
        <v>2956.77</v>
      </c>
      <c r="BA171" s="2">
        <v>1011.96</v>
      </c>
      <c r="BB171" s="5">
        <v>1984.37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6667.47</v>
      </c>
      <c r="BI171" s="12">
        <v>5953.1</v>
      </c>
      <c r="BJ171" s="2">
        <v>119.06</v>
      </c>
      <c r="BK171" s="5">
        <v>0</v>
      </c>
      <c r="BL171" s="1" t="s">
        <v>90</v>
      </c>
    </row>
    <row r="172" spans="1:64" x14ac:dyDescent="0.3">
      <c r="A172" t="s">
        <v>836</v>
      </c>
      <c r="B172" s="1" t="s">
        <v>836</v>
      </c>
      <c r="C172" s="9" t="s">
        <v>837</v>
      </c>
      <c r="D172" s="1" t="s">
        <v>44</v>
      </c>
      <c r="E172" s="1" t="s">
        <v>88</v>
      </c>
      <c r="F172" s="10" t="s">
        <v>181</v>
      </c>
      <c r="G172" s="1">
        <v>0</v>
      </c>
      <c r="H172" s="1">
        <v>0.02</v>
      </c>
      <c r="I172" s="8">
        <v>45641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871946.15</v>
      </c>
      <c r="AJ172" s="2">
        <v>213006</v>
      </c>
      <c r="AK172" s="2">
        <v>15570.47</v>
      </c>
      <c r="AL172" s="2">
        <v>3803.69</v>
      </c>
      <c r="AM172" s="5">
        <v>9687.07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32548.58</v>
      </c>
      <c r="AT172" s="12">
        <v>29061.23</v>
      </c>
      <c r="AU172" s="2">
        <v>581.23</v>
      </c>
      <c r="AV172" s="5">
        <v>0</v>
      </c>
      <c r="AX172" s="2">
        <v>871946.15</v>
      </c>
      <c r="AY172" s="2">
        <v>213006</v>
      </c>
      <c r="AZ172" s="2">
        <v>15570.47</v>
      </c>
      <c r="BA172" s="2">
        <v>3803.69</v>
      </c>
      <c r="BB172" s="5">
        <v>9687.07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32548.58</v>
      </c>
      <c r="BI172" s="12">
        <v>29061.23</v>
      </c>
      <c r="BJ172" s="2">
        <v>581.23</v>
      </c>
      <c r="BK172" s="5">
        <v>0</v>
      </c>
      <c r="BL172" s="1" t="s">
        <v>90</v>
      </c>
    </row>
    <row r="173" spans="1:64" x14ac:dyDescent="0.3">
      <c r="A173" t="s">
        <v>842</v>
      </c>
      <c r="B173" s="1" t="s">
        <v>842</v>
      </c>
      <c r="C173" s="9" t="s">
        <v>843</v>
      </c>
      <c r="D173" s="1" t="s">
        <v>44</v>
      </c>
      <c r="E173" s="1" t="s">
        <v>88</v>
      </c>
      <c r="F173" s="10" t="s">
        <v>178</v>
      </c>
      <c r="G173" s="1">
        <v>0</v>
      </c>
      <c r="H173" s="1">
        <v>0.02</v>
      </c>
      <c r="I173" s="8">
        <v>44878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403820.5</v>
      </c>
      <c r="AJ173" s="2">
        <v>116760</v>
      </c>
      <c r="AK173" s="2">
        <v>7211.08</v>
      </c>
      <c r="AL173" s="2">
        <v>2085</v>
      </c>
      <c r="AM173" s="5">
        <v>4648.04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15617.41</v>
      </c>
      <c r="AT173" s="12">
        <v>13944.119999999999</v>
      </c>
      <c r="AU173" s="2">
        <v>278.88</v>
      </c>
      <c r="AV173" s="5">
        <v>0</v>
      </c>
      <c r="AX173" s="2">
        <v>403820.5</v>
      </c>
      <c r="AY173" s="2">
        <v>116760</v>
      </c>
      <c r="AZ173" s="2">
        <v>7211.08</v>
      </c>
      <c r="BA173" s="2">
        <v>2085</v>
      </c>
      <c r="BB173" s="5">
        <v>4648.04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15617.41</v>
      </c>
      <c r="BI173" s="12">
        <v>13944.119999999999</v>
      </c>
      <c r="BJ173" s="2">
        <v>278.88</v>
      </c>
      <c r="BK173" s="5">
        <v>0</v>
      </c>
      <c r="BL173" s="1" t="s">
        <v>90</v>
      </c>
    </row>
    <row r="174" spans="1:64" x14ac:dyDescent="0.3">
      <c r="A174" t="s">
        <v>846</v>
      </c>
      <c r="B174" s="1" t="s">
        <v>846</v>
      </c>
      <c r="C174" s="9" t="s">
        <v>847</v>
      </c>
      <c r="D174" s="1" t="s">
        <v>44</v>
      </c>
      <c r="E174" s="1" t="s">
        <v>88</v>
      </c>
      <c r="F174" s="10" t="s">
        <v>848</v>
      </c>
      <c r="G174" s="1">
        <v>0</v>
      </c>
      <c r="H174" s="1">
        <v>0.02</v>
      </c>
      <c r="I174" s="8">
        <v>44009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212544</v>
      </c>
      <c r="AJ174" s="2">
        <v>42314</v>
      </c>
      <c r="AK174" s="2">
        <v>3795.43</v>
      </c>
      <c r="AL174" s="2">
        <v>755.61</v>
      </c>
      <c r="AM174" s="5">
        <v>2275.52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7645.75</v>
      </c>
      <c r="AT174" s="12">
        <v>6826.5599999999995</v>
      </c>
      <c r="AU174" s="2">
        <v>136.53</v>
      </c>
      <c r="AV174" s="5">
        <v>0</v>
      </c>
      <c r="AX174" s="2">
        <v>212544</v>
      </c>
      <c r="AY174" s="2">
        <v>42314</v>
      </c>
      <c r="AZ174" s="2">
        <v>3795.43</v>
      </c>
      <c r="BA174" s="2">
        <v>755.61</v>
      </c>
      <c r="BB174" s="5">
        <v>2275.52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7645.75</v>
      </c>
      <c r="BI174" s="12">
        <v>6826.5599999999995</v>
      </c>
      <c r="BJ174" s="2">
        <v>136.53</v>
      </c>
      <c r="BK174" s="5">
        <v>0</v>
      </c>
      <c r="BL174" s="1" t="s">
        <v>90</v>
      </c>
    </row>
    <row r="175" spans="1:64" x14ac:dyDescent="0.3">
      <c r="A175" t="s">
        <v>851</v>
      </c>
      <c r="B175" s="1" t="s">
        <v>851</v>
      </c>
      <c r="C175" s="9" t="s">
        <v>852</v>
      </c>
      <c r="D175" s="1" t="s">
        <v>44</v>
      </c>
      <c r="E175" s="1" t="s">
        <v>88</v>
      </c>
      <c r="F175" s="10" t="s">
        <v>853</v>
      </c>
      <c r="G175" s="1">
        <v>2.5000000000000001E-2</v>
      </c>
      <c r="H175" s="1">
        <v>0.02</v>
      </c>
      <c r="I175" s="8">
        <v>45716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215923.45</v>
      </c>
      <c r="AJ175" s="2">
        <v>93971</v>
      </c>
      <c r="AK175" s="2">
        <v>3855.78</v>
      </c>
      <c r="AL175" s="2">
        <v>1678.05</v>
      </c>
      <c r="AM175" s="5">
        <v>2766.91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9296.83</v>
      </c>
      <c r="AT175" s="12">
        <v>8300.74</v>
      </c>
      <c r="AU175" s="2">
        <v>166.01</v>
      </c>
      <c r="AV175" s="5">
        <v>0</v>
      </c>
      <c r="AX175" s="2">
        <v>215923.45</v>
      </c>
      <c r="AY175" s="2">
        <v>93971</v>
      </c>
      <c r="AZ175" s="2">
        <v>3855.78</v>
      </c>
      <c r="BA175" s="2">
        <v>1678.05</v>
      </c>
      <c r="BB175" s="5">
        <v>2766.91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9296.83</v>
      </c>
      <c r="BI175" s="12">
        <v>8300.74</v>
      </c>
      <c r="BJ175" s="2">
        <v>166.01</v>
      </c>
      <c r="BK175" s="5">
        <v>0</v>
      </c>
      <c r="BL175" s="1" t="s">
        <v>90</v>
      </c>
    </row>
    <row r="176" spans="1:64" x14ac:dyDescent="0.3">
      <c r="A176" t="s">
        <v>854</v>
      </c>
      <c r="B176" s="1" t="s">
        <v>854</v>
      </c>
      <c r="C176" s="9" t="s">
        <v>855</v>
      </c>
      <c r="D176" s="1" t="s">
        <v>44</v>
      </c>
      <c r="E176" s="1" t="s">
        <v>88</v>
      </c>
      <c r="F176" s="10" t="s">
        <v>853</v>
      </c>
      <c r="G176" s="1">
        <v>0</v>
      </c>
      <c r="H176" s="1">
        <v>0.02</v>
      </c>
      <c r="I176" s="8">
        <v>45716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164324</v>
      </c>
      <c r="AJ176" s="2">
        <v>41491</v>
      </c>
      <c r="AK176" s="2">
        <v>2934.36</v>
      </c>
      <c r="AL176" s="2">
        <v>740.91</v>
      </c>
      <c r="AM176" s="5">
        <v>1837.63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6174.45</v>
      </c>
      <c r="AT176" s="12">
        <v>5512.9</v>
      </c>
      <c r="AU176" s="2">
        <v>110.26</v>
      </c>
      <c r="AV176" s="5">
        <v>0</v>
      </c>
      <c r="AX176" s="2">
        <v>164324</v>
      </c>
      <c r="AY176" s="2">
        <v>41491</v>
      </c>
      <c r="AZ176" s="2">
        <v>2934.36</v>
      </c>
      <c r="BA176" s="2">
        <v>740.91</v>
      </c>
      <c r="BB176" s="5">
        <v>1837.63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6174.45</v>
      </c>
      <c r="BI176" s="12">
        <v>5512.9</v>
      </c>
      <c r="BJ176" s="2">
        <v>110.26</v>
      </c>
      <c r="BK176" s="5">
        <v>0</v>
      </c>
      <c r="BL176" s="1" t="s">
        <v>90</v>
      </c>
    </row>
    <row r="177" spans="1:64" x14ac:dyDescent="0.3">
      <c r="A177" t="s">
        <v>856</v>
      </c>
      <c r="B177" s="1" t="s">
        <v>856</v>
      </c>
      <c r="C177" s="9" t="s">
        <v>857</v>
      </c>
      <c r="D177" s="1" t="s">
        <v>44</v>
      </c>
      <c r="E177" s="1" t="s">
        <v>88</v>
      </c>
      <c r="F177" s="10" t="s">
        <v>848</v>
      </c>
      <c r="G177" s="1">
        <v>2.5000000000000001E-2</v>
      </c>
      <c r="H177" s="1">
        <v>0.02</v>
      </c>
      <c r="I177" s="8">
        <v>44051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224683</v>
      </c>
      <c r="AJ177" s="2">
        <v>94243</v>
      </c>
      <c r="AK177" s="2">
        <v>4012.2</v>
      </c>
      <c r="AL177" s="2">
        <v>1682.91</v>
      </c>
      <c r="AM177" s="5">
        <v>2847.55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9567.7800000000007</v>
      </c>
      <c r="AT177" s="12">
        <v>8542.66</v>
      </c>
      <c r="AU177" s="2">
        <v>170.85</v>
      </c>
      <c r="AV177" s="5">
        <v>0</v>
      </c>
      <c r="AX177" s="2">
        <v>224683</v>
      </c>
      <c r="AY177" s="2">
        <v>94243</v>
      </c>
      <c r="AZ177" s="2">
        <v>4012.2</v>
      </c>
      <c r="BA177" s="2">
        <v>1682.91</v>
      </c>
      <c r="BB177" s="5">
        <v>2847.55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9567.7800000000007</v>
      </c>
      <c r="BI177" s="12">
        <v>8542.66</v>
      </c>
      <c r="BJ177" s="2">
        <v>170.85</v>
      </c>
      <c r="BK177" s="5">
        <v>0</v>
      </c>
      <c r="BL177" s="1" t="s">
        <v>90</v>
      </c>
    </row>
    <row r="178" spans="1:64" x14ac:dyDescent="0.3">
      <c r="A178" t="s">
        <v>858</v>
      </c>
      <c r="B178" s="1" t="s">
        <v>858</v>
      </c>
      <c r="C178" s="9" t="s">
        <v>859</v>
      </c>
      <c r="D178" s="1" t="s">
        <v>44</v>
      </c>
      <c r="E178" s="1" t="s">
        <v>88</v>
      </c>
      <c r="F178" s="10" t="s">
        <v>848</v>
      </c>
      <c r="G178" s="1">
        <v>2.5000000000000001E-2</v>
      </c>
      <c r="H178" s="1">
        <v>0.02</v>
      </c>
      <c r="I178" s="8">
        <v>44054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235271</v>
      </c>
      <c r="AJ178" s="2">
        <v>38111</v>
      </c>
      <c r="AK178" s="2">
        <v>4201.2700000000004</v>
      </c>
      <c r="AL178" s="2">
        <v>680.55</v>
      </c>
      <c r="AM178" s="5">
        <v>2440.91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8201.4599999999991</v>
      </c>
      <c r="AT178" s="12">
        <v>7322.7300000000005</v>
      </c>
      <c r="AU178" s="2">
        <v>146.44999999999999</v>
      </c>
      <c r="AV178" s="5">
        <v>0</v>
      </c>
      <c r="AX178" s="2">
        <v>235271</v>
      </c>
      <c r="AY178" s="2">
        <v>38111</v>
      </c>
      <c r="AZ178" s="2">
        <v>4201.2700000000004</v>
      </c>
      <c r="BA178" s="2">
        <v>680.55</v>
      </c>
      <c r="BB178" s="5">
        <v>2440.91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8201.4599999999991</v>
      </c>
      <c r="BI178" s="12">
        <v>7322.7300000000005</v>
      </c>
      <c r="BJ178" s="2">
        <v>146.44999999999999</v>
      </c>
      <c r="BK178" s="5">
        <v>0</v>
      </c>
      <c r="BL178" s="1" t="s">
        <v>90</v>
      </c>
    </row>
    <row r="179" spans="1:64" x14ac:dyDescent="0.3">
      <c r="A179" t="s">
        <v>862</v>
      </c>
      <c r="B179" s="1" t="s">
        <v>862</v>
      </c>
      <c r="C179" s="9" t="s">
        <v>863</v>
      </c>
      <c r="D179" s="1" t="s">
        <v>44</v>
      </c>
      <c r="E179" s="1" t="s">
        <v>88</v>
      </c>
      <c r="F179" s="10" t="s">
        <v>848</v>
      </c>
      <c r="G179" s="1">
        <v>3.5000000000000003E-2</v>
      </c>
      <c r="H179" s="1">
        <v>0.02</v>
      </c>
      <c r="I179" s="8">
        <v>44009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147857</v>
      </c>
      <c r="AJ179" s="2">
        <v>29520</v>
      </c>
      <c r="AK179" s="2">
        <v>2640.3</v>
      </c>
      <c r="AL179" s="2">
        <v>527.14</v>
      </c>
      <c r="AM179" s="5">
        <v>1583.72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5321.3</v>
      </c>
      <c r="AT179" s="12">
        <v>4751.16</v>
      </c>
      <c r="AU179" s="2">
        <v>95.02</v>
      </c>
      <c r="AV179" s="5">
        <v>0</v>
      </c>
      <c r="AX179" s="2">
        <v>147857</v>
      </c>
      <c r="AY179" s="2">
        <v>29520</v>
      </c>
      <c r="AZ179" s="2">
        <v>2640.3</v>
      </c>
      <c r="BA179" s="2">
        <v>527.14</v>
      </c>
      <c r="BB179" s="5">
        <v>1583.72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5321.3</v>
      </c>
      <c r="BI179" s="12">
        <v>4751.16</v>
      </c>
      <c r="BJ179" s="2">
        <v>95.02</v>
      </c>
      <c r="BK179" s="5">
        <v>0</v>
      </c>
      <c r="BL179" s="1" t="s">
        <v>90</v>
      </c>
    </row>
    <row r="180" spans="1:64" x14ac:dyDescent="0.3">
      <c r="A180" t="s">
        <v>864</v>
      </c>
      <c r="B180" s="1" t="s">
        <v>864</v>
      </c>
      <c r="C180" s="9" t="s">
        <v>865</v>
      </c>
      <c r="D180" s="1" t="s">
        <v>44</v>
      </c>
      <c r="E180" s="1" t="s">
        <v>88</v>
      </c>
      <c r="F180" s="10" t="s">
        <v>853</v>
      </c>
      <c r="G180" s="1">
        <v>2.5000000000000001E-2</v>
      </c>
      <c r="H180" s="1">
        <v>0.02</v>
      </c>
      <c r="I180" s="8">
        <v>44204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125180</v>
      </c>
      <c r="AJ180" s="2">
        <v>54345</v>
      </c>
      <c r="AK180" s="2">
        <v>2235.36</v>
      </c>
      <c r="AL180" s="2">
        <v>970.45</v>
      </c>
      <c r="AM180" s="5">
        <v>1602.9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5385.76</v>
      </c>
      <c r="AT180" s="12">
        <v>4808.7100000000009</v>
      </c>
      <c r="AU180" s="2">
        <v>96.17</v>
      </c>
      <c r="AV180" s="5">
        <v>0</v>
      </c>
      <c r="AX180" s="2">
        <v>125180</v>
      </c>
      <c r="AY180" s="2">
        <v>54345</v>
      </c>
      <c r="AZ180" s="2">
        <v>2235.36</v>
      </c>
      <c r="BA180" s="2">
        <v>970.45</v>
      </c>
      <c r="BB180" s="5">
        <v>1602.9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5385.76</v>
      </c>
      <c r="BI180" s="12">
        <v>4808.7100000000009</v>
      </c>
      <c r="BJ180" s="2">
        <v>96.17</v>
      </c>
      <c r="BK180" s="5">
        <v>0</v>
      </c>
      <c r="BL180" s="1" t="s">
        <v>90</v>
      </c>
    </row>
    <row r="181" spans="1:64" x14ac:dyDescent="0.3">
      <c r="A181" t="s">
        <v>866</v>
      </c>
      <c r="B181" s="1" t="s">
        <v>866</v>
      </c>
      <c r="C181" s="9" t="s">
        <v>867</v>
      </c>
      <c r="D181" s="1" t="s">
        <v>44</v>
      </c>
      <c r="E181" s="1" t="s">
        <v>88</v>
      </c>
      <c r="F181" s="10" t="s">
        <v>853</v>
      </c>
      <c r="G181" s="1">
        <v>3.5000000000000003E-2</v>
      </c>
      <c r="H181" s="1">
        <v>0.02</v>
      </c>
      <c r="I181" s="8">
        <v>44661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153512</v>
      </c>
      <c r="AJ181" s="2">
        <v>41524</v>
      </c>
      <c r="AK181" s="2">
        <v>2741.29</v>
      </c>
      <c r="AL181" s="2">
        <v>741.5</v>
      </c>
      <c r="AM181" s="5">
        <v>1741.39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5851.08</v>
      </c>
      <c r="AT181" s="12">
        <v>5224.18</v>
      </c>
      <c r="AU181" s="2">
        <v>104.48</v>
      </c>
      <c r="AV181" s="5">
        <v>0</v>
      </c>
      <c r="AX181" s="2">
        <v>153512</v>
      </c>
      <c r="AY181" s="2">
        <v>41524</v>
      </c>
      <c r="AZ181" s="2">
        <v>2741.29</v>
      </c>
      <c r="BA181" s="2">
        <v>741.5</v>
      </c>
      <c r="BB181" s="5">
        <v>1741.39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5851.08</v>
      </c>
      <c r="BI181" s="12">
        <v>5224.18</v>
      </c>
      <c r="BJ181" s="2">
        <v>104.48</v>
      </c>
      <c r="BK181" s="5">
        <v>0</v>
      </c>
      <c r="BL181" s="1" t="s">
        <v>90</v>
      </c>
    </row>
    <row r="182" spans="1:64" x14ac:dyDescent="0.3">
      <c r="A182" t="s">
        <v>868</v>
      </c>
      <c r="B182" s="1" t="s">
        <v>868</v>
      </c>
      <c r="C182" s="9" t="s">
        <v>869</v>
      </c>
      <c r="D182" s="1" t="s">
        <v>44</v>
      </c>
      <c r="E182" s="1" t="s">
        <v>88</v>
      </c>
      <c r="F182" s="10" t="s">
        <v>188</v>
      </c>
      <c r="G182" s="1">
        <v>3.5000000000000003E-2</v>
      </c>
      <c r="H182" s="1">
        <v>0.02</v>
      </c>
      <c r="I182" s="8">
        <v>44755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124538</v>
      </c>
      <c r="AJ182" s="2">
        <v>52325</v>
      </c>
      <c r="AK182" s="2">
        <v>2223.89</v>
      </c>
      <c r="AL182" s="2">
        <v>934.37</v>
      </c>
      <c r="AM182" s="5">
        <v>1579.13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5305.88</v>
      </c>
      <c r="AT182" s="12">
        <v>4737.3899999999994</v>
      </c>
      <c r="AU182" s="2">
        <v>94.75</v>
      </c>
      <c r="AV182" s="5">
        <v>0</v>
      </c>
      <c r="AX182" s="2">
        <v>124538</v>
      </c>
      <c r="AY182" s="2">
        <v>52325</v>
      </c>
      <c r="AZ182" s="2">
        <v>2223.89</v>
      </c>
      <c r="BA182" s="2">
        <v>934.37</v>
      </c>
      <c r="BB182" s="5">
        <v>1579.13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5305.88</v>
      </c>
      <c r="BI182" s="12">
        <v>4737.3899999999994</v>
      </c>
      <c r="BJ182" s="2">
        <v>94.75</v>
      </c>
      <c r="BK182" s="5">
        <v>0</v>
      </c>
      <c r="BL182" s="1" t="s">
        <v>90</v>
      </c>
    </row>
    <row r="183" spans="1:64" x14ac:dyDescent="0.3">
      <c r="A183" t="s">
        <v>870</v>
      </c>
      <c r="B183" s="1" t="s">
        <v>870</v>
      </c>
      <c r="C183" s="9" t="s">
        <v>871</v>
      </c>
      <c r="D183" s="1" t="s">
        <v>44</v>
      </c>
      <c r="E183" s="1" t="s">
        <v>88</v>
      </c>
      <c r="F183" s="10" t="s">
        <v>101</v>
      </c>
      <c r="G183" s="1">
        <v>3.5000000000000003E-2</v>
      </c>
      <c r="H183" s="1">
        <v>0.02</v>
      </c>
      <c r="I183" s="8">
        <v>45003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595481.09</v>
      </c>
      <c r="AJ183" s="2">
        <v>94861</v>
      </c>
      <c r="AK183" s="2">
        <v>10633.59</v>
      </c>
      <c r="AL183" s="2">
        <v>1693.95</v>
      </c>
      <c r="AM183" s="5">
        <v>6163.77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20710.27</v>
      </c>
      <c r="AT183" s="12">
        <v>18491.310000000001</v>
      </c>
      <c r="AU183" s="2">
        <v>369.83</v>
      </c>
      <c r="AV183" s="5">
        <v>0</v>
      </c>
      <c r="AX183" s="2">
        <v>595481.09</v>
      </c>
      <c r="AY183" s="2">
        <v>94861</v>
      </c>
      <c r="AZ183" s="2">
        <v>10633.59</v>
      </c>
      <c r="BA183" s="2">
        <v>1693.95</v>
      </c>
      <c r="BB183" s="5">
        <v>6163.77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20710.27</v>
      </c>
      <c r="BI183" s="12">
        <v>18491.310000000001</v>
      </c>
      <c r="BJ183" s="2">
        <v>369.83</v>
      </c>
      <c r="BK183" s="5">
        <v>0</v>
      </c>
      <c r="BL183" s="1" t="s">
        <v>90</v>
      </c>
    </row>
    <row r="184" spans="1:64" x14ac:dyDescent="0.3">
      <c r="A184" t="s">
        <v>872</v>
      </c>
      <c r="B184" s="1" t="s">
        <v>872</v>
      </c>
      <c r="C184" s="9" t="s">
        <v>873</v>
      </c>
      <c r="D184" s="1" t="s">
        <v>44</v>
      </c>
      <c r="E184" s="1" t="s">
        <v>88</v>
      </c>
      <c r="F184" s="10" t="s">
        <v>89</v>
      </c>
      <c r="G184" s="1">
        <v>2.5000000000000001E-2</v>
      </c>
      <c r="H184" s="1">
        <v>0.02</v>
      </c>
      <c r="I184" s="8">
        <v>44424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702455.85</v>
      </c>
      <c r="AJ184" s="2">
        <v>350747.75</v>
      </c>
      <c r="AK184" s="2">
        <v>12543.86</v>
      </c>
      <c r="AL184" s="2">
        <v>6263.3600000000006</v>
      </c>
      <c r="AM184" s="5">
        <v>9403.61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31596.13</v>
      </c>
      <c r="AT184" s="12">
        <v>28210.83</v>
      </c>
      <c r="AU184" s="2">
        <v>564.22</v>
      </c>
      <c r="AV184" s="5">
        <v>0</v>
      </c>
      <c r="AX184" s="2">
        <v>702455.85</v>
      </c>
      <c r="AY184" s="2">
        <v>350747.75</v>
      </c>
      <c r="AZ184" s="2">
        <v>12543.86</v>
      </c>
      <c r="BA184" s="2">
        <v>6263.3600000000006</v>
      </c>
      <c r="BB184" s="5">
        <v>9403.61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31596.13</v>
      </c>
      <c r="BI184" s="12">
        <v>28210.83</v>
      </c>
      <c r="BJ184" s="2">
        <v>564.22</v>
      </c>
      <c r="BK184" s="5">
        <v>0</v>
      </c>
      <c r="BL184" s="1" t="s">
        <v>90</v>
      </c>
    </row>
    <row r="185" spans="1:64" x14ac:dyDescent="0.3">
      <c r="A185" t="s">
        <v>878</v>
      </c>
      <c r="B185" s="1" t="s">
        <v>878</v>
      </c>
      <c r="C185" s="9" t="s">
        <v>879</v>
      </c>
      <c r="D185" s="1" t="s">
        <v>44</v>
      </c>
      <c r="E185" s="1" t="s">
        <v>88</v>
      </c>
      <c r="F185" s="10" t="s">
        <v>848</v>
      </c>
      <c r="G185" s="1">
        <v>2.5000000000000001E-2</v>
      </c>
      <c r="H185" s="1">
        <v>0.02</v>
      </c>
      <c r="I185" s="8">
        <v>44228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261356</v>
      </c>
      <c r="AJ185" s="2">
        <v>115373</v>
      </c>
      <c r="AK185" s="2">
        <v>4667.07</v>
      </c>
      <c r="AL185" s="2">
        <v>2060.23</v>
      </c>
      <c r="AM185" s="5">
        <v>3363.65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11301.86</v>
      </c>
      <c r="AT185" s="12">
        <v>10090.949999999999</v>
      </c>
      <c r="AU185" s="2">
        <v>201.82</v>
      </c>
      <c r="AV185" s="5">
        <v>0</v>
      </c>
      <c r="AX185" s="2">
        <v>261356</v>
      </c>
      <c r="AY185" s="2">
        <v>115373</v>
      </c>
      <c r="AZ185" s="2">
        <v>4667.07</v>
      </c>
      <c r="BA185" s="2">
        <v>2060.23</v>
      </c>
      <c r="BB185" s="5">
        <v>3363.65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11301.86</v>
      </c>
      <c r="BI185" s="12">
        <v>10090.949999999999</v>
      </c>
      <c r="BJ185" s="2">
        <v>201.82</v>
      </c>
      <c r="BK185" s="5">
        <v>0</v>
      </c>
      <c r="BL185" s="1" t="s">
        <v>90</v>
      </c>
    </row>
    <row r="186" spans="1:64" x14ac:dyDescent="0.3">
      <c r="A186" t="s">
        <v>880</v>
      </c>
      <c r="B186" s="1" t="s">
        <v>880</v>
      </c>
      <c r="C186" s="9" t="s">
        <v>881</v>
      </c>
      <c r="D186" s="1" t="s">
        <v>44</v>
      </c>
      <c r="E186" s="1" t="s">
        <v>88</v>
      </c>
      <c r="F186" s="10" t="s">
        <v>848</v>
      </c>
      <c r="G186" s="1">
        <v>3.5000000000000003E-2</v>
      </c>
      <c r="H186" s="1">
        <v>0.02</v>
      </c>
      <c r="I186" s="8">
        <v>45777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236471</v>
      </c>
      <c r="AJ186" s="2">
        <v>62328</v>
      </c>
      <c r="AK186" s="2">
        <v>7284.15</v>
      </c>
      <c r="AL186" s="2">
        <v>1919.92</v>
      </c>
      <c r="AM186" s="5">
        <v>2667.85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13296.55</v>
      </c>
      <c r="AT186" s="12">
        <v>11871.92</v>
      </c>
      <c r="AU186" s="2">
        <v>237.44</v>
      </c>
      <c r="AV186" s="5">
        <v>0</v>
      </c>
      <c r="AX186" s="2">
        <v>236471</v>
      </c>
      <c r="AY186" s="2">
        <v>62328</v>
      </c>
      <c r="AZ186" s="2">
        <v>7284.15</v>
      </c>
      <c r="BA186" s="2">
        <v>1919.92</v>
      </c>
      <c r="BB186" s="5">
        <v>2667.85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13296.55</v>
      </c>
      <c r="BI186" s="12">
        <v>11871.92</v>
      </c>
      <c r="BJ186" s="2">
        <v>237.44</v>
      </c>
      <c r="BK186" s="5">
        <v>0</v>
      </c>
      <c r="BL186" s="1" t="s">
        <v>90</v>
      </c>
    </row>
    <row r="187" spans="1:64" x14ac:dyDescent="0.3">
      <c r="A187" t="s">
        <v>882</v>
      </c>
      <c r="B187" s="1" t="s">
        <v>882</v>
      </c>
      <c r="C187" s="9" t="s">
        <v>883</v>
      </c>
      <c r="D187" s="1" t="s">
        <v>44</v>
      </c>
      <c r="E187" s="1" t="s">
        <v>88</v>
      </c>
      <c r="F187" s="10" t="s">
        <v>853</v>
      </c>
      <c r="G187" s="1">
        <v>0</v>
      </c>
      <c r="H187" s="1">
        <v>0.02</v>
      </c>
      <c r="I187" s="8">
        <v>44009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154804</v>
      </c>
      <c r="AJ187" s="2">
        <v>54859</v>
      </c>
      <c r="AK187" s="2">
        <v>2764.36</v>
      </c>
      <c r="AL187" s="2">
        <v>979.62</v>
      </c>
      <c r="AM187" s="5">
        <v>1871.99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6289.89</v>
      </c>
      <c r="AT187" s="12">
        <v>5615.97</v>
      </c>
      <c r="AU187" s="2">
        <v>112.32</v>
      </c>
      <c r="AV187" s="5">
        <v>0</v>
      </c>
      <c r="AX187" s="2">
        <v>154804</v>
      </c>
      <c r="AY187" s="2">
        <v>54859</v>
      </c>
      <c r="AZ187" s="2">
        <v>2764.36</v>
      </c>
      <c r="BA187" s="2">
        <v>979.62</v>
      </c>
      <c r="BB187" s="5">
        <v>1871.99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6289.89</v>
      </c>
      <c r="BI187" s="12">
        <v>5615.97</v>
      </c>
      <c r="BJ187" s="2">
        <v>112.32</v>
      </c>
      <c r="BK187" s="5">
        <v>0</v>
      </c>
      <c r="BL187" s="1" t="s">
        <v>90</v>
      </c>
    </row>
    <row r="188" spans="1:64" x14ac:dyDescent="0.3">
      <c r="A188" t="s">
        <v>884</v>
      </c>
      <c r="B188" s="1" t="s">
        <v>884</v>
      </c>
      <c r="C188" s="9" t="s">
        <v>885</v>
      </c>
      <c r="D188" s="1" t="s">
        <v>44</v>
      </c>
      <c r="E188" s="1" t="s">
        <v>88</v>
      </c>
      <c r="F188" s="10" t="s">
        <v>853</v>
      </c>
      <c r="G188" s="1">
        <v>0</v>
      </c>
      <c r="H188" s="1">
        <v>0.02</v>
      </c>
      <c r="I188" s="8">
        <v>44903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196481</v>
      </c>
      <c r="AJ188" s="2">
        <v>79371</v>
      </c>
      <c r="AK188" s="2">
        <v>3508.59</v>
      </c>
      <c r="AL188" s="2">
        <v>1417.34</v>
      </c>
      <c r="AM188" s="5">
        <v>2462.96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8275.56</v>
      </c>
      <c r="AT188" s="12">
        <v>7388.89</v>
      </c>
      <c r="AU188" s="2">
        <v>147.78</v>
      </c>
      <c r="AV188" s="5">
        <v>0</v>
      </c>
      <c r="AX188" s="2">
        <v>196481</v>
      </c>
      <c r="AY188" s="2">
        <v>79371</v>
      </c>
      <c r="AZ188" s="2">
        <v>3508.59</v>
      </c>
      <c r="BA188" s="2">
        <v>1417.34</v>
      </c>
      <c r="BB188" s="5">
        <v>2462.96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8275.56</v>
      </c>
      <c r="BI188" s="12">
        <v>7388.89</v>
      </c>
      <c r="BJ188" s="2">
        <v>147.78</v>
      </c>
      <c r="BK188" s="5">
        <v>0</v>
      </c>
      <c r="BL188" s="1" t="s">
        <v>90</v>
      </c>
    </row>
    <row r="189" spans="1:64" x14ac:dyDescent="0.3">
      <c r="A189" t="s">
        <v>904</v>
      </c>
      <c r="B189" s="1" t="s">
        <v>904</v>
      </c>
      <c r="C189" s="9" t="s">
        <v>905</v>
      </c>
      <c r="D189" s="1" t="s">
        <v>44</v>
      </c>
      <c r="E189" s="1" t="s">
        <v>88</v>
      </c>
      <c r="F189" s="10" t="s">
        <v>853</v>
      </c>
      <c r="G189" s="1">
        <v>0</v>
      </c>
      <c r="H189" s="1">
        <v>0.02</v>
      </c>
      <c r="I189" s="8">
        <v>44903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76289</v>
      </c>
      <c r="AJ189" s="2">
        <v>25242</v>
      </c>
      <c r="AK189" s="2">
        <v>1362.3</v>
      </c>
      <c r="AL189" s="2">
        <v>450.75</v>
      </c>
      <c r="AM189" s="5">
        <v>906.53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3045.93</v>
      </c>
      <c r="AT189" s="12">
        <v>2719.58</v>
      </c>
      <c r="AU189" s="2">
        <v>54.39</v>
      </c>
      <c r="AV189" s="5">
        <v>0</v>
      </c>
      <c r="AX189" s="2">
        <v>76289</v>
      </c>
      <c r="AY189" s="2">
        <v>25242</v>
      </c>
      <c r="AZ189" s="2">
        <v>1362.3</v>
      </c>
      <c r="BA189" s="2">
        <v>450.75</v>
      </c>
      <c r="BB189" s="5">
        <v>906.53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3045.93</v>
      </c>
      <c r="BI189" s="12">
        <v>2719.58</v>
      </c>
      <c r="BJ189" s="2">
        <v>54.39</v>
      </c>
      <c r="BK189" s="5">
        <v>0</v>
      </c>
      <c r="BL189" s="1" t="s">
        <v>90</v>
      </c>
    </row>
    <row r="190" spans="1:64" x14ac:dyDescent="0.3">
      <c r="A190" t="s">
        <v>906</v>
      </c>
      <c r="B190" s="1" t="s">
        <v>906</v>
      </c>
      <c r="C190" s="9" t="s">
        <v>907</v>
      </c>
      <c r="D190" s="1" t="s">
        <v>44</v>
      </c>
      <c r="E190" s="1" t="s">
        <v>88</v>
      </c>
      <c r="F190" s="10" t="s">
        <v>178</v>
      </c>
      <c r="G190" s="1">
        <v>0</v>
      </c>
      <c r="H190" s="1">
        <v>0.02</v>
      </c>
      <c r="I190" s="8">
        <v>45638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405390</v>
      </c>
      <c r="AJ190" s="2">
        <v>126670</v>
      </c>
      <c r="AK190" s="2">
        <v>7239.11</v>
      </c>
      <c r="AL190" s="2">
        <v>2261.96</v>
      </c>
      <c r="AM190" s="5">
        <v>4750.54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15961.8</v>
      </c>
      <c r="AT190" s="12">
        <v>14251.61</v>
      </c>
      <c r="AU190" s="2">
        <v>285.02999999999997</v>
      </c>
      <c r="AV190" s="5">
        <v>0</v>
      </c>
      <c r="AX190" s="2">
        <v>405390</v>
      </c>
      <c r="AY190" s="2">
        <v>126670</v>
      </c>
      <c r="AZ190" s="2">
        <v>7239.11</v>
      </c>
      <c r="BA190" s="2">
        <v>2261.96</v>
      </c>
      <c r="BB190" s="5">
        <v>4750.54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15961.8</v>
      </c>
      <c r="BI190" s="12">
        <v>14251.61</v>
      </c>
      <c r="BJ190" s="2">
        <v>285.02999999999997</v>
      </c>
      <c r="BK190" s="5">
        <v>0</v>
      </c>
      <c r="BL190" s="1" t="s">
        <v>90</v>
      </c>
    </row>
    <row r="191" spans="1:64" x14ac:dyDescent="0.3">
      <c r="A191" t="s">
        <v>910</v>
      </c>
      <c r="B191" s="1" t="s">
        <v>910</v>
      </c>
      <c r="C191" s="9" t="s">
        <v>911</v>
      </c>
      <c r="D191" s="1" t="s">
        <v>44</v>
      </c>
      <c r="E191" s="1" t="s">
        <v>88</v>
      </c>
      <c r="F191" s="10" t="s">
        <v>848</v>
      </c>
      <c r="G191" s="1">
        <v>0</v>
      </c>
      <c r="H191" s="1">
        <v>0.02</v>
      </c>
      <c r="I191" s="8">
        <v>45561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132086</v>
      </c>
      <c r="AJ191" s="2">
        <v>65255</v>
      </c>
      <c r="AK191" s="2">
        <v>2358.6799999999998</v>
      </c>
      <c r="AL191" s="2">
        <v>1165.27</v>
      </c>
      <c r="AM191" s="5">
        <v>1761.97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5920.23</v>
      </c>
      <c r="AT191" s="12">
        <v>5285.92</v>
      </c>
      <c r="AU191" s="2">
        <v>105.72</v>
      </c>
      <c r="AV191" s="5">
        <v>0</v>
      </c>
      <c r="AX191" s="2">
        <v>132086</v>
      </c>
      <c r="AY191" s="2">
        <v>65255</v>
      </c>
      <c r="AZ191" s="2">
        <v>2358.6799999999998</v>
      </c>
      <c r="BA191" s="2">
        <v>1165.27</v>
      </c>
      <c r="BB191" s="5">
        <v>1761.97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5920.23</v>
      </c>
      <c r="BI191" s="12">
        <v>5285.92</v>
      </c>
      <c r="BJ191" s="2">
        <v>105.72</v>
      </c>
      <c r="BK191" s="5">
        <v>0</v>
      </c>
      <c r="BL191" s="1" t="s">
        <v>90</v>
      </c>
    </row>
    <row r="192" spans="1:64" x14ac:dyDescent="0.3">
      <c r="A192" t="s">
        <v>936</v>
      </c>
      <c r="B192" s="1" t="s">
        <v>936</v>
      </c>
      <c r="C192" s="9" t="s">
        <v>937</v>
      </c>
      <c r="D192" s="1" t="s">
        <v>44</v>
      </c>
      <c r="E192" s="1" t="s">
        <v>88</v>
      </c>
      <c r="F192" s="10" t="s">
        <v>848</v>
      </c>
      <c r="G192" s="1">
        <v>0</v>
      </c>
      <c r="H192" s="1">
        <v>0.02</v>
      </c>
      <c r="I192" s="8">
        <v>44009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152886</v>
      </c>
      <c r="AJ192" s="2">
        <v>54710</v>
      </c>
      <c r="AK192" s="2">
        <v>2730.11</v>
      </c>
      <c r="AL192" s="2">
        <v>976.96</v>
      </c>
      <c r="AM192" s="5">
        <v>1853.54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6227.88</v>
      </c>
      <c r="AT192" s="12">
        <v>5560.6100000000006</v>
      </c>
      <c r="AU192" s="2">
        <v>111.21</v>
      </c>
      <c r="AV192" s="5">
        <v>0</v>
      </c>
      <c r="AX192" s="2">
        <v>152886</v>
      </c>
      <c r="AY192" s="2">
        <v>54710</v>
      </c>
      <c r="AZ192" s="2">
        <v>2730.11</v>
      </c>
      <c r="BA192" s="2">
        <v>976.96</v>
      </c>
      <c r="BB192" s="5">
        <v>1853.54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6227.88</v>
      </c>
      <c r="BI192" s="12">
        <v>5560.6100000000006</v>
      </c>
      <c r="BJ192" s="2">
        <v>111.21</v>
      </c>
      <c r="BK192" s="5">
        <v>0</v>
      </c>
      <c r="BL192" s="1" t="s">
        <v>90</v>
      </c>
    </row>
    <row r="193" spans="1:64" x14ac:dyDescent="0.3">
      <c r="A193" t="s">
        <v>956</v>
      </c>
      <c r="B193" s="1" t="s">
        <v>956</v>
      </c>
      <c r="C193" s="9" t="s">
        <v>957</v>
      </c>
      <c r="D193" s="1" t="s">
        <v>44</v>
      </c>
      <c r="E193" s="1" t="s">
        <v>88</v>
      </c>
      <c r="F193" s="10" t="s">
        <v>848</v>
      </c>
      <c r="G193" s="1">
        <v>0</v>
      </c>
      <c r="H193" s="1">
        <v>0.02</v>
      </c>
      <c r="I193" s="8">
        <v>44520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205767</v>
      </c>
      <c r="AJ193" s="2">
        <v>53272</v>
      </c>
      <c r="AK193" s="2">
        <v>3674.41</v>
      </c>
      <c r="AL193" s="2">
        <v>951.29</v>
      </c>
      <c r="AM193" s="5">
        <v>2312.85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7771.18</v>
      </c>
      <c r="AT193" s="12">
        <v>6938.5499999999993</v>
      </c>
      <c r="AU193" s="2">
        <v>138.77000000000001</v>
      </c>
      <c r="AV193" s="5">
        <v>0</v>
      </c>
      <c r="AX193" s="2">
        <v>205767</v>
      </c>
      <c r="AY193" s="2">
        <v>53272</v>
      </c>
      <c r="AZ193" s="2">
        <v>3674.41</v>
      </c>
      <c r="BA193" s="2">
        <v>951.29</v>
      </c>
      <c r="BB193" s="5">
        <v>2312.85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7771.18</v>
      </c>
      <c r="BI193" s="12">
        <v>6938.5499999999993</v>
      </c>
      <c r="BJ193" s="2">
        <v>138.77000000000001</v>
      </c>
      <c r="BK193" s="5">
        <v>0</v>
      </c>
      <c r="BL193" s="1" t="s">
        <v>90</v>
      </c>
    </row>
    <row r="194" spans="1:64" x14ac:dyDescent="0.3">
      <c r="A194" t="s">
        <v>962</v>
      </c>
      <c r="B194" s="1" t="s">
        <v>962</v>
      </c>
      <c r="C194" s="9" t="s">
        <v>963</v>
      </c>
      <c r="D194" s="1" t="s">
        <v>44</v>
      </c>
      <c r="E194" s="1" t="s">
        <v>88</v>
      </c>
      <c r="F194" s="10" t="s">
        <v>101</v>
      </c>
      <c r="G194" s="1">
        <v>0</v>
      </c>
      <c r="H194" s="1">
        <v>0.02</v>
      </c>
      <c r="I194" s="8">
        <v>44075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396818.57999999996</v>
      </c>
      <c r="AJ194" s="2">
        <v>81389.759999999995</v>
      </c>
      <c r="AK194" s="2">
        <v>7086.04</v>
      </c>
      <c r="AL194" s="2">
        <v>1453.39</v>
      </c>
      <c r="AM194" s="5">
        <v>4269.71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14346.24</v>
      </c>
      <c r="AT194" s="12">
        <v>12809.14</v>
      </c>
      <c r="AU194" s="2">
        <v>256.18</v>
      </c>
      <c r="AV194" s="5">
        <v>0</v>
      </c>
      <c r="AX194" s="2">
        <v>396818.57999999996</v>
      </c>
      <c r="AY194" s="2">
        <v>81389.759999999995</v>
      </c>
      <c r="AZ194" s="2">
        <v>7086.04</v>
      </c>
      <c r="BA194" s="2">
        <v>1453.39</v>
      </c>
      <c r="BB194" s="5">
        <v>4269.71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14346.24</v>
      </c>
      <c r="BI194" s="12">
        <v>12809.14</v>
      </c>
      <c r="BJ194" s="2">
        <v>256.18</v>
      </c>
      <c r="BK194" s="5">
        <v>0</v>
      </c>
      <c r="BL194" s="1" t="s">
        <v>90</v>
      </c>
    </row>
    <row r="195" spans="1:64" x14ac:dyDescent="0.3">
      <c r="A195" t="s">
        <v>972</v>
      </c>
      <c r="B195" s="1" t="s">
        <v>972</v>
      </c>
      <c r="C195" s="9" t="s">
        <v>973</v>
      </c>
      <c r="D195" s="1" t="s">
        <v>44</v>
      </c>
      <c r="E195" s="1" t="s">
        <v>88</v>
      </c>
      <c r="F195" s="10" t="s">
        <v>848</v>
      </c>
      <c r="G195" s="1">
        <v>0</v>
      </c>
      <c r="H195" s="1">
        <v>0.02</v>
      </c>
      <c r="I195" s="8">
        <v>44163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80797</v>
      </c>
      <c r="AJ195" s="2">
        <v>15578</v>
      </c>
      <c r="AK195" s="2">
        <v>1442.8</v>
      </c>
      <c r="AL195" s="2">
        <v>278.18</v>
      </c>
      <c r="AM195" s="5">
        <v>860.49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2891.25</v>
      </c>
      <c r="AT195" s="12">
        <v>2581.4700000000003</v>
      </c>
      <c r="AU195" s="2">
        <v>51.63</v>
      </c>
      <c r="AV195" s="5">
        <v>0</v>
      </c>
      <c r="AX195" s="2">
        <v>80797</v>
      </c>
      <c r="AY195" s="2">
        <v>15578</v>
      </c>
      <c r="AZ195" s="2">
        <v>1442.8</v>
      </c>
      <c r="BA195" s="2">
        <v>278.18</v>
      </c>
      <c r="BB195" s="5">
        <v>860.49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2891.25</v>
      </c>
      <c r="BI195" s="12">
        <v>2581.4700000000003</v>
      </c>
      <c r="BJ195" s="2">
        <v>51.63</v>
      </c>
      <c r="BK195" s="5">
        <v>0</v>
      </c>
      <c r="BL195" s="1" t="s">
        <v>90</v>
      </c>
    </row>
    <row r="196" spans="1:64" x14ac:dyDescent="0.3">
      <c r="A196" t="s">
        <v>984</v>
      </c>
      <c r="B196" s="1" t="s">
        <v>984</v>
      </c>
      <c r="C196" s="9" t="s">
        <v>985</v>
      </c>
      <c r="D196" s="1" t="s">
        <v>44</v>
      </c>
      <c r="E196" s="1" t="s">
        <v>88</v>
      </c>
      <c r="F196" s="10" t="s">
        <v>853</v>
      </c>
      <c r="G196" s="1">
        <v>0</v>
      </c>
      <c r="H196" s="1">
        <v>0.02</v>
      </c>
      <c r="I196" s="8">
        <v>44358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178989.77</v>
      </c>
      <c r="AJ196" s="2">
        <v>38287.009999999995</v>
      </c>
      <c r="AK196" s="2">
        <v>3196.25</v>
      </c>
      <c r="AL196" s="2">
        <v>683.7</v>
      </c>
      <c r="AM196" s="5">
        <v>1939.97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6518.31</v>
      </c>
      <c r="AT196" s="12">
        <v>5819.92</v>
      </c>
      <c r="AU196" s="2">
        <v>116.4</v>
      </c>
      <c r="AV196" s="5">
        <v>0</v>
      </c>
      <c r="AX196" s="2">
        <v>178989.77</v>
      </c>
      <c r="AY196" s="2">
        <v>38287.009999999995</v>
      </c>
      <c r="AZ196" s="2">
        <v>3196.25</v>
      </c>
      <c r="BA196" s="2">
        <v>683.7</v>
      </c>
      <c r="BB196" s="5">
        <v>1939.97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6518.31</v>
      </c>
      <c r="BI196" s="12">
        <v>5819.92</v>
      </c>
      <c r="BJ196" s="2">
        <v>116.4</v>
      </c>
      <c r="BK196" s="5">
        <v>0</v>
      </c>
      <c r="BL196" s="1" t="s">
        <v>90</v>
      </c>
    </row>
    <row r="197" spans="1:64" x14ac:dyDescent="0.3">
      <c r="A197" t="s">
        <v>999</v>
      </c>
      <c r="B197" s="1" t="s">
        <v>1000</v>
      </c>
      <c r="C197" s="9" t="s">
        <v>1001</v>
      </c>
      <c r="D197" s="1" t="s">
        <v>44</v>
      </c>
      <c r="E197" s="1" t="s">
        <v>88</v>
      </c>
      <c r="F197" s="10" t="s">
        <v>181</v>
      </c>
      <c r="G197" s="1">
        <v>0</v>
      </c>
      <c r="H197" s="1">
        <v>0.02</v>
      </c>
      <c r="I197" s="8">
        <v>44377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602117.19999999995</v>
      </c>
      <c r="AJ197" s="2">
        <v>128169.70999999999</v>
      </c>
      <c r="AK197" s="2">
        <v>10752.09</v>
      </c>
      <c r="AL197" s="2">
        <v>2288.73</v>
      </c>
      <c r="AM197" s="5">
        <v>6520.42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21908.59</v>
      </c>
      <c r="AT197" s="12">
        <v>19561.240000000002</v>
      </c>
      <c r="AU197" s="2">
        <v>391.22</v>
      </c>
      <c r="AV197" s="5">
        <v>0</v>
      </c>
      <c r="AX197" s="2">
        <v>602117.19999999995</v>
      </c>
      <c r="AY197" s="2">
        <v>128169.70999999999</v>
      </c>
      <c r="AZ197" s="2">
        <v>10752.09</v>
      </c>
      <c r="BA197" s="2">
        <v>2288.73</v>
      </c>
      <c r="BB197" s="5">
        <v>6520.42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21908.59</v>
      </c>
      <c r="BI197" s="12">
        <v>19561.240000000002</v>
      </c>
      <c r="BJ197" s="2">
        <v>391.22</v>
      </c>
      <c r="BK197" s="5">
        <v>0</v>
      </c>
      <c r="BL197" s="1" t="s">
        <v>90</v>
      </c>
    </row>
    <row r="198" spans="1:64" x14ac:dyDescent="0.3">
      <c r="A198" t="s">
        <v>1051</v>
      </c>
      <c r="B198" s="1" t="s">
        <v>1051</v>
      </c>
      <c r="C198" s="9" t="s">
        <v>1052</v>
      </c>
      <c r="D198" s="1" t="s">
        <v>44</v>
      </c>
      <c r="E198" s="1" t="s">
        <v>88</v>
      </c>
      <c r="F198" s="10" t="s">
        <v>848</v>
      </c>
      <c r="G198" s="1">
        <v>0</v>
      </c>
      <c r="H198" s="1">
        <v>0.02</v>
      </c>
      <c r="I198" s="8">
        <v>44709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93742</v>
      </c>
      <c r="AJ198" s="2">
        <v>33515</v>
      </c>
      <c r="AK198" s="2">
        <v>1673.96</v>
      </c>
      <c r="AL198" s="2">
        <v>598.48</v>
      </c>
      <c r="AM198" s="5">
        <v>1136.22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3817.7</v>
      </c>
      <c r="AT198" s="12">
        <v>3408.66</v>
      </c>
      <c r="AU198" s="2">
        <v>68.17</v>
      </c>
      <c r="AV198" s="5">
        <v>0</v>
      </c>
      <c r="AX198" s="2">
        <v>93742</v>
      </c>
      <c r="AY198" s="2">
        <v>33515</v>
      </c>
      <c r="AZ198" s="2">
        <v>1673.96</v>
      </c>
      <c r="BA198" s="2">
        <v>598.48</v>
      </c>
      <c r="BB198" s="5">
        <v>1136.22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3817.7</v>
      </c>
      <c r="BI198" s="12">
        <v>3408.66</v>
      </c>
      <c r="BJ198" s="2">
        <v>68.17</v>
      </c>
      <c r="BK198" s="5">
        <v>0</v>
      </c>
      <c r="BL198" s="1" t="s">
        <v>90</v>
      </c>
    </row>
    <row r="199" spans="1:64" x14ac:dyDescent="0.3">
      <c r="A199" t="s">
        <v>1057</v>
      </c>
      <c r="B199" s="1" t="s">
        <v>1057</v>
      </c>
      <c r="C199" s="9" t="s">
        <v>1058</v>
      </c>
      <c r="D199" s="1" t="s">
        <v>44</v>
      </c>
      <c r="E199" s="1" t="s">
        <v>88</v>
      </c>
      <c r="F199" s="10" t="s">
        <v>178</v>
      </c>
      <c r="G199" s="1">
        <v>0</v>
      </c>
      <c r="H199" s="1">
        <v>0.02</v>
      </c>
      <c r="I199" s="8">
        <v>44743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432418.1</v>
      </c>
      <c r="AJ199" s="2">
        <v>60465.5</v>
      </c>
      <c r="AK199" s="2">
        <v>7721.75</v>
      </c>
      <c r="AL199" s="2">
        <v>1079.74</v>
      </c>
      <c r="AM199" s="5">
        <v>4400.75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14786.51</v>
      </c>
      <c r="AT199" s="12">
        <v>13202.24</v>
      </c>
      <c r="AU199" s="2">
        <v>264.04000000000002</v>
      </c>
      <c r="AV199" s="5">
        <v>0</v>
      </c>
      <c r="AX199" s="2">
        <v>432418.1</v>
      </c>
      <c r="AY199" s="2">
        <v>60465.5</v>
      </c>
      <c r="AZ199" s="2">
        <v>7721.75</v>
      </c>
      <c r="BA199" s="2">
        <v>1079.74</v>
      </c>
      <c r="BB199" s="5">
        <v>4400.75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14786.51</v>
      </c>
      <c r="BI199" s="12">
        <v>13202.24</v>
      </c>
      <c r="BJ199" s="2">
        <v>264.04000000000002</v>
      </c>
      <c r="BK199" s="5">
        <v>0</v>
      </c>
      <c r="BL199" s="1" t="s">
        <v>90</v>
      </c>
    </row>
    <row r="200" spans="1:64" x14ac:dyDescent="0.3">
      <c r="A200" t="s">
        <v>1061</v>
      </c>
      <c r="B200" s="1" t="s">
        <v>1061</v>
      </c>
      <c r="C200" s="9" t="s">
        <v>1062</v>
      </c>
      <c r="D200" s="1" t="s">
        <v>44</v>
      </c>
      <c r="E200" s="1" t="s">
        <v>88</v>
      </c>
      <c r="F200" s="10" t="s">
        <v>101</v>
      </c>
      <c r="G200" s="1">
        <v>0</v>
      </c>
      <c r="H200" s="1">
        <v>0.02</v>
      </c>
      <c r="I200" s="8">
        <v>44760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293918.55</v>
      </c>
      <c r="AJ200" s="2">
        <v>101741</v>
      </c>
      <c r="AK200" s="2">
        <v>5248.54</v>
      </c>
      <c r="AL200" s="2">
        <v>1816.8</v>
      </c>
      <c r="AM200" s="5">
        <v>3532.68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11869.78</v>
      </c>
      <c r="AT200" s="12">
        <v>10598.02</v>
      </c>
      <c r="AU200" s="2">
        <v>211.96</v>
      </c>
      <c r="AV200" s="5">
        <v>0</v>
      </c>
      <c r="AX200" s="2">
        <v>293918.55</v>
      </c>
      <c r="AY200" s="2">
        <v>101741</v>
      </c>
      <c r="AZ200" s="2">
        <v>5248.54</v>
      </c>
      <c r="BA200" s="2">
        <v>1816.8</v>
      </c>
      <c r="BB200" s="5">
        <v>3532.68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11869.78</v>
      </c>
      <c r="BI200" s="12">
        <v>10598.02</v>
      </c>
      <c r="BJ200" s="2">
        <v>211.96</v>
      </c>
      <c r="BK200" s="5">
        <v>0</v>
      </c>
      <c r="BL200" s="1" t="s">
        <v>90</v>
      </c>
    </row>
    <row r="201" spans="1:64" x14ac:dyDescent="0.3">
      <c r="A201" t="s">
        <v>1069</v>
      </c>
      <c r="B201" s="1" t="s">
        <v>1069</v>
      </c>
      <c r="C201" s="9" t="s">
        <v>1070</v>
      </c>
      <c r="D201" s="1" t="s">
        <v>44</v>
      </c>
      <c r="E201" s="1" t="s">
        <v>88</v>
      </c>
      <c r="F201" s="10" t="s">
        <v>848</v>
      </c>
      <c r="G201" s="1">
        <v>0</v>
      </c>
      <c r="H201" s="1">
        <v>0.02</v>
      </c>
      <c r="I201" s="8">
        <v>44771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214416</v>
      </c>
      <c r="AJ201" s="2">
        <v>39997</v>
      </c>
      <c r="AK201" s="2">
        <v>3828.86</v>
      </c>
      <c r="AL201" s="2">
        <v>714.23</v>
      </c>
      <c r="AM201" s="5">
        <v>2271.54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7632.39</v>
      </c>
      <c r="AT201" s="12">
        <v>6814.63</v>
      </c>
      <c r="AU201" s="2">
        <v>136.29</v>
      </c>
      <c r="AV201" s="5">
        <v>0</v>
      </c>
      <c r="AX201" s="2">
        <v>214416</v>
      </c>
      <c r="AY201" s="2">
        <v>39997</v>
      </c>
      <c r="AZ201" s="2">
        <v>3828.86</v>
      </c>
      <c r="BA201" s="2">
        <v>714.23</v>
      </c>
      <c r="BB201" s="5">
        <v>2271.54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7632.39</v>
      </c>
      <c r="BI201" s="12">
        <v>6814.63</v>
      </c>
      <c r="BJ201" s="2">
        <v>136.29</v>
      </c>
      <c r="BK201" s="5">
        <v>0</v>
      </c>
      <c r="BL201" s="1" t="s">
        <v>90</v>
      </c>
    </row>
    <row r="202" spans="1:64" x14ac:dyDescent="0.3">
      <c r="A202" t="s">
        <v>1071</v>
      </c>
      <c r="B202" s="1" t="s">
        <v>1071</v>
      </c>
      <c r="C202" s="9" t="s">
        <v>1072</v>
      </c>
      <c r="D202" s="1" t="s">
        <v>44</v>
      </c>
      <c r="E202" s="1" t="s">
        <v>88</v>
      </c>
      <c r="F202" s="10" t="s">
        <v>853</v>
      </c>
      <c r="G202" s="1">
        <v>0</v>
      </c>
      <c r="H202" s="1">
        <v>0.02</v>
      </c>
      <c r="I202" s="8">
        <v>45003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163496</v>
      </c>
      <c r="AJ202" s="2">
        <v>60553</v>
      </c>
      <c r="AK202" s="2">
        <v>2919.57</v>
      </c>
      <c r="AL202" s="2">
        <v>1081.3</v>
      </c>
      <c r="AM202" s="5">
        <v>2000.44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6721.47</v>
      </c>
      <c r="AT202" s="12">
        <v>6001.3099999999995</v>
      </c>
      <c r="AU202" s="2">
        <v>120.03</v>
      </c>
      <c r="AV202" s="5">
        <v>0</v>
      </c>
      <c r="AX202" s="2">
        <v>163496</v>
      </c>
      <c r="AY202" s="2">
        <v>60553</v>
      </c>
      <c r="AZ202" s="2">
        <v>2919.57</v>
      </c>
      <c r="BA202" s="2">
        <v>1081.3</v>
      </c>
      <c r="BB202" s="5">
        <v>2000.44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6721.47</v>
      </c>
      <c r="BI202" s="12">
        <v>6001.3099999999995</v>
      </c>
      <c r="BJ202" s="2">
        <v>120.03</v>
      </c>
      <c r="BK202" s="5">
        <v>0</v>
      </c>
      <c r="BL202" s="1" t="s">
        <v>90</v>
      </c>
    </row>
    <row r="203" spans="1:64" x14ac:dyDescent="0.3">
      <c r="A203" t="s">
        <v>1122</v>
      </c>
      <c r="B203" s="1" t="s">
        <v>1122</v>
      </c>
      <c r="C203" s="9" t="s">
        <v>1123</v>
      </c>
      <c r="D203" s="1" t="s">
        <v>44</v>
      </c>
      <c r="E203" s="1" t="s">
        <v>88</v>
      </c>
      <c r="F203" s="10" t="s">
        <v>848</v>
      </c>
      <c r="G203" s="1">
        <v>0</v>
      </c>
      <c r="H203" s="1">
        <v>0.02</v>
      </c>
      <c r="I203" s="8">
        <v>44832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77175</v>
      </c>
      <c r="AJ203" s="2">
        <v>25831</v>
      </c>
      <c r="AK203" s="2">
        <v>1378.12</v>
      </c>
      <c r="AL203" s="2">
        <v>461.27</v>
      </c>
      <c r="AM203" s="5">
        <v>919.7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3090.18</v>
      </c>
      <c r="AT203" s="12">
        <v>2759.09</v>
      </c>
      <c r="AU203" s="2">
        <v>55.18</v>
      </c>
      <c r="AV203" s="5">
        <v>0</v>
      </c>
      <c r="AX203" s="2">
        <v>77175</v>
      </c>
      <c r="AY203" s="2">
        <v>25831</v>
      </c>
      <c r="AZ203" s="2">
        <v>1378.12</v>
      </c>
      <c r="BA203" s="2">
        <v>461.27</v>
      </c>
      <c r="BB203" s="5">
        <v>919.7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3090.18</v>
      </c>
      <c r="BI203" s="12">
        <v>2759.09</v>
      </c>
      <c r="BJ203" s="2">
        <v>55.18</v>
      </c>
      <c r="BK203" s="5">
        <v>0</v>
      </c>
      <c r="BL203" s="1" t="s">
        <v>90</v>
      </c>
    </row>
    <row r="204" spans="1:64" x14ac:dyDescent="0.3">
      <c r="A204" t="s">
        <v>1124</v>
      </c>
      <c r="B204" s="1" t="s">
        <v>1124</v>
      </c>
      <c r="C204" s="9" t="s">
        <v>1125</v>
      </c>
      <c r="D204" s="1" t="s">
        <v>44</v>
      </c>
      <c r="E204" s="1" t="s">
        <v>88</v>
      </c>
      <c r="F204" s="10" t="s">
        <v>104</v>
      </c>
      <c r="G204" s="1">
        <v>0</v>
      </c>
      <c r="H204" s="1">
        <v>0.02</v>
      </c>
      <c r="I204" s="8">
        <v>44844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495500</v>
      </c>
      <c r="AJ204" s="2">
        <v>190538</v>
      </c>
      <c r="AK204" s="2">
        <v>8848.2099999999991</v>
      </c>
      <c r="AL204" s="2">
        <v>3402.46</v>
      </c>
      <c r="AM204" s="5">
        <v>6125.34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20581.13</v>
      </c>
      <c r="AT204" s="12">
        <v>18376.009999999998</v>
      </c>
      <c r="AU204" s="2">
        <v>367.52</v>
      </c>
      <c r="AV204" s="5">
        <v>0</v>
      </c>
      <c r="AX204" s="2">
        <v>495500</v>
      </c>
      <c r="AY204" s="2">
        <v>190538</v>
      </c>
      <c r="AZ204" s="2">
        <v>8848.2099999999991</v>
      </c>
      <c r="BA204" s="2">
        <v>3402.46</v>
      </c>
      <c r="BB204" s="5">
        <v>6125.34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20581.13</v>
      </c>
      <c r="BI204" s="12">
        <v>18376.009999999998</v>
      </c>
      <c r="BJ204" s="2">
        <v>367.52</v>
      </c>
      <c r="BK204" s="5">
        <v>0</v>
      </c>
      <c r="BL204" s="1" t="s">
        <v>90</v>
      </c>
    </row>
    <row r="205" spans="1:64" x14ac:dyDescent="0.3">
      <c r="A205" t="s">
        <v>1152</v>
      </c>
      <c r="B205" s="1" t="s">
        <v>1152</v>
      </c>
      <c r="C205" s="9" t="s">
        <v>1153</v>
      </c>
      <c r="D205" s="1" t="s">
        <v>44</v>
      </c>
      <c r="E205" s="1" t="s">
        <v>88</v>
      </c>
      <c r="F205" s="10" t="s">
        <v>853</v>
      </c>
      <c r="G205" s="1">
        <v>0</v>
      </c>
      <c r="H205" s="1">
        <v>0.02</v>
      </c>
      <c r="I205" s="8">
        <v>44873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238720.25</v>
      </c>
      <c r="AJ205" s="2">
        <v>24599</v>
      </c>
      <c r="AK205" s="2">
        <v>4262.8599999999997</v>
      </c>
      <c r="AL205" s="2">
        <v>439.27</v>
      </c>
      <c r="AM205" s="5">
        <v>2351.06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7899.57</v>
      </c>
      <c r="AT205" s="12">
        <v>7053.1899999999987</v>
      </c>
      <c r="AU205" s="2">
        <v>141.06</v>
      </c>
      <c r="AV205" s="5">
        <v>0</v>
      </c>
      <c r="AX205" s="2">
        <v>238720.25</v>
      </c>
      <c r="AY205" s="2">
        <v>24599</v>
      </c>
      <c r="AZ205" s="2">
        <v>4262.8599999999997</v>
      </c>
      <c r="BA205" s="2">
        <v>439.27</v>
      </c>
      <c r="BB205" s="5">
        <v>2351.06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7899.57</v>
      </c>
      <c r="BI205" s="12">
        <v>7053.1899999999987</v>
      </c>
      <c r="BJ205" s="2">
        <v>141.06</v>
      </c>
      <c r="BK205" s="5">
        <v>0</v>
      </c>
      <c r="BL205" s="1" t="s">
        <v>90</v>
      </c>
    </row>
    <row r="206" spans="1:64" x14ac:dyDescent="0.3">
      <c r="A206" t="s">
        <v>1166</v>
      </c>
      <c r="B206" s="1" t="s">
        <v>1166</v>
      </c>
      <c r="C206" s="9" t="s">
        <v>1167</v>
      </c>
      <c r="D206" s="1" t="s">
        <v>44</v>
      </c>
      <c r="E206" s="1" t="s">
        <v>88</v>
      </c>
      <c r="F206" s="10" t="s">
        <v>848</v>
      </c>
      <c r="G206" s="1">
        <v>0</v>
      </c>
      <c r="H206" s="1">
        <v>0.02</v>
      </c>
      <c r="I206" s="8">
        <v>45036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70412</v>
      </c>
      <c r="AJ206" s="2">
        <v>17335</v>
      </c>
      <c r="AK206" s="2">
        <v>1257.3599999999999</v>
      </c>
      <c r="AL206" s="2">
        <v>309.55</v>
      </c>
      <c r="AM206" s="5">
        <v>783.46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2632.41</v>
      </c>
      <c r="AT206" s="12">
        <v>2350.37</v>
      </c>
      <c r="AU206" s="2">
        <v>47.01</v>
      </c>
      <c r="AV206" s="5">
        <v>0</v>
      </c>
      <c r="AX206" s="2">
        <v>70412</v>
      </c>
      <c r="AY206" s="2">
        <v>17335</v>
      </c>
      <c r="AZ206" s="2">
        <v>1257.3599999999999</v>
      </c>
      <c r="BA206" s="2">
        <v>309.55</v>
      </c>
      <c r="BB206" s="5">
        <v>783.46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2632.41</v>
      </c>
      <c r="BI206" s="12">
        <v>2350.37</v>
      </c>
      <c r="BJ206" s="2">
        <v>47.01</v>
      </c>
      <c r="BK206" s="5">
        <v>0</v>
      </c>
      <c r="BL206" s="1" t="s">
        <v>90</v>
      </c>
    </row>
    <row r="207" spans="1:64" x14ac:dyDescent="0.3">
      <c r="A207" t="s">
        <v>1254</v>
      </c>
      <c r="B207" s="1" t="s">
        <v>1254</v>
      </c>
      <c r="C207" s="9" t="s">
        <v>1255</v>
      </c>
      <c r="D207" s="1" t="s">
        <v>44</v>
      </c>
      <c r="E207" s="1" t="s">
        <v>88</v>
      </c>
      <c r="F207" s="10" t="s">
        <v>114</v>
      </c>
      <c r="G207" s="1">
        <v>0</v>
      </c>
      <c r="H207" s="1">
        <v>0.02</v>
      </c>
      <c r="I207" s="8">
        <v>45271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399315.1</v>
      </c>
      <c r="AJ207" s="2">
        <v>93779</v>
      </c>
      <c r="AK207" s="2">
        <v>7130.62</v>
      </c>
      <c r="AL207" s="2">
        <v>1674.62</v>
      </c>
      <c r="AM207" s="5">
        <v>4402.62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14792.8</v>
      </c>
      <c r="AT207" s="12">
        <v>13207.86</v>
      </c>
      <c r="AU207" s="2">
        <v>264.16000000000003</v>
      </c>
      <c r="AV207" s="5">
        <v>0</v>
      </c>
      <c r="AX207" s="2">
        <v>399315.1</v>
      </c>
      <c r="AY207" s="2">
        <v>93779</v>
      </c>
      <c r="AZ207" s="2">
        <v>7130.62</v>
      </c>
      <c r="BA207" s="2">
        <v>1674.62</v>
      </c>
      <c r="BB207" s="5">
        <v>4402.62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14792.8</v>
      </c>
      <c r="BI207" s="12">
        <v>13207.86</v>
      </c>
      <c r="BJ207" s="2">
        <v>264.16000000000003</v>
      </c>
      <c r="BK207" s="5">
        <v>0</v>
      </c>
      <c r="BL207" s="1" t="s">
        <v>90</v>
      </c>
    </row>
    <row r="208" spans="1:64" x14ac:dyDescent="0.3">
      <c r="A208" t="s">
        <v>1296</v>
      </c>
      <c r="B208" s="1" t="s">
        <v>1296</v>
      </c>
      <c r="C208" s="9" t="s">
        <v>1297</v>
      </c>
      <c r="D208" s="1" t="s">
        <v>44</v>
      </c>
      <c r="E208" s="1" t="s">
        <v>88</v>
      </c>
      <c r="F208" s="10" t="s">
        <v>114</v>
      </c>
      <c r="G208" s="1">
        <v>0</v>
      </c>
      <c r="H208" s="1">
        <v>0.02</v>
      </c>
      <c r="I208" s="8">
        <v>45163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524906</v>
      </c>
      <c r="AJ208" s="2">
        <v>127419</v>
      </c>
      <c r="AK208" s="2">
        <v>9373.32</v>
      </c>
      <c r="AL208" s="2">
        <v>2275.34</v>
      </c>
      <c r="AM208" s="5">
        <v>5824.33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19569.75</v>
      </c>
      <c r="AT208" s="12">
        <v>17472.989999999998</v>
      </c>
      <c r="AU208" s="2">
        <v>349.46</v>
      </c>
      <c r="AV208" s="5">
        <v>0</v>
      </c>
      <c r="AX208" s="2">
        <v>524906</v>
      </c>
      <c r="AY208" s="2">
        <v>127419</v>
      </c>
      <c r="AZ208" s="2">
        <v>9373.32</v>
      </c>
      <c r="BA208" s="2">
        <v>2275.34</v>
      </c>
      <c r="BB208" s="5">
        <v>5824.33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19569.75</v>
      </c>
      <c r="BI208" s="12">
        <v>17472.989999999998</v>
      </c>
      <c r="BJ208" s="2">
        <v>349.46</v>
      </c>
      <c r="BK208" s="5">
        <v>0</v>
      </c>
      <c r="BL208" s="1" t="s">
        <v>90</v>
      </c>
    </row>
    <row r="209" spans="1:64" x14ac:dyDescent="0.3">
      <c r="A209" t="s">
        <v>1298</v>
      </c>
      <c r="B209" s="1" t="s">
        <v>1298</v>
      </c>
      <c r="C209" s="9" t="s">
        <v>1299</v>
      </c>
      <c r="D209" s="1" t="s">
        <v>44</v>
      </c>
      <c r="E209" s="1" t="s">
        <v>88</v>
      </c>
      <c r="F209" s="10" t="s">
        <v>853</v>
      </c>
      <c r="G209" s="1">
        <v>0</v>
      </c>
      <c r="H209" s="1">
        <v>0.02</v>
      </c>
      <c r="I209" s="8">
        <v>45163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176893.5</v>
      </c>
      <c r="AJ209" s="2">
        <v>58445</v>
      </c>
      <c r="AK209" s="2">
        <v>3158.81</v>
      </c>
      <c r="AL209" s="2">
        <v>1043.6600000000001</v>
      </c>
      <c r="AM209" s="5">
        <v>2101.2399999999998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7060.16</v>
      </c>
      <c r="AT209" s="12">
        <v>6303.71</v>
      </c>
      <c r="AU209" s="2">
        <v>126.07</v>
      </c>
      <c r="AV209" s="5">
        <v>0</v>
      </c>
      <c r="AX209" s="2">
        <v>176893.5</v>
      </c>
      <c r="AY209" s="2">
        <v>58445</v>
      </c>
      <c r="AZ209" s="2">
        <v>3158.81</v>
      </c>
      <c r="BA209" s="2">
        <v>1043.6600000000001</v>
      </c>
      <c r="BB209" s="5">
        <v>2101.2399999999998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7060.16</v>
      </c>
      <c r="BI209" s="12">
        <v>6303.71</v>
      </c>
      <c r="BJ209" s="2">
        <v>126.07</v>
      </c>
      <c r="BK209" s="5">
        <v>0</v>
      </c>
      <c r="BL209" s="1" t="s">
        <v>90</v>
      </c>
    </row>
    <row r="210" spans="1:64" x14ac:dyDescent="0.3">
      <c r="A210" t="s">
        <v>1312</v>
      </c>
      <c r="B210" s="1" t="s">
        <v>1312</v>
      </c>
      <c r="C210" s="9" t="s">
        <v>1313</v>
      </c>
      <c r="D210" s="1" t="s">
        <v>44</v>
      </c>
      <c r="E210" s="1" t="s">
        <v>88</v>
      </c>
      <c r="F210" s="10" t="s">
        <v>848</v>
      </c>
      <c r="G210" s="1">
        <v>0</v>
      </c>
      <c r="H210" s="1">
        <v>0.02</v>
      </c>
      <c r="I210" s="8">
        <v>44936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130848</v>
      </c>
      <c r="AJ210" s="2">
        <v>33819</v>
      </c>
      <c r="AK210" s="2">
        <v>2336.5700000000002</v>
      </c>
      <c r="AL210" s="2">
        <v>603.91</v>
      </c>
      <c r="AM210" s="5">
        <v>1470.24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4940.01</v>
      </c>
      <c r="AT210" s="12">
        <v>4410.72</v>
      </c>
      <c r="AU210" s="2">
        <v>88.21</v>
      </c>
      <c r="AV210" s="5">
        <v>0</v>
      </c>
      <c r="AX210" s="2">
        <v>130848</v>
      </c>
      <c r="AY210" s="2">
        <v>33819</v>
      </c>
      <c r="AZ210" s="2">
        <v>2336.5700000000002</v>
      </c>
      <c r="BA210" s="2">
        <v>603.91</v>
      </c>
      <c r="BB210" s="5">
        <v>1470.24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4940.01</v>
      </c>
      <c r="BI210" s="12">
        <v>4410.72</v>
      </c>
      <c r="BJ210" s="2">
        <v>88.21</v>
      </c>
      <c r="BK210" s="5">
        <v>0</v>
      </c>
      <c r="BL210" s="1" t="s">
        <v>90</v>
      </c>
    </row>
    <row r="211" spans="1:64" x14ac:dyDescent="0.3">
      <c r="A211" t="s">
        <v>1314</v>
      </c>
      <c r="B211" s="1" t="s">
        <v>1314</v>
      </c>
      <c r="C211" s="9" t="s">
        <v>1315</v>
      </c>
      <c r="D211" s="1" t="s">
        <v>44</v>
      </c>
      <c r="E211" s="1" t="s">
        <v>88</v>
      </c>
      <c r="F211" s="10" t="s">
        <v>848</v>
      </c>
      <c r="G211" s="1">
        <v>0</v>
      </c>
      <c r="H211" s="1">
        <v>0.02</v>
      </c>
      <c r="I211" s="8">
        <v>44844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145196</v>
      </c>
      <c r="AJ211" s="2">
        <v>28700</v>
      </c>
      <c r="AK211" s="2">
        <v>2592.79</v>
      </c>
      <c r="AL211" s="2">
        <v>512.5</v>
      </c>
      <c r="AM211" s="5">
        <v>1552.64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5216.88</v>
      </c>
      <c r="AT211" s="12">
        <v>4657.93</v>
      </c>
      <c r="AU211" s="2">
        <v>93.16</v>
      </c>
      <c r="AV211" s="5">
        <v>0</v>
      </c>
      <c r="AX211" s="2">
        <v>145196</v>
      </c>
      <c r="AY211" s="2">
        <v>28700</v>
      </c>
      <c r="AZ211" s="2">
        <v>2592.79</v>
      </c>
      <c r="BA211" s="2">
        <v>512.5</v>
      </c>
      <c r="BB211" s="5">
        <v>1552.64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5216.88</v>
      </c>
      <c r="BI211" s="12">
        <v>4657.93</v>
      </c>
      <c r="BJ211" s="2">
        <v>93.16</v>
      </c>
      <c r="BK211" s="5">
        <v>0</v>
      </c>
      <c r="BL211" s="1" t="s">
        <v>90</v>
      </c>
    </row>
    <row r="212" spans="1:64" x14ac:dyDescent="0.3">
      <c r="A212" t="s">
        <v>93</v>
      </c>
      <c r="B212" s="1" t="s">
        <v>93</v>
      </c>
      <c r="C212" s="9" t="s">
        <v>94</v>
      </c>
      <c r="D212" s="1" t="s">
        <v>95</v>
      </c>
      <c r="E212" s="1" t="s">
        <v>88</v>
      </c>
      <c r="F212" s="10" t="s">
        <v>96</v>
      </c>
      <c r="G212" s="1">
        <v>0.05</v>
      </c>
      <c r="H212" s="1">
        <v>0</v>
      </c>
      <c r="I212" s="8">
        <v>45703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843916</v>
      </c>
      <c r="AJ212" s="2">
        <v>114608</v>
      </c>
      <c r="AK212" s="2">
        <v>0</v>
      </c>
      <c r="AL212" s="2">
        <v>0</v>
      </c>
      <c r="AM212" s="5">
        <v>8558.25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9585.24</v>
      </c>
      <c r="AT212" s="12">
        <v>8558.25</v>
      </c>
      <c r="AU212" s="2">
        <v>0</v>
      </c>
      <c r="AV212" s="5">
        <v>4792.62</v>
      </c>
      <c r="AX212" s="2">
        <v>843916</v>
      </c>
      <c r="AY212" s="2">
        <v>114608</v>
      </c>
      <c r="AZ212" s="2">
        <v>0</v>
      </c>
      <c r="BA212" s="2">
        <v>0</v>
      </c>
      <c r="BB212" s="5">
        <v>8558.25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9585.24</v>
      </c>
      <c r="BI212" s="12">
        <v>8558.25</v>
      </c>
      <c r="BJ212" s="2">
        <v>0</v>
      </c>
      <c r="BK212" s="5">
        <v>4792.62</v>
      </c>
      <c r="BL212" s="1" t="s">
        <v>90</v>
      </c>
    </row>
    <row r="213" spans="1:64" x14ac:dyDescent="0.3">
      <c r="A213" t="s">
        <v>126</v>
      </c>
      <c r="B213" s="1" t="s">
        <v>126</v>
      </c>
      <c r="C213" s="9" t="s">
        <v>127</v>
      </c>
      <c r="D213" s="1" t="s">
        <v>95</v>
      </c>
      <c r="E213" s="1" t="s">
        <v>128</v>
      </c>
      <c r="F213" s="10" t="s">
        <v>129</v>
      </c>
      <c r="G213" s="1">
        <v>3.5000000000000003E-2</v>
      </c>
      <c r="H213" s="1">
        <v>0.05</v>
      </c>
      <c r="I213" s="8">
        <v>45543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772264</v>
      </c>
      <c r="AJ213" s="2">
        <v>69054</v>
      </c>
      <c r="AK213" s="2">
        <v>34476.07</v>
      </c>
      <c r="AL213" s="2">
        <v>3082.77</v>
      </c>
      <c r="AM213" s="5">
        <v>7511.76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50479.07</v>
      </c>
      <c r="AT213" s="12">
        <v>45070.6</v>
      </c>
      <c r="AU213" s="2">
        <v>0</v>
      </c>
      <c r="AV213" s="5">
        <v>4206.59</v>
      </c>
      <c r="AX213" s="2">
        <v>772264</v>
      </c>
      <c r="AY213" s="2">
        <v>69054</v>
      </c>
      <c r="AZ213" s="2">
        <v>34476.07</v>
      </c>
      <c r="BA213" s="2">
        <v>3082.77</v>
      </c>
      <c r="BB213" s="5">
        <v>7511.76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50479.07</v>
      </c>
      <c r="BI213" s="12">
        <v>45070.6</v>
      </c>
      <c r="BJ213" s="2">
        <v>0</v>
      </c>
      <c r="BK213" s="5">
        <v>4206.59</v>
      </c>
      <c r="BL213" s="1" t="s">
        <v>130</v>
      </c>
    </row>
    <row r="214" spans="1:64" x14ac:dyDescent="0.3">
      <c r="A214" t="s">
        <v>133</v>
      </c>
      <c r="B214" s="1" t="s">
        <v>133</v>
      </c>
      <c r="C214" s="9" t="s">
        <v>134</v>
      </c>
      <c r="D214" s="1" t="s">
        <v>95</v>
      </c>
      <c r="E214" s="1" t="s">
        <v>135</v>
      </c>
      <c r="F214" s="10" t="s">
        <v>136</v>
      </c>
      <c r="G214" s="1">
        <v>3.5000000000000003E-2</v>
      </c>
      <c r="H214" s="1">
        <v>0.05</v>
      </c>
      <c r="I214" s="8">
        <v>45608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1848219</v>
      </c>
      <c r="AJ214" s="2">
        <v>324629</v>
      </c>
      <c r="AK214" s="2">
        <v>82509.76999999999</v>
      </c>
      <c r="AL214" s="2">
        <v>14492.369999999999</v>
      </c>
      <c r="AM214" s="5">
        <v>19400.43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130370.88</v>
      </c>
      <c r="AT214" s="12">
        <v>116402.57</v>
      </c>
      <c r="AU214" s="2">
        <v>0</v>
      </c>
      <c r="AV214" s="5">
        <v>10864.24</v>
      </c>
      <c r="AX214" s="2">
        <v>1848219</v>
      </c>
      <c r="AY214" s="2">
        <v>324629</v>
      </c>
      <c r="AZ214" s="2">
        <v>82509.76999999999</v>
      </c>
      <c r="BA214" s="2">
        <v>14492.369999999999</v>
      </c>
      <c r="BB214" s="5">
        <v>19400.43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130370.88</v>
      </c>
      <c r="BI214" s="12">
        <v>116402.57</v>
      </c>
      <c r="BJ214" s="2">
        <v>0</v>
      </c>
      <c r="BK214" s="5">
        <v>10864.24</v>
      </c>
      <c r="BL214" s="1" t="s">
        <v>137</v>
      </c>
    </row>
    <row r="215" spans="1:64" x14ac:dyDescent="0.3">
      <c r="A215" t="s">
        <v>145</v>
      </c>
      <c r="B215" s="1" t="s">
        <v>145</v>
      </c>
      <c r="C215" s="9" t="s">
        <v>146</v>
      </c>
      <c r="D215" s="1" t="s">
        <v>95</v>
      </c>
      <c r="E215" s="1" t="s">
        <v>128</v>
      </c>
      <c r="F215" s="10" t="s">
        <v>147</v>
      </c>
      <c r="G215" s="1">
        <v>3.5000000000000003E-2</v>
      </c>
      <c r="H215" s="1">
        <v>0.05</v>
      </c>
      <c r="I215" s="8">
        <v>45467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913107</v>
      </c>
      <c r="AJ215" s="2">
        <v>69751</v>
      </c>
      <c r="AK215" s="2">
        <v>40763.71</v>
      </c>
      <c r="AL215" s="2">
        <v>3113.8799999999997</v>
      </c>
      <c r="AM215" s="5">
        <v>8775.5299999999988</v>
      </c>
      <c r="AN215" s="12">
        <v>208946.57</v>
      </c>
      <c r="AO215" s="2">
        <v>11561.830000000002</v>
      </c>
      <c r="AP215" s="2">
        <v>9327.99</v>
      </c>
      <c r="AQ215" s="2">
        <v>516.16</v>
      </c>
      <c r="AR215" s="5">
        <v>1968.8200000000002</v>
      </c>
      <c r="AS215" s="2">
        <v>72202.02</v>
      </c>
      <c r="AT215" s="12">
        <v>64466.090000000004</v>
      </c>
      <c r="AU215" s="2">
        <v>0</v>
      </c>
      <c r="AV215" s="5">
        <v>6016.83</v>
      </c>
      <c r="AX215" s="2">
        <v>913107</v>
      </c>
      <c r="AY215" s="2">
        <v>69751</v>
      </c>
      <c r="AZ215" s="2">
        <v>40763.71</v>
      </c>
      <c r="BA215" s="2">
        <v>3113.8799999999997</v>
      </c>
      <c r="BB215" s="5">
        <v>8775.5299999999988</v>
      </c>
      <c r="BC215" s="12">
        <v>208946.57</v>
      </c>
      <c r="BD215" s="2">
        <v>11561.830000000002</v>
      </c>
      <c r="BE215" s="2">
        <v>9327.99</v>
      </c>
      <c r="BF215" s="2">
        <v>516.16</v>
      </c>
      <c r="BG215" s="5">
        <v>1968.8200000000002</v>
      </c>
      <c r="BH215" s="2">
        <v>72202.02</v>
      </c>
      <c r="BI215" s="12">
        <v>64466.090000000004</v>
      </c>
      <c r="BJ215" s="2">
        <v>0</v>
      </c>
      <c r="BK215" s="5">
        <v>6016.83</v>
      </c>
      <c r="BL215" s="1" t="s">
        <v>130</v>
      </c>
    </row>
    <row r="216" spans="1:64" x14ac:dyDescent="0.3">
      <c r="A216" t="s">
        <v>191</v>
      </c>
      <c r="B216" s="1" t="s">
        <v>191</v>
      </c>
      <c r="C216" s="9" t="s">
        <v>192</v>
      </c>
      <c r="D216" s="1" t="s">
        <v>95</v>
      </c>
      <c r="E216" s="1" t="s">
        <v>135</v>
      </c>
      <c r="F216" s="10" t="s">
        <v>193</v>
      </c>
      <c r="G216" s="1">
        <v>3.5000000000000003E-2</v>
      </c>
      <c r="H216" s="1">
        <v>0.05</v>
      </c>
      <c r="I216" s="8">
        <v>44092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4287626</v>
      </c>
      <c r="AJ216" s="2">
        <v>269719</v>
      </c>
      <c r="AK216" s="2">
        <v>191411.87</v>
      </c>
      <c r="AL216" s="2">
        <v>12041.029999999999</v>
      </c>
      <c r="AM216" s="5">
        <v>40690.590000000004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273440.71000000002</v>
      </c>
      <c r="AT216" s="12">
        <v>244143.49</v>
      </c>
      <c r="AU216" s="2">
        <v>0</v>
      </c>
      <c r="AV216" s="5">
        <v>22786.73</v>
      </c>
      <c r="AX216" s="2">
        <v>4287626</v>
      </c>
      <c r="AY216" s="2">
        <v>269719</v>
      </c>
      <c r="AZ216" s="2">
        <v>191411.87</v>
      </c>
      <c r="BA216" s="2">
        <v>12041.029999999999</v>
      </c>
      <c r="BB216" s="5">
        <v>40690.590000000004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273440.71000000002</v>
      </c>
      <c r="BI216" s="12">
        <v>244143.49</v>
      </c>
      <c r="BJ216" s="2">
        <v>0</v>
      </c>
      <c r="BK216" s="5">
        <v>22786.73</v>
      </c>
      <c r="BL216" s="1" t="s">
        <v>137</v>
      </c>
    </row>
    <row r="217" spans="1:64" x14ac:dyDescent="0.3">
      <c r="A217" t="s">
        <v>216</v>
      </c>
      <c r="B217" s="1" t="s">
        <v>216</v>
      </c>
      <c r="C217" s="9" t="s">
        <v>217</v>
      </c>
      <c r="D217" s="1" t="s">
        <v>95</v>
      </c>
      <c r="E217" s="1" t="s">
        <v>88</v>
      </c>
      <c r="F217" s="10" t="s">
        <v>218</v>
      </c>
      <c r="G217" s="1">
        <v>0.04</v>
      </c>
      <c r="H217" s="1">
        <v>0.05</v>
      </c>
      <c r="I217" s="8">
        <v>44606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1528588</v>
      </c>
      <c r="AJ217" s="2">
        <v>237791</v>
      </c>
      <c r="AK217" s="2">
        <v>68240.539999999994</v>
      </c>
      <c r="AL217" s="2">
        <v>10615.67</v>
      </c>
      <c r="AM217" s="5">
        <v>15771.24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105982.74</v>
      </c>
      <c r="AT217" s="12">
        <v>94627.45</v>
      </c>
      <c r="AU217" s="2">
        <v>0</v>
      </c>
      <c r="AV217" s="5">
        <v>8831.9</v>
      </c>
      <c r="AX217" s="2">
        <v>1528588</v>
      </c>
      <c r="AY217" s="2">
        <v>237791</v>
      </c>
      <c r="AZ217" s="2">
        <v>68240.539999999994</v>
      </c>
      <c r="BA217" s="2">
        <v>10615.67</v>
      </c>
      <c r="BB217" s="5">
        <v>15771.24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105982.74</v>
      </c>
      <c r="BI217" s="12">
        <v>94627.45</v>
      </c>
      <c r="BJ217" s="2">
        <v>0</v>
      </c>
      <c r="BK217" s="5">
        <v>8831.9</v>
      </c>
      <c r="BL217" s="1" t="s">
        <v>90</v>
      </c>
    </row>
    <row r="218" spans="1:64" x14ac:dyDescent="0.3">
      <c r="A218" t="s">
        <v>237</v>
      </c>
      <c r="B218" s="1" t="s">
        <v>237</v>
      </c>
      <c r="C218" s="9" t="s">
        <v>238</v>
      </c>
      <c r="D218" s="1" t="s">
        <v>95</v>
      </c>
      <c r="E218" s="1" t="s">
        <v>135</v>
      </c>
      <c r="F218" s="10" t="s">
        <v>193</v>
      </c>
      <c r="G218" s="1">
        <v>3.5000000000000003E-2</v>
      </c>
      <c r="H218" s="1">
        <v>0.05</v>
      </c>
      <c r="I218" s="8">
        <v>45496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1117061</v>
      </c>
      <c r="AJ218" s="2">
        <v>229355</v>
      </c>
      <c r="AK218" s="2">
        <v>49868.79</v>
      </c>
      <c r="AL218" s="2">
        <v>10239.06</v>
      </c>
      <c r="AM218" s="5">
        <v>12021.57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80784.95</v>
      </c>
      <c r="AT218" s="12">
        <v>72129.42</v>
      </c>
      <c r="AU218" s="2">
        <v>0</v>
      </c>
      <c r="AV218" s="5">
        <v>6732.08</v>
      </c>
      <c r="AX218" s="2">
        <v>1117061</v>
      </c>
      <c r="AY218" s="2">
        <v>229355</v>
      </c>
      <c r="AZ218" s="2">
        <v>49868.79</v>
      </c>
      <c r="BA218" s="2">
        <v>10239.06</v>
      </c>
      <c r="BB218" s="5">
        <v>12021.57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80784.95</v>
      </c>
      <c r="BI218" s="12">
        <v>72129.42</v>
      </c>
      <c r="BJ218" s="2">
        <v>0</v>
      </c>
      <c r="BK218" s="5">
        <v>6732.08</v>
      </c>
      <c r="BL218" s="1" t="s">
        <v>137</v>
      </c>
    </row>
    <row r="219" spans="1:64" x14ac:dyDescent="0.3">
      <c r="A219" t="s">
        <v>249</v>
      </c>
      <c r="B219" s="1" t="s">
        <v>249</v>
      </c>
      <c r="C219" s="9" t="s">
        <v>250</v>
      </c>
      <c r="D219" s="1" t="s">
        <v>95</v>
      </c>
      <c r="E219" s="1" t="s">
        <v>88</v>
      </c>
      <c r="F219" s="10" t="s">
        <v>218</v>
      </c>
      <c r="G219" s="1">
        <v>3.5000000000000003E-2</v>
      </c>
      <c r="H219" s="1">
        <v>0.05</v>
      </c>
      <c r="I219" s="8">
        <v>45657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2153178</v>
      </c>
      <c r="AJ219" s="2">
        <v>475846</v>
      </c>
      <c r="AK219" s="2">
        <v>96124.02</v>
      </c>
      <c r="AL219" s="2">
        <v>21243.13</v>
      </c>
      <c r="AM219" s="5">
        <v>23473.43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157741.45000000001</v>
      </c>
      <c r="AT219" s="12">
        <v>140840.58000000002</v>
      </c>
      <c r="AU219" s="2">
        <v>0</v>
      </c>
      <c r="AV219" s="5">
        <v>13145.119999999999</v>
      </c>
      <c r="AX219" s="2">
        <v>2153178</v>
      </c>
      <c r="AY219" s="2">
        <v>475846</v>
      </c>
      <c r="AZ219" s="2">
        <v>96124.02</v>
      </c>
      <c r="BA219" s="2">
        <v>21243.13</v>
      </c>
      <c r="BB219" s="5">
        <v>23473.43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157741.45000000001</v>
      </c>
      <c r="BI219" s="12">
        <v>140840.58000000002</v>
      </c>
      <c r="BJ219" s="2">
        <v>0</v>
      </c>
      <c r="BK219" s="5">
        <v>13145.119999999999</v>
      </c>
      <c r="BL219" s="1" t="s">
        <v>90</v>
      </c>
    </row>
    <row r="220" spans="1:64" x14ac:dyDescent="0.3">
      <c r="A220" t="s">
        <v>255</v>
      </c>
      <c r="B220" s="1" t="s">
        <v>255</v>
      </c>
      <c r="C220" s="9" t="s">
        <v>256</v>
      </c>
      <c r="D220" s="1" t="s">
        <v>95</v>
      </c>
      <c r="E220" s="1" t="s">
        <v>135</v>
      </c>
      <c r="F220" s="10" t="s">
        <v>136</v>
      </c>
      <c r="G220" s="1">
        <v>3.5000000000000003E-2</v>
      </c>
      <c r="H220" s="1">
        <v>0.05</v>
      </c>
      <c r="I220" s="8">
        <v>45608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2115690.08</v>
      </c>
      <c r="AJ220" s="2">
        <v>477794</v>
      </c>
      <c r="AK220" s="2">
        <v>94450.450000000012</v>
      </c>
      <c r="AL220" s="2">
        <v>21330.1</v>
      </c>
      <c r="AM220" s="5">
        <v>23156.12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155609.07</v>
      </c>
      <c r="AT220" s="12">
        <v>138936.67000000001</v>
      </c>
      <c r="AU220" s="2">
        <v>0</v>
      </c>
      <c r="AV220" s="5">
        <v>12967.43</v>
      </c>
      <c r="AX220" s="2">
        <v>2115690.08</v>
      </c>
      <c r="AY220" s="2">
        <v>477794</v>
      </c>
      <c r="AZ220" s="2">
        <v>94450.450000000012</v>
      </c>
      <c r="BA220" s="2">
        <v>21330.1</v>
      </c>
      <c r="BB220" s="5">
        <v>23156.12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155609.07</v>
      </c>
      <c r="BI220" s="12">
        <v>138936.67000000001</v>
      </c>
      <c r="BJ220" s="2">
        <v>0</v>
      </c>
      <c r="BK220" s="5">
        <v>12967.43</v>
      </c>
      <c r="BL220" s="1" t="s">
        <v>137</v>
      </c>
    </row>
    <row r="221" spans="1:64" x14ac:dyDescent="0.3">
      <c r="A221" t="s">
        <v>278</v>
      </c>
      <c r="B221" s="1" t="s">
        <v>278</v>
      </c>
      <c r="C221" s="9" t="s">
        <v>279</v>
      </c>
      <c r="D221" s="1" t="s">
        <v>95</v>
      </c>
      <c r="E221" s="1" t="s">
        <v>88</v>
      </c>
      <c r="F221" s="10" t="s">
        <v>218</v>
      </c>
      <c r="G221" s="1">
        <v>3.5000000000000003E-2</v>
      </c>
      <c r="H221" s="1">
        <v>0.05</v>
      </c>
      <c r="I221" s="8">
        <v>44262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300427</v>
      </c>
      <c r="AJ221" s="2">
        <v>76442</v>
      </c>
      <c r="AK221" s="2">
        <v>13411.92</v>
      </c>
      <c r="AL221" s="2">
        <v>3412.59</v>
      </c>
      <c r="AM221" s="5">
        <v>3364.9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22612.14</v>
      </c>
      <c r="AT221" s="12">
        <v>20189.410000000003</v>
      </c>
      <c r="AU221" s="2">
        <v>0</v>
      </c>
      <c r="AV221" s="5">
        <v>1884.34</v>
      </c>
      <c r="AX221" s="2">
        <v>300427</v>
      </c>
      <c r="AY221" s="2">
        <v>76442</v>
      </c>
      <c r="AZ221" s="2">
        <v>13411.92</v>
      </c>
      <c r="BA221" s="2">
        <v>3412.59</v>
      </c>
      <c r="BB221" s="5">
        <v>3364.9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22612.14</v>
      </c>
      <c r="BI221" s="12">
        <v>20189.410000000003</v>
      </c>
      <c r="BJ221" s="2">
        <v>0</v>
      </c>
      <c r="BK221" s="5">
        <v>1884.34</v>
      </c>
      <c r="BL221" s="1" t="s">
        <v>90</v>
      </c>
    </row>
    <row r="222" spans="1:64" x14ac:dyDescent="0.3">
      <c r="A222" t="s">
        <v>282</v>
      </c>
      <c r="B222" s="1" t="s">
        <v>282</v>
      </c>
      <c r="C222" s="9" t="s">
        <v>283</v>
      </c>
      <c r="D222" s="1" t="s">
        <v>95</v>
      </c>
      <c r="E222" s="1" t="s">
        <v>135</v>
      </c>
      <c r="F222" s="10" t="s">
        <v>193</v>
      </c>
      <c r="G222" s="1">
        <v>3.5000000000000003E-2</v>
      </c>
      <c r="H222" s="1">
        <v>0.05</v>
      </c>
      <c r="I222" s="8">
        <v>45496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1725696</v>
      </c>
      <c r="AJ222" s="2">
        <v>844650</v>
      </c>
      <c r="AK222" s="2">
        <v>77040</v>
      </c>
      <c r="AL222" s="2">
        <v>37707.590000000004</v>
      </c>
      <c r="AM222" s="5">
        <v>22949.52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154220.76</v>
      </c>
      <c r="AT222" s="12">
        <v>137697.11000000002</v>
      </c>
      <c r="AU222" s="2">
        <v>0</v>
      </c>
      <c r="AV222" s="5">
        <v>12851.73</v>
      </c>
      <c r="AX222" s="2">
        <v>1725696</v>
      </c>
      <c r="AY222" s="2">
        <v>844650</v>
      </c>
      <c r="AZ222" s="2">
        <v>77040</v>
      </c>
      <c r="BA222" s="2">
        <v>37707.590000000004</v>
      </c>
      <c r="BB222" s="5">
        <v>22949.52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154220.76</v>
      </c>
      <c r="BI222" s="12">
        <v>137697.11000000002</v>
      </c>
      <c r="BJ222" s="2">
        <v>0</v>
      </c>
      <c r="BK222" s="5">
        <v>12851.73</v>
      </c>
      <c r="BL222" s="1" t="s">
        <v>137</v>
      </c>
    </row>
    <row r="223" spans="1:64" x14ac:dyDescent="0.3">
      <c r="A223" t="s">
        <v>298</v>
      </c>
      <c r="B223" s="1" t="s">
        <v>298</v>
      </c>
      <c r="C223" s="9" t="s">
        <v>299</v>
      </c>
      <c r="D223" s="1" t="s">
        <v>95</v>
      </c>
      <c r="E223" s="1" t="s">
        <v>88</v>
      </c>
      <c r="F223" s="10" t="s">
        <v>218</v>
      </c>
      <c r="G223" s="1">
        <v>3.5000000000000003E-2</v>
      </c>
      <c r="H223" s="1">
        <v>0.05</v>
      </c>
      <c r="I223" s="8">
        <v>44000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441164</v>
      </c>
      <c r="AJ223" s="2">
        <v>167560</v>
      </c>
      <c r="AK223" s="2">
        <v>19694.82</v>
      </c>
      <c r="AL223" s="2">
        <v>7480.36</v>
      </c>
      <c r="AM223" s="5">
        <v>5435.04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36523.449999999997</v>
      </c>
      <c r="AT223" s="12">
        <v>32610.22</v>
      </c>
      <c r="AU223" s="2">
        <v>0</v>
      </c>
      <c r="AV223" s="5">
        <v>3043.62</v>
      </c>
      <c r="AX223" s="2">
        <v>441164</v>
      </c>
      <c r="AY223" s="2">
        <v>167560</v>
      </c>
      <c r="AZ223" s="2">
        <v>19694.82</v>
      </c>
      <c r="BA223" s="2">
        <v>7480.36</v>
      </c>
      <c r="BB223" s="5">
        <v>5435.04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36523.449999999997</v>
      </c>
      <c r="BI223" s="12">
        <v>32610.22</v>
      </c>
      <c r="BJ223" s="2">
        <v>0</v>
      </c>
      <c r="BK223" s="5">
        <v>3043.62</v>
      </c>
      <c r="BL223" s="1" t="s">
        <v>90</v>
      </c>
    </row>
    <row r="224" spans="1:64" x14ac:dyDescent="0.3">
      <c r="A224" t="s">
        <v>300</v>
      </c>
      <c r="B224" s="1" t="s">
        <v>300</v>
      </c>
      <c r="C224" s="9" t="s">
        <v>301</v>
      </c>
      <c r="D224" s="1" t="s">
        <v>95</v>
      </c>
      <c r="E224" s="1" t="s">
        <v>135</v>
      </c>
      <c r="F224" s="10" t="s">
        <v>136</v>
      </c>
      <c r="G224" s="1">
        <v>3.5000000000000003E-2</v>
      </c>
      <c r="H224" s="1">
        <v>0.05</v>
      </c>
      <c r="I224" s="8">
        <v>44019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1830668</v>
      </c>
      <c r="AJ224" s="2">
        <v>186567</v>
      </c>
      <c r="AK224" s="2">
        <v>81726.25</v>
      </c>
      <c r="AL224" s="2">
        <v>8328.8799999999992</v>
      </c>
      <c r="AM224" s="5">
        <v>18011.03</v>
      </c>
      <c r="AN224" s="12">
        <v>670479.6</v>
      </c>
      <c r="AO224" s="2">
        <v>82522.8</v>
      </c>
      <c r="AP224" s="2">
        <v>22424.71</v>
      </c>
      <c r="AQ224" s="2">
        <v>3684.05</v>
      </c>
      <c r="AR224" s="5">
        <v>6723.2300000000005</v>
      </c>
      <c r="AS224" s="2">
        <v>157805.93</v>
      </c>
      <c r="AT224" s="12">
        <v>140898.15</v>
      </c>
      <c r="AU224" s="2">
        <v>0</v>
      </c>
      <c r="AV224" s="5">
        <v>13851.2</v>
      </c>
      <c r="AX224" s="2">
        <v>1830668</v>
      </c>
      <c r="AY224" s="2">
        <v>186567</v>
      </c>
      <c r="AZ224" s="2">
        <v>81726.25</v>
      </c>
      <c r="BA224" s="2">
        <v>8328.8799999999992</v>
      </c>
      <c r="BB224" s="5">
        <v>18011.03</v>
      </c>
      <c r="BC224" s="12">
        <v>670479.6</v>
      </c>
      <c r="BD224" s="2">
        <v>82522.8</v>
      </c>
      <c r="BE224" s="2">
        <v>22424.71</v>
      </c>
      <c r="BF224" s="2">
        <v>3684.05</v>
      </c>
      <c r="BG224" s="5">
        <v>6723.2300000000005</v>
      </c>
      <c r="BH224" s="2">
        <v>157805.93</v>
      </c>
      <c r="BI224" s="12">
        <v>140898.15</v>
      </c>
      <c r="BJ224" s="2">
        <v>0</v>
      </c>
      <c r="BK224" s="5">
        <v>13851.2</v>
      </c>
      <c r="BL224" s="1" t="s">
        <v>302</v>
      </c>
    </row>
    <row r="225" spans="1:64" x14ac:dyDescent="0.3">
      <c r="A225" t="s">
        <v>307</v>
      </c>
      <c r="B225" s="1" t="s">
        <v>307</v>
      </c>
      <c r="C225" s="9" t="s">
        <v>308</v>
      </c>
      <c r="D225" s="1" t="s">
        <v>95</v>
      </c>
      <c r="E225" s="1" t="s">
        <v>128</v>
      </c>
      <c r="F225" s="10" t="s">
        <v>309</v>
      </c>
      <c r="G225" s="1">
        <v>3.5000000000000003E-2</v>
      </c>
      <c r="H225" s="1">
        <v>0.05</v>
      </c>
      <c r="I225" s="8">
        <v>44040</v>
      </c>
      <c r="J225" s="6">
        <v>314819</v>
      </c>
      <c r="K225" s="6">
        <v>35412</v>
      </c>
      <c r="L225" s="6">
        <v>14054.409999999998</v>
      </c>
      <c r="M225" s="6">
        <v>1580.8900000000006</v>
      </c>
      <c r="N225" s="7">
        <v>3127.0699999999993</v>
      </c>
      <c r="O225" s="6">
        <v>-344494.08000000002</v>
      </c>
      <c r="P225" s="6">
        <v>-17644.2</v>
      </c>
      <c r="Q225" s="6">
        <v>-15379.199999999999</v>
      </c>
      <c r="R225" s="6">
        <v>-787.69</v>
      </c>
      <c r="S225" s="7">
        <v>-3233.38</v>
      </c>
      <c r="T225" s="11">
        <v>-714.45</v>
      </c>
      <c r="U225" s="6">
        <v>-637.89999999999782</v>
      </c>
      <c r="V225" s="6">
        <v>0</v>
      </c>
      <c r="W225" s="6">
        <v>-59.539999999999509</v>
      </c>
      <c r="X225" s="46">
        <v>45845</v>
      </c>
      <c r="Y225" s="1">
        <v>25016274</v>
      </c>
      <c r="Z225" s="1">
        <v>25016275</v>
      </c>
      <c r="AI225" s="2">
        <v>1347935</v>
      </c>
      <c r="AJ225" s="2">
        <v>147183</v>
      </c>
      <c r="AK225" s="2">
        <v>60175.66</v>
      </c>
      <c r="AL225" s="2">
        <v>6570.67</v>
      </c>
      <c r="AM225" s="5">
        <v>13349.27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89707.07</v>
      </c>
      <c r="AT225" s="12">
        <v>80095.600000000006</v>
      </c>
      <c r="AU225" s="2">
        <v>0</v>
      </c>
      <c r="AV225" s="5">
        <v>7475.59</v>
      </c>
      <c r="AX225" s="2">
        <v>1033116</v>
      </c>
      <c r="AY225" s="2">
        <v>111771</v>
      </c>
      <c r="AZ225" s="2">
        <v>46121.25</v>
      </c>
      <c r="BA225" s="2">
        <v>4989.78</v>
      </c>
      <c r="BB225" s="5">
        <v>10222.200000000001</v>
      </c>
      <c r="BC225" s="12">
        <v>344494.08000000002</v>
      </c>
      <c r="BD225" s="2">
        <v>17644.2</v>
      </c>
      <c r="BE225" s="2">
        <v>15379.199999999999</v>
      </c>
      <c r="BF225" s="2">
        <v>787.69</v>
      </c>
      <c r="BG225" s="5">
        <v>3233.38</v>
      </c>
      <c r="BH225" s="2">
        <v>90421.52</v>
      </c>
      <c r="BI225" s="12">
        <v>80733.5</v>
      </c>
      <c r="BJ225" s="2">
        <v>0</v>
      </c>
      <c r="BK225" s="5">
        <v>7535.1299999999992</v>
      </c>
      <c r="BL225" s="1" t="s">
        <v>130</v>
      </c>
    </row>
    <row r="226" spans="1:64" x14ac:dyDescent="0.3">
      <c r="A226" t="s">
        <v>323</v>
      </c>
      <c r="B226" s="1" t="s">
        <v>323</v>
      </c>
      <c r="C226" s="9" t="s">
        <v>324</v>
      </c>
      <c r="D226" s="1" t="s">
        <v>95</v>
      </c>
      <c r="E226" s="1" t="s">
        <v>128</v>
      </c>
      <c r="F226" s="10" t="s">
        <v>325</v>
      </c>
      <c r="G226" s="1">
        <v>3.5000000000000003E-2</v>
      </c>
      <c r="H226" s="1">
        <v>0.05</v>
      </c>
      <c r="I226" s="8">
        <v>44424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2422911</v>
      </c>
      <c r="AJ226" s="2">
        <v>159918</v>
      </c>
      <c r="AK226" s="2">
        <v>108165.67</v>
      </c>
      <c r="AL226" s="2">
        <v>7139.2</v>
      </c>
      <c r="AM226" s="5">
        <v>23060.97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154969.74</v>
      </c>
      <c r="AT226" s="12">
        <v>138365.84</v>
      </c>
      <c r="AU226" s="2">
        <v>0</v>
      </c>
      <c r="AV226" s="5">
        <v>12914.14</v>
      </c>
      <c r="AX226" s="2">
        <v>2422911</v>
      </c>
      <c r="AY226" s="2">
        <v>159918</v>
      </c>
      <c r="AZ226" s="2">
        <v>108165.67</v>
      </c>
      <c r="BA226" s="2">
        <v>7139.2</v>
      </c>
      <c r="BB226" s="5">
        <v>23060.97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154969.74</v>
      </c>
      <c r="BI226" s="12">
        <v>138365.84</v>
      </c>
      <c r="BJ226" s="2">
        <v>0</v>
      </c>
      <c r="BK226" s="5">
        <v>12914.14</v>
      </c>
      <c r="BL226" s="1" t="s">
        <v>326</v>
      </c>
    </row>
    <row r="227" spans="1:64" x14ac:dyDescent="0.3">
      <c r="A227" t="s">
        <v>342</v>
      </c>
      <c r="B227" s="1" t="s">
        <v>342</v>
      </c>
      <c r="C227" s="9" t="s">
        <v>343</v>
      </c>
      <c r="D227" s="1" t="s">
        <v>95</v>
      </c>
      <c r="E227" s="1" t="s">
        <v>128</v>
      </c>
      <c r="F227" s="10" t="s">
        <v>147</v>
      </c>
      <c r="G227" s="1">
        <v>0.04</v>
      </c>
      <c r="H227" s="1">
        <v>0.05</v>
      </c>
      <c r="I227" s="8">
        <v>44615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877538</v>
      </c>
      <c r="AJ227" s="2">
        <v>150793</v>
      </c>
      <c r="AK227" s="2">
        <v>39175.81</v>
      </c>
      <c r="AL227" s="2">
        <v>6731.83</v>
      </c>
      <c r="AM227" s="5">
        <v>9181.5300000000007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61699.87</v>
      </c>
      <c r="AT227" s="12">
        <v>55089.17</v>
      </c>
      <c r="AU227" s="2">
        <v>0</v>
      </c>
      <c r="AV227" s="5">
        <v>5141.6499999999996</v>
      </c>
      <c r="AX227" s="2">
        <v>877538</v>
      </c>
      <c r="AY227" s="2">
        <v>150793</v>
      </c>
      <c r="AZ227" s="2">
        <v>39175.81</v>
      </c>
      <c r="BA227" s="2">
        <v>6731.83</v>
      </c>
      <c r="BB227" s="5">
        <v>9181.5300000000007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61699.87</v>
      </c>
      <c r="BI227" s="12">
        <v>55089.17</v>
      </c>
      <c r="BJ227" s="2">
        <v>0</v>
      </c>
      <c r="BK227" s="5">
        <v>5141.6499999999996</v>
      </c>
      <c r="BL227" s="1" t="s">
        <v>130</v>
      </c>
    </row>
    <row r="228" spans="1:64" x14ac:dyDescent="0.3">
      <c r="A228" t="s">
        <v>346</v>
      </c>
      <c r="B228" s="1" t="s">
        <v>346</v>
      </c>
      <c r="C228" s="9" t="s">
        <v>347</v>
      </c>
      <c r="D228" s="1" t="s">
        <v>95</v>
      </c>
      <c r="E228" s="1" t="s">
        <v>135</v>
      </c>
      <c r="F228" s="10" t="s">
        <v>348</v>
      </c>
      <c r="G228" s="1">
        <v>0.04</v>
      </c>
      <c r="H228" s="1">
        <v>0.05</v>
      </c>
      <c r="I228" s="8">
        <v>44630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261336</v>
      </c>
      <c r="AJ228" s="2">
        <v>80322</v>
      </c>
      <c r="AK228" s="2">
        <v>11666.79</v>
      </c>
      <c r="AL228" s="2">
        <v>3585.81</v>
      </c>
      <c r="AM228" s="5">
        <v>3050.5099999999998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20499.48</v>
      </c>
      <c r="AT228" s="12">
        <v>18303.11</v>
      </c>
      <c r="AU228" s="2">
        <v>0</v>
      </c>
      <c r="AV228" s="5">
        <v>1708.29</v>
      </c>
      <c r="AX228" s="2">
        <v>261336</v>
      </c>
      <c r="AY228" s="2">
        <v>80322</v>
      </c>
      <c r="AZ228" s="2">
        <v>11666.79</v>
      </c>
      <c r="BA228" s="2">
        <v>3585.81</v>
      </c>
      <c r="BB228" s="5">
        <v>3050.5099999999998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20499.48</v>
      </c>
      <c r="BI228" s="12">
        <v>18303.11</v>
      </c>
      <c r="BJ228" s="2">
        <v>0</v>
      </c>
      <c r="BK228" s="5">
        <v>1708.29</v>
      </c>
      <c r="BL228" s="1" t="s">
        <v>137</v>
      </c>
    </row>
    <row r="229" spans="1:64" x14ac:dyDescent="0.3">
      <c r="A229" t="s">
        <v>353</v>
      </c>
      <c r="B229" s="1" t="s">
        <v>353</v>
      </c>
      <c r="C229" s="9" t="s">
        <v>354</v>
      </c>
      <c r="D229" s="1" t="s">
        <v>95</v>
      </c>
      <c r="E229" s="1" t="s">
        <v>128</v>
      </c>
      <c r="F229" s="10" t="s">
        <v>355</v>
      </c>
      <c r="G229" s="1">
        <v>0.04</v>
      </c>
      <c r="H229" s="1">
        <v>0.05</v>
      </c>
      <c r="I229" s="8">
        <v>44679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3067378</v>
      </c>
      <c r="AJ229" s="2">
        <v>158155</v>
      </c>
      <c r="AK229" s="2">
        <v>136936.51</v>
      </c>
      <c r="AL229" s="2">
        <v>7060.49</v>
      </c>
      <c r="AM229" s="5">
        <v>28799.399999999998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193531.97</v>
      </c>
      <c r="AT229" s="12">
        <v>172796.4</v>
      </c>
      <c r="AU229" s="2">
        <v>0</v>
      </c>
      <c r="AV229" s="5">
        <v>16127.67</v>
      </c>
      <c r="AX229" s="2">
        <v>3067378</v>
      </c>
      <c r="AY229" s="2">
        <v>158155</v>
      </c>
      <c r="AZ229" s="2">
        <v>136936.51</v>
      </c>
      <c r="BA229" s="2">
        <v>7060.49</v>
      </c>
      <c r="BB229" s="5">
        <v>28799.399999999998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193531.97</v>
      </c>
      <c r="BI229" s="12">
        <v>172796.4</v>
      </c>
      <c r="BJ229" s="2">
        <v>0</v>
      </c>
      <c r="BK229" s="5">
        <v>16127.67</v>
      </c>
      <c r="BL229" s="1" t="s">
        <v>130</v>
      </c>
    </row>
    <row r="230" spans="1:64" x14ac:dyDescent="0.3">
      <c r="A230" t="s">
        <v>360</v>
      </c>
      <c r="B230" s="1" t="s">
        <v>360</v>
      </c>
      <c r="C230" s="9" t="s">
        <v>361</v>
      </c>
      <c r="D230" s="1" t="s">
        <v>95</v>
      </c>
      <c r="E230" s="1" t="s">
        <v>128</v>
      </c>
      <c r="F230" s="10" t="s">
        <v>309</v>
      </c>
      <c r="G230" s="1">
        <v>0.04</v>
      </c>
      <c r="H230" s="1">
        <v>0.05</v>
      </c>
      <c r="I230" s="8">
        <v>44705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341517</v>
      </c>
      <c r="AJ230" s="2">
        <v>49658</v>
      </c>
      <c r="AK230" s="2">
        <v>15246.29</v>
      </c>
      <c r="AL230" s="2">
        <v>2216.88</v>
      </c>
      <c r="AM230" s="5">
        <v>3492.63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23470.5</v>
      </c>
      <c r="AT230" s="12">
        <v>20955.800000000003</v>
      </c>
      <c r="AU230" s="2">
        <v>0</v>
      </c>
      <c r="AV230" s="5">
        <v>1955.88</v>
      </c>
      <c r="AX230" s="2">
        <v>341517</v>
      </c>
      <c r="AY230" s="2">
        <v>49658</v>
      </c>
      <c r="AZ230" s="2">
        <v>15246.29</v>
      </c>
      <c r="BA230" s="2">
        <v>2216.88</v>
      </c>
      <c r="BB230" s="5">
        <v>3492.63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23470.5</v>
      </c>
      <c r="BI230" s="12">
        <v>20955.800000000003</v>
      </c>
      <c r="BJ230" s="2">
        <v>0</v>
      </c>
      <c r="BK230" s="5">
        <v>1955.88</v>
      </c>
      <c r="BL230" s="1" t="s">
        <v>130</v>
      </c>
    </row>
    <row r="231" spans="1:64" x14ac:dyDescent="0.3">
      <c r="A231" t="s">
        <v>362</v>
      </c>
      <c r="B231" s="1" t="s">
        <v>362</v>
      </c>
      <c r="C231" s="9" t="s">
        <v>363</v>
      </c>
      <c r="D231" s="1" t="s">
        <v>95</v>
      </c>
      <c r="E231" s="1" t="s">
        <v>128</v>
      </c>
      <c r="F231" s="10" t="s">
        <v>129</v>
      </c>
      <c r="G231" s="1">
        <v>0.04</v>
      </c>
      <c r="H231" s="1">
        <v>0.05</v>
      </c>
      <c r="I231" s="8">
        <v>44725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602209</v>
      </c>
      <c r="AJ231" s="2">
        <v>33262</v>
      </c>
      <c r="AK231" s="2">
        <v>26884.329999999998</v>
      </c>
      <c r="AL231" s="2">
        <v>1484.91</v>
      </c>
      <c r="AM231" s="5">
        <v>5673.85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38128.26</v>
      </c>
      <c r="AT231" s="12">
        <v>34043.089999999997</v>
      </c>
      <c r="AU231" s="2">
        <v>0</v>
      </c>
      <c r="AV231" s="5">
        <v>3177.35</v>
      </c>
      <c r="AX231" s="2">
        <v>602209</v>
      </c>
      <c r="AY231" s="2">
        <v>33262</v>
      </c>
      <c r="AZ231" s="2">
        <v>26884.329999999998</v>
      </c>
      <c r="BA231" s="2">
        <v>1484.91</v>
      </c>
      <c r="BB231" s="5">
        <v>5673.85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38128.26</v>
      </c>
      <c r="BI231" s="12">
        <v>34043.089999999997</v>
      </c>
      <c r="BJ231" s="2">
        <v>0</v>
      </c>
      <c r="BK231" s="5">
        <v>3177.35</v>
      </c>
      <c r="BL231" s="1" t="s">
        <v>326</v>
      </c>
    </row>
    <row r="232" spans="1:64" x14ac:dyDescent="0.3">
      <c r="A232" t="s">
        <v>366</v>
      </c>
      <c r="B232" s="1" t="s">
        <v>366</v>
      </c>
      <c r="C232" s="9" t="s">
        <v>367</v>
      </c>
      <c r="D232" s="1" t="s">
        <v>95</v>
      </c>
      <c r="E232" s="1" t="s">
        <v>128</v>
      </c>
      <c r="F232" s="10" t="s">
        <v>325</v>
      </c>
      <c r="G232" s="1">
        <v>3.5000000000000003E-2</v>
      </c>
      <c r="H232" s="1">
        <v>0.05</v>
      </c>
      <c r="I232" s="8">
        <v>44741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3355917</v>
      </c>
      <c r="AJ232" s="2">
        <v>421536</v>
      </c>
      <c r="AK232" s="2">
        <v>149817.71999999997</v>
      </c>
      <c r="AL232" s="2">
        <v>18818.57</v>
      </c>
      <c r="AM232" s="5">
        <v>33727.26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226647.18</v>
      </c>
      <c r="AT232" s="12">
        <v>202363.55</v>
      </c>
      <c r="AU232" s="2">
        <v>0</v>
      </c>
      <c r="AV232" s="5">
        <v>18887.27</v>
      </c>
      <c r="AX232" s="2">
        <v>3355917</v>
      </c>
      <c r="AY232" s="2">
        <v>421536</v>
      </c>
      <c r="AZ232" s="2">
        <v>149817.71999999997</v>
      </c>
      <c r="BA232" s="2">
        <v>18818.57</v>
      </c>
      <c r="BB232" s="5">
        <v>33727.26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226647.18</v>
      </c>
      <c r="BI232" s="12">
        <v>202363.55</v>
      </c>
      <c r="BJ232" s="2">
        <v>0</v>
      </c>
      <c r="BK232" s="5">
        <v>18887.27</v>
      </c>
      <c r="BL232" s="1" t="s">
        <v>326</v>
      </c>
    </row>
    <row r="233" spans="1:64" x14ac:dyDescent="0.3">
      <c r="A233" t="s">
        <v>399</v>
      </c>
      <c r="B233" s="1" t="s">
        <v>399</v>
      </c>
      <c r="C233" s="9" t="s">
        <v>400</v>
      </c>
      <c r="D233" s="1" t="s">
        <v>95</v>
      </c>
      <c r="E233" s="1" t="s">
        <v>128</v>
      </c>
      <c r="F233" s="10" t="s">
        <v>401</v>
      </c>
      <c r="G233" s="1">
        <v>4.4999999999999998E-2</v>
      </c>
      <c r="H233" s="1">
        <v>0.05</v>
      </c>
      <c r="I233" s="8">
        <v>45209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2162304</v>
      </c>
      <c r="AJ233" s="2">
        <v>87600</v>
      </c>
      <c r="AK233" s="2">
        <v>96531.419999999984</v>
      </c>
      <c r="AL233" s="2">
        <v>3910.72</v>
      </c>
      <c r="AM233" s="5">
        <v>20088.420000000002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134994.23000000001</v>
      </c>
      <c r="AT233" s="12">
        <v>120530.56</v>
      </c>
      <c r="AU233" s="2">
        <v>0</v>
      </c>
      <c r="AV233" s="5">
        <v>11249.52</v>
      </c>
      <c r="AX233" s="2">
        <v>2162304</v>
      </c>
      <c r="AY233" s="2">
        <v>87600</v>
      </c>
      <c r="AZ233" s="2">
        <v>96531.419999999984</v>
      </c>
      <c r="BA233" s="2">
        <v>3910.72</v>
      </c>
      <c r="BB233" s="5">
        <v>20088.420000000002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134994.23000000001</v>
      </c>
      <c r="BI233" s="12">
        <v>120530.56</v>
      </c>
      <c r="BJ233" s="2">
        <v>0</v>
      </c>
      <c r="BK233" s="5">
        <v>11249.52</v>
      </c>
      <c r="BL233" s="1" t="s">
        <v>130</v>
      </c>
    </row>
    <row r="234" spans="1:64" x14ac:dyDescent="0.3">
      <c r="A234" t="s">
        <v>414</v>
      </c>
      <c r="B234" s="1" t="s">
        <v>414</v>
      </c>
      <c r="C234" s="9" t="s">
        <v>415</v>
      </c>
      <c r="D234" s="1" t="s">
        <v>95</v>
      </c>
      <c r="E234" s="1" t="s">
        <v>128</v>
      </c>
      <c r="F234" s="10" t="s">
        <v>325</v>
      </c>
      <c r="G234" s="1">
        <v>3.5000000000000003E-2</v>
      </c>
      <c r="H234" s="1">
        <v>0.05</v>
      </c>
      <c r="I234" s="8">
        <v>45337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2845282.55</v>
      </c>
      <c r="AJ234" s="2">
        <v>222754</v>
      </c>
      <c r="AK234" s="2">
        <v>127021.54999999999</v>
      </c>
      <c r="AL234" s="2">
        <v>9944.369999999999</v>
      </c>
      <c r="AM234" s="5">
        <v>27393.19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184082.2</v>
      </c>
      <c r="AT234" s="12">
        <v>164359.10999999999</v>
      </c>
      <c r="AU234" s="2">
        <v>0</v>
      </c>
      <c r="AV234" s="5">
        <v>15340.18</v>
      </c>
      <c r="AX234" s="2">
        <v>2845282.55</v>
      </c>
      <c r="AY234" s="2">
        <v>222754</v>
      </c>
      <c r="AZ234" s="2">
        <v>127021.54999999999</v>
      </c>
      <c r="BA234" s="2">
        <v>9944.369999999999</v>
      </c>
      <c r="BB234" s="5">
        <v>27393.19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184082.2</v>
      </c>
      <c r="BI234" s="12">
        <v>164359.10999999999</v>
      </c>
      <c r="BJ234" s="2">
        <v>0</v>
      </c>
      <c r="BK234" s="5">
        <v>15340.18</v>
      </c>
      <c r="BL234" s="1" t="s">
        <v>326</v>
      </c>
    </row>
    <row r="235" spans="1:64" x14ac:dyDescent="0.3">
      <c r="A235" t="s">
        <v>422</v>
      </c>
      <c r="B235" s="1" t="s">
        <v>422</v>
      </c>
      <c r="C235" s="9" t="s">
        <v>423</v>
      </c>
      <c r="D235" s="1" t="s">
        <v>95</v>
      </c>
      <c r="E235" s="1" t="s">
        <v>128</v>
      </c>
      <c r="F235" s="10" t="s">
        <v>401</v>
      </c>
      <c r="G235" s="1">
        <v>3.5000000000000003E-2</v>
      </c>
      <c r="H235" s="1">
        <v>0.05</v>
      </c>
      <c r="I235" s="8">
        <v>45555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667269</v>
      </c>
      <c r="AJ235" s="2">
        <v>66865</v>
      </c>
      <c r="AK235" s="2">
        <v>29788.79</v>
      </c>
      <c r="AL235" s="2">
        <v>2985.04</v>
      </c>
      <c r="AM235" s="5">
        <v>6554.77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44048.03</v>
      </c>
      <c r="AT235" s="12">
        <v>39328.600000000006</v>
      </c>
      <c r="AU235" s="2">
        <v>0</v>
      </c>
      <c r="AV235" s="5">
        <v>3670.67</v>
      </c>
      <c r="AX235" s="2">
        <v>667269</v>
      </c>
      <c r="AY235" s="2">
        <v>66865</v>
      </c>
      <c r="AZ235" s="2">
        <v>29788.79</v>
      </c>
      <c r="BA235" s="2">
        <v>2985.04</v>
      </c>
      <c r="BB235" s="5">
        <v>6554.77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44048.03</v>
      </c>
      <c r="BI235" s="12">
        <v>39328.600000000006</v>
      </c>
      <c r="BJ235" s="2">
        <v>0</v>
      </c>
      <c r="BK235" s="5">
        <v>3670.67</v>
      </c>
      <c r="BL235" s="1" t="s">
        <v>130</v>
      </c>
    </row>
    <row r="236" spans="1:64" x14ac:dyDescent="0.3">
      <c r="A236" t="s">
        <v>424</v>
      </c>
      <c r="B236" s="1" t="s">
        <v>424</v>
      </c>
      <c r="C236" s="9" t="s">
        <v>425</v>
      </c>
      <c r="D236" s="1" t="s">
        <v>95</v>
      </c>
      <c r="E236" s="1" t="s">
        <v>128</v>
      </c>
      <c r="F236" s="10" t="s">
        <v>401</v>
      </c>
      <c r="G236" s="1">
        <v>3.5000000000000003E-2</v>
      </c>
      <c r="H236" s="1">
        <v>0.05</v>
      </c>
      <c r="I236" s="8">
        <v>45664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2151331</v>
      </c>
      <c r="AJ236" s="2">
        <v>127138</v>
      </c>
      <c r="AK236" s="2">
        <v>96041.56</v>
      </c>
      <c r="AL236" s="2">
        <v>5675.8</v>
      </c>
      <c r="AM236" s="5">
        <v>20343.469999999998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136708.13</v>
      </c>
      <c r="AT236" s="12">
        <v>122060.82999999999</v>
      </c>
      <c r="AU236" s="2">
        <v>0</v>
      </c>
      <c r="AV236" s="5">
        <v>11392.35</v>
      </c>
      <c r="AX236" s="2">
        <v>2151331</v>
      </c>
      <c r="AY236" s="2">
        <v>127138</v>
      </c>
      <c r="AZ236" s="2">
        <v>96041.56</v>
      </c>
      <c r="BA236" s="2">
        <v>5675.8</v>
      </c>
      <c r="BB236" s="5">
        <v>20343.469999999998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136708.13</v>
      </c>
      <c r="BI236" s="12">
        <v>122060.82999999999</v>
      </c>
      <c r="BJ236" s="2">
        <v>0</v>
      </c>
      <c r="BK236" s="5">
        <v>11392.35</v>
      </c>
      <c r="BL236" s="1" t="s">
        <v>326</v>
      </c>
    </row>
    <row r="237" spans="1:64" x14ac:dyDescent="0.3">
      <c r="A237" t="s">
        <v>430</v>
      </c>
      <c r="B237" s="1" t="s">
        <v>430</v>
      </c>
      <c r="C237" s="9" t="s">
        <v>431</v>
      </c>
      <c r="D237" s="1" t="s">
        <v>95</v>
      </c>
      <c r="E237" s="1" t="s">
        <v>88</v>
      </c>
      <c r="F237" s="10" t="s">
        <v>432</v>
      </c>
      <c r="G237" s="1">
        <v>3.5000000000000003E-2</v>
      </c>
      <c r="H237" s="1">
        <v>0.05</v>
      </c>
      <c r="I237" s="8">
        <v>43993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197401</v>
      </c>
      <c r="AJ237" s="2">
        <v>12684</v>
      </c>
      <c r="AK237" s="2">
        <v>8812.5400000000009</v>
      </c>
      <c r="AL237" s="2">
        <v>566.25</v>
      </c>
      <c r="AM237" s="5">
        <v>1875.76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12605.1</v>
      </c>
      <c r="AT237" s="12">
        <v>11254.550000000001</v>
      </c>
      <c r="AU237" s="2">
        <v>0</v>
      </c>
      <c r="AV237" s="5">
        <v>1050.42</v>
      </c>
      <c r="AX237" s="2">
        <v>197401</v>
      </c>
      <c r="AY237" s="2">
        <v>12684</v>
      </c>
      <c r="AZ237" s="2">
        <v>8812.5400000000009</v>
      </c>
      <c r="BA237" s="2">
        <v>566.25</v>
      </c>
      <c r="BB237" s="5">
        <v>1875.76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12605.1</v>
      </c>
      <c r="BI237" s="12">
        <v>11254.550000000001</v>
      </c>
      <c r="BJ237" s="2">
        <v>0</v>
      </c>
      <c r="BK237" s="5">
        <v>1050.42</v>
      </c>
      <c r="BL237" s="1" t="s">
        <v>90</v>
      </c>
    </row>
    <row r="238" spans="1:64" x14ac:dyDescent="0.3">
      <c r="A238" t="s">
        <v>433</v>
      </c>
      <c r="B238" s="1" t="s">
        <v>433</v>
      </c>
      <c r="C238" s="9" t="s">
        <v>434</v>
      </c>
      <c r="D238" s="1" t="s">
        <v>95</v>
      </c>
      <c r="E238" s="1" t="s">
        <v>135</v>
      </c>
      <c r="F238" s="10" t="s">
        <v>435</v>
      </c>
      <c r="G238" s="1">
        <v>3.5000000000000003E-2</v>
      </c>
      <c r="H238" s="1">
        <v>0.05</v>
      </c>
      <c r="I238" s="8">
        <v>44000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532067</v>
      </c>
      <c r="AJ238" s="2">
        <v>51115</v>
      </c>
      <c r="AK238" s="2">
        <v>23752.99</v>
      </c>
      <c r="AL238" s="2">
        <v>2281.92</v>
      </c>
      <c r="AM238" s="5">
        <v>5206.9799999999996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34990.92</v>
      </c>
      <c r="AT238" s="12">
        <v>31241.890000000003</v>
      </c>
      <c r="AU238" s="2">
        <v>0</v>
      </c>
      <c r="AV238" s="5">
        <v>2915.91</v>
      </c>
      <c r="AX238" s="2">
        <v>532067</v>
      </c>
      <c r="AY238" s="2">
        <v>51115</v>
      </c>
      <c r="AZ238" s="2">
        <v>23752.99</v>
      </c>
      <c r="BA238" s="2">
        <v>2281.92</v>
      </c>
      <c r="BB238" s="5">
        <v>5206.9799999999996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34990.92</v>
      </c>
      <c r="BI238" s="12">
        <v>31241.890000000003</v>
      </c>
      <c r="BJ238" s="2">
        <v>0</v>
      </c>
      <c r="BK238" s="5">
        <v>2915.91</v>
      </c>
      <c r="BL238" s="1" t="s">
        <v>436</v>
      </c>
    </row>
    <row r="239" spans="1:64" x14ac:dyDescent="0.3">
      <c r="A239" t="s">
        <v>437</v>
      </c>
      <c r="B239" s="1" t="s">
        <v>437</v>
      </c>
      <c r="C239" s="9" t="s">
        <v>438</v>
      </c>
      <c r="D239" s="1" t="s">
        <v>95</v>
      </c>
      <c r="E239" s="1" t="s">
        <v>88</v>
      </c>
      <c r="F239" s="10" t="s">
        <v>218</v>
      </c>
      <c r="G239" s="1">
        <v>3.5000000000000003E-2</v>
      </c>
      <c r="H239" s="1">
        <v>0.05</v>
      </c>
      <c r="I239" s="8">
        <v>44062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1378133</v>
      </c>
      <c r="AJ239" s="2">
        <v>173873</v>
      </c>
      <c r="AK239" s="2">
        <v>61523.79</v>
      </c>
      <c r="AL239" s="2">
        <v>7762.19</v>
      </c>
      <c r="AM239" s="5">
        <v>13857.2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93120.36</v>
      </c>
      <c r="AT239" s="12">
        <v>83143.179999999993</v>
      </c>
      <c r="AU239" s="2">
        <v>0</v>
      </c>
      <c r="AV239" s="5">
        <v>7760.03</v>
      </c>
      <c r="AX239" s="2">
        <v>1378133</v>
      </c>
      <c r="AY239" s="2">
        <v>173873</v>
      </c>
      <c r="AZ239" s="2">
        <v>61523.79</v>
      </c>
      <c r="BA239" s="2">
        <v>7762.19</v>
      </c>
      <c r="BB239" s="5">
        <v>13857.2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93120.36</v>
      </c>
      <c r="BI239" s="12">
        <v>83143.179999999993</v>
      </c>
      <c r="BJ239" s="2">
        <v>0</v>
      </c>
      <c r="BK239" s="5">
        <v>7760.03</v>
      </c>
      <c r="BL239" s="1" t="s">
        <v>90</v>
      </c>
    </row>
    <row r="240" spans="1:64" x14ac:dyDescent="0.3">
      <c r="A240" t="s">
        <v>439</v>
      </c>
      <c r="B240" s="1" t="s">
        <v>439</v>
      </c>
      <c r="C240" s="9" t="s">
        <v>440</v>
      </c>
      <c r="D240" s="1" t="s">
        <v>95</v>
      </c>
      <c r="E240" s="1" t="s">
        <v>88</v>
      </c>
      <c r="F240" s="10" t="s">
        <v>441</v>
      </c>
      <c r="G240" s="1">
        <v>3.5000000000000003E-2</v>
      </c>
      <c r="H240" s="1">
        <v>0.05</v>
      </c>
      <c r="I240" s="8">
        <v>44774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282975.90000000002</v>
      </c>
      <c r="AJ240" s="2">
        <v>50020</v>
      </c>
      <c r="AK240" s="2">
        <v>12632.86</v>
      </c>
      <c r="AL240" s="2">
        <v>2233.04</v>
      </c>
      <c r="AM240" s="5">
        <v>2973.1800000000003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19979.77</v>
      </c>
      <c r="AT240" s="12">
        <v>17839.080000000002</v>
      </c>
      <c r="AU240" s="2">
        <v>0</v>
      </c>
      <c r="AV240" s="5">
        <v>1664.98</v>
      </c>
      <c r="AX240" s="2">
        <v>282975.90000000002</v>
      </c>
      <c r="AY240" s="2">
        <v>50020</v>
      </c>
      <c r="AZ240" s="2">
        <v>12632.86</v>
      </c>
      <c r="BA240" s="2">
        <v>2233.04</v>
      </c>
      <c r="BB240" s="5">
        <v>2973.1800000000003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19979.77</v>
      </c>
      <c r="BI240" s="12">
        <v>17839.080000000002</v>
      </c>
      <c r="BJ240" s="2">
        <v>0</v>
      </c>
      <c r="BK240" s="5">
        <v>1664.98</v>
      </c>
      <c r="BL240" s="1" t="s">
        <v>90</v>
      </c>
    </row>
    <row r="241" spans="1:64" x14ac:dyDescent="0.3">
      <c r="A241" t="s">
        <v>448</v>
      </c>
      <c r="B241" s="1" t="s">
        <v>448</v>
      </c>
      <c r="C241" s="9" t="s">
        <v>449</v>
      </c>
      <c r="D241" s="1" t="s">
        <v>95</v>
      </c>
      <c r="E241" s="1" t="s">
        <v>128</v>
      </c>
      <c r="F241" s="10" t="s">
        <v>355</v>
      </c>
      <c r="G241" s="1">
        <v>4.4999999999999998E-2</v>
      </c>
      <c r="H241" s="1">
        <v>0.05</v>
      </c>
      <c r="I241" s="8">
        <v>45199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701940</v>
      </c>
      <c r="AJ241" s="2">
        <v>57187</v>
      </c>
      <c r="AK241" s="2">
        <v>31336.61</v>
      </c>
      <c r="AL241" s="2">
        <v>2552.9899999999998</v>
      </c>
      <c r="AM241" s="5">
        <v>6777.92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45547.62</v>
      </c>
      <c r="AT241" s="12">
        <v>40667.519999999997</v>
      </c>
      <c r="AU241" s="2">
        <v>0</v>
      </c>
      <c r="AV241" s="5">
        <v>3795.64</v>
      </c>
      <c r="AX241" s="2">
        <v>701940</v>
      </c>
      <c r="AY241" s="2">
        <v>57187</v>
      </c>
      <c r="AZ241" s="2">
        <v>31336.61</v>
      </c>
      <c r="BA241" s="2">
        <v>2552.9899999999998</v>
      </c>
      <c r="BB241" s="5">
        <v>6777.92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45547.62</v>
      </c>
      <c r="BI241" s="12">
        <v>40667.519999999997</v>
      </c>
      <c r="BJ241" s="2">
        <v>0</v>
      </c>
      <c r="BK241" s="5">
        <v>3795.64</v>
      </c>
      <c r="BL241" s="1" t="s">
        <v>130</v>
      </c>
    </row>
    <row r="242" spans="1:64" x14ac:dyDescent="0.3">
      <c r="A242" t="s">
        <v>450</v>
      </c>
      <c r="B242" s="1" t="s">
        <v>450</v>
      </c>
      <c r="C242" s="9" t="s">
        <v>451</v>
      </c>
      <c r="D242" s="1" t="s">
        <v>95</v>
      </c>
      <c r="E242" s="1" t="s">
        <v>135</v>
      </c>
      <c r="F242" s="10" t="s">
        <v>193</v>
      </c>
      <c r="G242" s="1">
        <v>3.5000000000000003E-2</v>
      </c>
      <c r="H242" s="1">
        <v>0.05</v>
      </c>
      <c r="I242" s="8">
        <v>44183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830384.5</v>
      </c>
      <c r="AJ242" s="2">
        <v>272520</v>
      </c>
      <c r="AK242" s="2">
        <v>37070.730000000003</v>
      </c>
      <c r="AL242" s="2">
        <v>12166.080000000002</v>
      </c>
      <c r="AM242" s="5">
        <v>9847.3700000000008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66174.28</v>
      </c>
      <c r="AT242" s="12">
        <v>59084.18</v>
      </c>
      <c r="AU242" s="2">
        <v>0</v>
      </c>
      <c r="AV242" s="5">
        <v>5514.5199999999995</v>
      </c>
      <c r="AX242" s="2">
        <v>830384.5</v>
      </c>
      <c r="AY242" s="2">
        <v>272520</v>
      </c>
      <c r="AZ242" s="2">
        <v>37070.730000000003</v>
      </c>
      <c r="BA242" s="2">
        <v>12166.080000000002</v>
      </c>
      <c r="BB242" s="5">
        <v>9847.3700000000008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66174.28</v>
      </c>
      <c r="BI242" s="12">
        <v>59084.18</v>
      </c>
      <c r="BJ242" s="2">
        <v>0</v>
      </c>
      <c r="BK242" s="5">
        <v>5514.5199999999995</v>
      </c>
      <c r="BL242" s="1" t="s">
        <v>436</v>
      </c>
    </row>
    <row r="243" spans="1:64" x14ac:dyDescent="0.3">
      <c r="A243" t="s">
        <v>475</v>
      </c>
      <c r="B243" s="1" t="s">
        <v>475</v>
      </c>
      <c r="C243" s="9" t="s">
        <v>476</v>
      </c>
      <c r="D243" s="1" t="s">
        <v>95</v>
      </c>
      <c r="E243" s="1" t="s">
        <v>88</v>
      </c>
      <c r="F243" s="10" t="s">
        <v>218</v>
      </c>
      <c r="G243" s="1">
        <v>3.5000000000000003E-2</v>
      </c>
      <c r="H243" s="1">
        <v>0.05</v>
      </c>
      <c r="I243" s="8">
        <v>44496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1640107</v>
      </c>
      <c r="AJ243" s="2">
        <v>720542</v>
      </c>
      <c r="AK243" s="2">
        <v>73219.06</v>
      </c>
      <c r="AL243" s="2">
        <v>32167.050000000003</v>
      </c>
      <c r="AM243" s="5">
        <v>21077.22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141638.93</v>
      </c>
      <c r="AT243" s="12">
        <v>126463.33</v>
      </c>
      <c r="AU243" s="2">
        <v>0</v>
      </c>
      <c r="AV243" s="5">
        <v>11803.24</v>
      </c>
      <c r="AX243" s="2">
        <v>1640107</v>
      </c>
      <c r="AY243" s="2">
        <v>720542</v>
      </c>
      <c r="AZ243" s="2">
        <v>73219.06</v>
      </c>
      <c r="BA243" s="2">
        <v>32167.050000000003</v>
      </c>
      <c r="BB243" s="5">
        <v>21077.22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141638.93</v>
      </c>
      <c r="BI243" s="12">
        <v>126463.33</v>
      </c>
      <c r="BJ243" s="2">
        <v>0</v>
      </c>
      <c r="BK243" s="5">
        <v>11803.24</v>
      </c>
      <c r="BL243" s="1" t="s">
        <v>90</v>
      </c>
    </row>
    <row r="244" spans="1:64" x14ac:dyDescent="0.3">
      <c r="A244" t="s">
        <v>479</v>
      </c>
      <c r="B244" s="1" t="s">
        <v>479</v>
      </c>
      <c r="C244" s="9" t="s">
        <v>480</v>
      </c>
      <c r="D244" s="1" t="s">
        <v>95</v>
      </c>
      <c r="E244" s="1" t="s">
        <v>135</v>
      </c>
      <c r="F244" s="10" t="s">
        <v>136</v>
      </c>
      <c r="G244" s="1">
        <v>0.04</v>
      </c>
      <c r="H244" s="1">
        <v>0.05</v>
      </c>
      <c r="I244" s="8">
        <v>44778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1073326</v>
      </c>
      <c r="AJ244" s="2">
        <v>158401</v>
      </c>
      <c r="AK244" s="2">
        <v>47916.34</v>
      </c>
      <c r="AL244" s="2">
        <v>7071.48</v>
      </c>
      <c r="AM244" s="5">
        <v>10997.56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73903.63</v>
      </c>
      <c r="AT244" s="12">
        <v>65985.38</v>
      </c>
      <c r="AU244" s="2">
        <v>0</v>
      </c>
      <c r="AV244" s="5">
        <v>6158.6399999999994</v>
      </c>
      <c r="AX244" s="2">
        <v>1073326</v>
      </c>
      <c r="AY244" s="2">
        <v>158401</v>
      </c>
      <c r="AZ244" s="2">
        <v>47916.34</v>
      </c>
      <c r="BA244" s="2">
        <v>7071.48</v>
      </c>
      <c r="BB244" s="5">
        <v>10997.56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73903.63</v>
      </c>
      <c r="BI244" s="12">
        <v>65985.38</v>
      </c>
      <c r="BJ244" s="2">
        <v>0</v>
      </c>
      <c r="BK244" s="5">
        <v>6158.6399999999994</v>
      </c>
      <c r="BL244" s="1" t="s">
        <v>302</v>
      </c>
    </row>
    <row r="245" spans="1:64" x14ac:dyDescent="0.3">
      <c r="A245" t="s">
        <v>483</v>
      </c>
      <c r="B245" s="1" t="s">
        <v>483</v>
      </c>
      <c r="C245" s="9" t="s">
        <v>484</v>
      </c>
      <c r="D245" s="1" t="s">
        <v>95</v>
      </c>
      <c r="E245" s="1" t="s">
        <v>135</v>
      </c>
      <c r="F245" s="10" t="s">
        <v>485</v>
      </c>
      <c r="G245" s="1">
        <v>0.04</v>
      </c>
      <c r="H245" s="1">
        <v>0.05</v>
      </c>
      <c r="I245" s="8">
        <v>44828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956928</v>
      </c>
      <c r="AJ245" s="2">
        <v>120918</v>
      </c>
      <c r="AK245" s="2">
        <v>42720</v>
      </c>
      <c r="AL245" s="2">
        <v>5398.12</v>
      </c>
      <c r="AM245" s="5">
        <v>9623.6200000000008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64670.75</v>
      </c>
      <c r="AT245" s="12">
        <v>57741.74</v>
      </c>
      <c r="AU245" s="2">
        <v>0</v>
      </c>
      <c r="AV245" s="5">
        <v>5389.23</v>
      </c>
      <c r="AX245" s="2">
        <v>956928</v>
      </c>
      <c r="AY245" s="2">
        <v>120918</v>
      </c>
      <c r="AZ245" s="2">
        <v>42720</v>
      </c>
      <c r="BA245" s="2">
        <v>5398.12</v>
      </c>
      <c r="BB245" s="5">
        <v>9623.6200000000008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64670.75</v>
      </c>
      <c r="BI245" s="12">
        <v>57741.74</v>
      </c>
      <c r="BJ245" s="2">
        <v>0</v>
      </c>
      <c r="BK245" s="5">
        <v>5389.23</v>
      </c>
      <c r="BL245" s="1" t="s">
        <v>302</v>
      </c>
    </row>
    <row r="246" spans="1:64" x14ac:dyDescent="0.3">
      <c r="A246" t="s">
        <v>510</v>
      </c>
      <c r="B246" s="1" t="s">
        <v>510</v>
      </c>
      <c r="C246" s="9" t="s">
        <v>511</v>
      </c>
      <c r="D246" s="1" t="s">
        <v>95</v>
      </c>
      <c r="E246" s="1" t="s">
        <v>88</v>
      </c>
      <c r="F246" s="10" t="s">
        <v>218</v>
      </c>
      <c r="G246" s="1">
        <v>4.4999999999999998E-2</v>
      </c>
      <c r="H246" s="1">
        <v>0.05</v>
      </c>
      <c r="I246" s="8">
        <v>45260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1924861</v>
      </c>
      <c r="AJ246" s="2">
        <v>480304</v>
      </c>
      <c r="AK246" s="2">
        <v>85931.290000000008</v>
      </c>
      <c r="AL246" s="2">
        <v>21442.14</v>
      </c>
      <c r="AM246" s="5">
        <v>21474.69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144309.89000000001</v>
      </c>
      <c r="AT246" s="12">
        <v>128848.12</v>
      </c>
      <c r="AU246" s="2">
        <v>0</v>
      </c>
      <c r="AV246" s="5">
        <v>12025.84</v>
      </c>
      <c r="AX246" s="2">
        <v>1924861</v>
      </c>
      <c r="AY246" s="2">
        <v>480304</v>
      </c>
      <c r="AZ246" s="2">
        <v>85931.290000000008</v>
      </c>
      <c r="BA246" s="2">
        <v>21442.14</v>
      </c>
      <c r="BB246" s="5">
        <v>21474.69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144309.89000000001</v>
      </c>
      <c r="BI246" s="12">
        <v>128848.12</v>
      </c>
      <c r="BJ246" s="2">
        <v>0</v>
      </c>
      <c r="BK246" s="5">
        <v>12025.84</v>
      </c>
      <c r="BL246" s="1" t="s">
        <v>90</v>
      </c>
    </row>
    <row r="247" spans="1:64" x14ac:dyDescent="0.3">
      <c r="A247" t="s">
        <v>516</v>
      </c>
      <c r="B247" s="1" t="s">
        <v>516</v>
      </c>
      <c r="C247" s="9" t="s">
        <v>517</v>
      </c>
      <c r="D247" s="1" t="s">
        <v>95</v>
      </c>
      <c r="E247" s="1" t="s">
        <v>128</v>
      </c>
      <c r="F247" s="10" t="s">
        <v>325</v>
      </c>
      <c r="G247" s="1">
        <v>4.4999999999999998E-2</v>
      </c>
      <c r="H247" s="1">
        <v>0.05</v>
      </c>
      <c r="I247" s="8">
        <v>45270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580282</v>
      </c>
      <c r="AJ247" s="2">
        <v>125925</v>
      </c>
      <c r="AK247" s="2">
        <v>25905.45</v>
      </c>
      <c r="AL247" s="2">
        <v>5621.65</v>
      </c>
      <c r="AM247" s="5">
        <v>6305.42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42372.42</v>
      </c>
      <c r="AT247" s="12">
        <v>37832.519999999997</v>
      </c>
      <c r="AU247" s="2">
        <v>0</v>
      </c>
      <c r="AV247" s="5">
        <v>3531.04</v>
      </c>
      <c r="AX247" s="2">
        <v>580282</v>
      </c>
      <c r="AY247" s="2">
        <v>125925</v>
      </c>
      <c r="AZ247" s="2">
        <v>25905.45</v>
      </c>
      <c r="BA247" s="2">
        <v>5621.65</v>
      </c>
      <c r="BB247" s="5">
        <v>6305.42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42372.42</v>
      </c>
      <c r="BI247" s="12">
        <v>37832.519999999997</v>
      </c>
      <c r="BJ247" s="2">
        <v>0</v>
      </c>
      <c r="BK247" s="5">
        <v>3531.04</v>
      </c>
      <c r="BL247" s="1" t="s">
        <v>326</v>
      </c>
    </row>
    <row r="248" spans="1:64" x14ac:dyDescent="0.3">
      <c r="A248" t="s">
        <v>532</v>
      </c>
      <c r="B248" s="1" t="s">
        <v>532</v>
      </c>
      <c r="C248" s="9" t="s">
        <v>533</v>
      </c>
      <c r="D248" s="1" t="s">
        <v>95</v>
      </c>
      <c r="E248" s="1" t="s">
        <v>88</v>
      </c>
      <c r="F248" s="10" t="s">
        <v>534</v>
      </c>
      <c r="G248" s="1">
        <v>3.5000000000000003E-2</v>
      </c>
      <c r="H248" s="1">
        <v>0.05</v>
      </c>
      <c r="I248" s="8">
        <v>45611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130061</v>
      </c>
      <c r="AJ248" s="2">
        <v>37968</v>
      </c>
      <c r="AK248" s="2">
        <v>5806.29</v>
      </c>
      <c r="AL248" s="2">
        <v>1695</v>
      </c>
      <c r="AM248" s="5">
        <v>1500.26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10081.74</v>
      </c>
      <c r="AT248" s="12">
        <v>9001.5499999999993</v>
      </c>
      <c r="AU248" s="2">
        <v>0</v>
      </c>
      <c r="AV248" s="5">
        <v>840.14</v>
      </c>
      <c r="AX248" s="2">
        <v>130061</v>
      </c>
      <c r="AY248" s="2">
        <v>37968</v>
      </c>
      <c r="AZ248" s="2">
        <v>5806.29</v>
      </c>
      <c r="BA248" s="2">
        <v>1695</v>
      </c>
      <c r="BB248" s="5">
        <v>1500.26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10081.74</v>
      </c>
      <c r="BI248" s="12">
        <v>9001.5499999999993</v>
      </c>
      <c r="BJ248" s="2">
        <v>0</v>
      </c>
      <c r="BK248" s="5">
        <v>840.14</v>
      </c>
      <c r="BL248" s="1" t="s">
        <v>90</v>
      </c>
    </row>
    <row r="249" spans="1:64" x14ac:dyDescent="0.3">
      <c r="A249" t="s">
        <v>535</v>
      </c>
      <c r="B249" s="1" t="s">
        <v>535</v>
      </c>
      <c r="C249" s="9" t="s">
        <v>536</v>
      </c>
      <c r="D249" s="1" t="s">
        <v>95</v>
      </c>
      <c r="E249" s="1" t="s">
        <v>88</v>
      </c>
      <c r="F249" s="10" t="s">
        <v>432</v>
      </c>
      <c r="G249" s="1">
        <v>3.5000000000000003E-2</v>
      </c>
      <c r="H249" s="1">
        <v>0.05</v>
      </c>
      <c r="I249" s="8">
        <v>45616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715285</v>
      </c>
      <c r="AJ249" s="2">
        <v>430785</v>
      </c>
      <c r="AK249" s="2">
        <v>31932.36</v>
      </c>
      <c r="AL249" s="2">
        <v>19231.47</v>
      </c>
      <c r="AM249" s="5">
        <v>10232.76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68764.179999999993</v>
      </c>
      <c r="AT249" s="12">
        <v>61396.590000000004</v>
      </c>
      <c r="AU249" s="2">
        <v>0</v>
      </c>
      <c r="AV249" s="5">
        <v>5730.34</v>
      </c>
      <c r="AX249" s="2">
        <v>715285</v>
      </c>
      <c r="AY249" s="2">
        <v>430785</v>
      </c>
      <c r="AZ249" s="2">
        <v>31932.36</v>
      </c>
      <c r="BA249" s="2">
        <v>19231.47</v>
      </c>
      <c r="BB249" s="5">
        <v>10232.76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68764.179999999993</v>
      </c>
      <c r="BI249" s="12">
        <v>61396.590000000004</v>
      </c>
      <c r="BJ249" s="2">
        <v>0</v>
      </c>
      <c r="BK249" s="5">
        <v>5730.34</v>
      </c>
      <c r="BL249" s="1" t="s">
        <v>90</v>
      </c>
    </row>
    <row r="250" spans="1:64" x14ac:dyDescent="0.3">
      <c r="A250" t="s">
        <v>539</v>
      </c>
      <c r="B250" s="1" t="s">
        <v>539</v>
      </c>
      <c r="C250" s="9" t="s">
        <v>540</v>
      </c>
      <c r="D250" s="1" t="s">
        <v>95</v>
      </c>
      <c r="E250" s="1" t="s">
        <v>128</v>
      </c>
      <c r="F250" s="10" t="s">
        <v>309</v>
      </c>
      <c r="G250" s="1">
        <v>3.5000000000000003E-2</v>
      </c>
      <c r="H250" s="1">
        <v>0.05</v>
      </c>
      <c r="I250" s="8">
        <v>45627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1359457.2</v>
      </c>
      <c r="AJ250" s="2">
        <v>40281</v>
      </c>
      <c r="AK250" s="2">
        <v>60690.05</v>
      </c>
      <c r="AL250" s="2">
        <v>1798.26</v>
      </c>
      <c r="AM250" s="5">
        <v>12497.66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83984.29</v>
      </c>
      <c r="AT250" s="12">
        <v>74985.97</v>
      </c>
      <c r="AU250" s="2">
        <v>0</v>
      </c>
      <c r="AV250" s="5">
        <v>6998.69</v>
      </c>
      <c r="AX250" s="2">
        <v>1359457.2</v>
      </c>
      <c r="AY250" s="2">
        <v>40281</v>
      </c>
      <c r="AZ250" s="2">
        <v>60690.05</v>
      </c>
      <c r="BA250" s="2">
        <v>1798.26</v>
      </c>
      <c r="BB250" s="5">
        <v>12497.66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83984.29</v>
      </c>
      <c r="BI250" s="12">
        <v>74985.97</v>
      </c>
      <c r="BJ250" s="2">
        <v>0</v>
      </c>
      <c r="BK250" s="5">
        <v>6998.69</v>
      </c>
      <c r="BL250" s="1" t="s">
        <v>130</v>
      </c>
    </row>
    <row r="251" spans="1:64" x14ac:dyDescent="0.3">
      <c r="A251" t="s">
        <v>543</v>
      </c>
      <c r="B251" s="1" t="s">
        <v>543</v>
      </c>
      <c r="C251" s="9" t="s">
        <v>544</v>
      </c>
      <c r="D251" s="1" t="s">
        <v>95</v>
      </c>
      <c r="E251" s="1" t="s">
        <v>88</v>
      </c>
      <c r="F251" s="10" t="s">
        <v>545</v>
      </c>
      <c r="G251" s="1">
        <v>3.5000000000000003E-2</v>
      </c>
      <c r="H251" s="1">
        <v>0.05</v>
      </c>
      <c r="I251" s="8">
        <v>45636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1476219</v>
      </c>
      <c r="AJ251" s="2">
        <v>780347</v>
      </c>
      <c r="AK251" s="2">
        <v>65902.62999999999</v>
      </c>
      <c r="AL251" s="2">
        <v>34836.92</v>
      </c>
      <c r="AM251" s="5">
        <v>20147.91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135393.96</v>
      </c>
      <c r="AT251" s="12">
        <v>120887.46</v>
      </c>
      <c r="AU251" s="2">
        <v>0</v>
      </c>
      <c r="AV251" s="5">
        <v>11282.83</v>
      </c>
      <c r="AX251" s="2">
        <v>1476219</v>
      </c>
      <c r="AY251" s="2">
        <v>780347</v>
      </c>
      <c r="AZ251" s="2">
        <v>65902.62999999999</v>
      </c>
      <c r="BA251" s="2">
        <v>34836.92</v>
      </c>
      <c r="BB251" s="5">
        <v>20147.91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135393.96</v>
      </c>
      <c r="BI251" s="12">
        <v>120887.46</v>
      </c>
      <c r="BJ251" s="2">
        <v>0</v>
      </c>
      <c r="BK251" s="5">
        <v>11282.83</v>
      </c>
      <c r="BL251" s="1" t="s">
        <v>546</v>
      </c>
    </row>
    <row r="252" spans="1:64" x14ac:dyDescent="0.3">
      <c r="A252" t="s">
        <v>551</v>
      </c>
      <c r="B252" s="1" t="s">
        <v>551</v>
      </c>
      <c r="C252" s="9" t="s">
        <v>552</v>
      </c>
      <c r="D252" s="1" t="s">
        <v>95</v>
      </c>
      <c r="E252" s="1" t="s">
        <v>135</v>
      </c>
      <c r="F252" s="10" t="s">
        <v>193</v>
      </c>
      <c r="G252" s="1">
        <v>3.5000000000000003E-2</v>
      </c>
      <c r="H252" s="1">
        <v>0.05</v>
      </c>
      <c r="I252" s="8">
        <v>45694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1026593</v>
      </c>
      <c r="AJ252" s="2">
        <v>473419</v>
      </c>
      <c r="AK252" s="2">
        <v>45830.049999999996</v>
      </c>
      <c r="AL252" s="2">
        <v>21134.780000000002</v>
      </c>
      <c r="AM252" s="5">
        <v>13392.96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90000.72</v>
      </c>
      <c r="AT252" s="12">
        <v>80357.789999999994</v>
      </c>
      <c r="AU252" s="2">
        <v>0</v>
      </c>
      <c r="AV252" s="5">
        <v>7500.0599999999995</v>
      </c>
      <c r="AX252" s="2">
        <v>1026593</v>
      </c>
      <c r="AY252" s="2">
        <v>473419</v>
      </c>
      <c r="AZ252" s="2">
        <v>45830.049999999996</v>
      </c>
      <c r="BA252" s="2">
        <v>21134.780000000002</v>
      </c>
      <c r="BB252" s="5">
        <v>13392.96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90000.72</v>
      </c>
      <c r="BI252" s="12">
        <v>80357.789999999994</v>
      </c>
      <c r="BJ252" s="2">
        <v>0</v>
      </c>
      <c r="BK252" s="5">
        <v>7500.0599999999995</v>
      </c>
      <c r="BL252" s="1" t="s">
        <v>137</v>
      </c>
    </row>
    <row r="253" spans="1:64" x14ac:dyDescent="0.3">
      <c r="A253" t="s">
        <v>555</v>
      </c>
      <c r="B253" s="1" t="s">
        <v>555</v>
      </c>
      <c r="C253" s="9" t="s">
        <v>556</v>
      </c>
      <c r="D253" s="1" t="s">
        <v>95</v>
      </c>
      <c r="E253" s="1" t="s">
        <v>88</v>
      </c>
      <c r="F253" s="10" t="s">
        <v>218</v>
      </c>
      <c r="G253" s="1">
        <v>3.5000000000000003E-2</v>
      </c>
      <c r="H253" s="1">
        <v>0.05</v>
      </c>
      <c r="I253" s="8">
        <v>45752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434860</v>
      </c>
      <c r="AJ253" s="2">
        <v>137639</v>
      </c>
      <c r="AK253" s="2">
        <v>18636.86</v>
      </c>
      <c r="AL253" s="2">
        <v>5898.82</v>
      </c>
      <c r="AM253" s="5">
        <v>5111.6000000000004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33204.949999999997</v>
      </c>
      <c r="AT253" s="12">
        <v>29647.279999999999</v>
      </c>
      <c r="AU253" s="2">
        <v>0</v>
      </c>
      <c r="AV253" s="5">
        <v>2862.5</v>
      </c>
      <c r="AX253" s="2">
        <v>434860</v>
      </c>
      <c r="AY253" s="2">
        <v>137639</v>
      </c>
      <c r="AZ253" s="2">
        <v>18636.86</v>
      </c>
      <c r="BA253" s="2">
        <v>5898.82</v>
      </c>
      <c r="BB253" s="5">
        <v>5111.6000000000004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33204.949999999997</v>
      </c>
      <c r="BI253" s="12">
        <v>29647.279999999999</v>
      </c>
      <c r="BJ253" s="2">
        <v>0</v>
      </c>
      <c r="BK253" s="5">
        <v>2862.5</v>
      </c>
      <c r="BL253" s="1" t="s">
        <v>90</v>
      </c>
    </row>
    <row r="254" spans="1:64" x14ac:dyDescent="0.3">
      <c r="A254" t="s">
        <v>557</v>
      </c>
      <c r="B254" s="1" t="s">
        <v>557</v>
      </c>
      <c r="C254" s="9" t="s">
        <v>558</v>
      </c>
      <c r="D254" s="1" t="s">
        <v>95</v>
      </c>
      <c r="E254" s="1" t="s">
        <v>135</v>
      </c>
      <c r="F254" s="10" t="s">
        <v>485</v>
      </c>
      <c r="G254" s="1">
        <v>3.5000000000000003E-2</v>
      </c>
      <c r="H254" s="1">
        <v>0.05</v>
      </c>
      <c r="I254" s="8">
        <v>43929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121358</v>
      </c>
      <c r="AJ254" s="2">
        <v>16791</v>
      </c>
      <c r="AK254" s="2">
        <v>5417.77</v>
      </c>
      <c r="AL254" s="2">
        <v>749.6</v>
      </c>
      <c r="AM254" s="5">
        <v>1233.47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8288.94</v>
      </c>
      <c r="AT254" s="12">
        <v>7400.8400000000011</v>
      </c>
      <c r="AU254" s="2">
        <v>0</v>
      </c>
      <c r="AV254" s="5">
        <v>690.74</v>
      </c>
      <c r="AX254" s="2">
        <v>121358</v>
      </c>
      <c r="AY254" s="2">
        <v>16791</v>
      </c>
      <c r="AZ254" s="2">
        <v>5417.77</v>
      </c>
      <c r="BA254" s="2">
        <v>749.6</v>
      </c>
      <c r="BB254" s="5">
        <v>1233.47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8288.94</v>
      </c>
      <c r="BI254" s="12">
        <v>7400.8400000000011</v>
      </c>
      <c r="BJ254" s="2">
        <v>0</v>
      </c>
      <c r="BK254" s="5">
        <v>690.74</v>
      </c>
      <c r="BL254" s="1" t="s">
        <v>302</v>
      </c>
    </row>
    <row r="255" spans="1:64" x14ac:dyDescent="0.3">
      <c r="A255" t="s">
        <v>571</v>
      </c>
      <c r="B255" s="1" t="s">
        <v>571</v>
      </c>
      <c r="C255" s="9" t="s">
        <v>572</v>
      </c>
      <c r="D255" s="1" t="s">
        <v>95</v>
      </c>
      <c r="E255" s="1" t="s">
        <v>128</v>
      </c>
      <c r="F255" s="10" t="s">
        <v>401</v>
      </c>
      <c r="G255" s="1">
        <v>3.5000000000000003E-2</v>
      </c>
      <c r="H255" s="1">
        <v>0.05</v>
      </c>
      <c r="I255" s="8">
        <v>44256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636313</v>
      </c>
      <c r="AJ255" s="2">
        <v>26782</v>
      </c>
      <c r="AK255" s="2">
        <v>28406.83</v>
      </c>
      <c r="AL255" s="2">
        <v>1195.6300000000001</v>
      </c>
      <c r="AM255" s="5">
        <v>5920.49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39785.699999999997</v>
      </c>
      <c r="AT255" s="12">
        <v>35522.949999999997</v>
      </c>
      <c r="AU255" s="2">
        <v>0</v>
      </c>
      <c r="AV255" s="5">
        <v>3315.48</v>
      </c>
      <c r="AX255" s="2">
        <v>636313</v>
      </c>
      <c r="AY255" s="2">
        <v>26782</v>
      </c>
      <c r="AZ255" s="2">
        <v>28406.83</v>
      </c>
      <c r="BA255" s="2">
        <v>1195.6300000000001</v>
      </c>
      <c r="BB255" s="5">
        <v>5920.49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39785.699999999997</v>
      </c>
      <c r="BI255" s="12">
        <v>35522.949999999997</v>
      </c>
      <c r="BJ255" s="2">
        <v>0</v>
      </c>
      <c r="BK255" s="5">
        <v>3315.48</v>
      </c>
      <c r="BL255" s="1" t="s">
        <v>130</v>
      </c>
    </row>
    <row r="256" spans="1:64" x14ac:dyDescent="0.3">
      <c r="A256" t="s">
        <v>575</v>
      </c>
      <c r="B256" s="1" t="s">
        <v>575</v>
      </c>
      <c r="C256" s="9" t="s">
        <v>576</v>
      </c>
      <c r="D256" s="1" t="s">
        <v>95</v>
      </c>
      <c r="E256" s="1" t="s">
        <v>135</v>
      </c>
      <c r="F256" s="10" t="s">
        <v>435</v>
      </c>
      <c r="G256" s="1">
        <v>3.5000000000000003E-2</v>
      </c>
      <c r="H256" s="1">
        <v>0.05</v>
      </c>
      <c r="I256" s="8">
        <v>44273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574451</v>
      </c>
      <c r="AJ256" s="2">
        <v>191575</v>
      </c>
      <c r="AK256" s="2">
        <v>25645.13</v>
      </c>
      <c r="AL256" s="2">
        <v>8552.4599999999991</v>
      </c>
      <c r="AM256" s="5">
        <v>6839.52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45961.56</v>
      </c>
      <c r="AT256" s="12">
        <v>41037.11</v>
      </c>
      <c r="AU256" s="2">
        <v>0</v>
      </c>
      <c r="AV256" s="5">
        <v>3830.13</v>
      </c>
      <c r="AX256" s="2">
        <v>574451</v>
      </c>
      <c r="AY256" s="2">
        <v>191575</v>
      </c>
      <c r="AZ256" s="2">
        <v>25645.13</v>
      </c>
      <c r="BA256" s="2">
        <v>8552.4599999999991</v>
      </c>
      <c r="BB256" s="5">
        <v>6839.52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45961.56</v>
      </c>
      <c r="BI256" s="12">
        <v>41037.11</v>
      </c>
      <c r="BJ256" s="2">
        <v>0</v>
      </c>
      <c r="BK256" s="5">
        <v>3830.13</v>
      </c>
      <c r="BL256" s="1" t="s">
        <v>436</v>
      </c>
    </row>
    <row r="257" spans="1:64" x14ac:dyDescent="0.3">
      <c r="A257" t="s">
        <v>584</v>
      </c>
      <c r="B257" s="1" t="s">
        <v>584</v>
      </c>
      <c r="C257" s="9" t="s">
        <v>585</v>
      </c>
      <c r="D257" s="1" t="s">
        <v>95</v>
      </c>
      <c r="E257" s="1" t="s">
        <v>135</v>
      </c>
      <c r="F257" s="10" t="s">
        <v>435</v>
      </c>
      <c r="G257" s="1">
        <v>3.5000000000000003E-2</v>
      </c>
      <c r="H257" s="1">
        <v>0.05</v>
      </c>
      <c r="I257" s="8">
        <v>44420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545308</v>
      </c>
      <c r="AJ257" s="2">
        <v>84135</v>
      </c>
      <c r="AK257" s="2">
        <v>24344.11</v>
      </c>
      <c r="AL257" s="2">
        <v>3756.03</v>
      </c>
      <c r="AM257" s="5">
        <v>5620.03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37766.589999999997</v>
      </c>
      <c r="AT257" s="12">
        <v>33720.17</v>
      </c>
      <c r="AU257" s="2">
        <v>0</v>
      </c>
      <c r="AV257" s="5">
        <v>3147.22</v>
      </c>
      <c r="AX257" s="2">
        <v>545308</v>
      </c>
      <c r="AY257" s="2">
        <v>84135</v>
      </c>
      <c r="AZ257" s="2">
        <v>24344.11</v>
      </c>
      <c r="BA257" s="2">
        <v>3756.03</v>
      </c>
      <c r="BB257" s="5">
        <v>5620.03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37766.589999999997</v>
      </c>
      <c r="BI257" s="12">
        <v>33720.17</v>
      </c>
      <c r="BJ257" s="2">
        <v>0</v>
      </c>
      <c r="BK257" s="5">
        <v>3147.22</v>
      </c>
      <c r="BL257" s="1" t="s">
        <v>137</v>
      </c>
    </row>
    <row r="258" spans="1:64" x14ac:dyDescent="0.3">
      <c r="A258" t="s">
        <v>588</v>
      </c>
      <c r="B258" s="1" t="s">
        <v>588</v>
      </c>
      <c r="C258" s="9" t="s">
        <v>589</v>
      </c>
      <c r="D258" s="1" t="s">
        <v>95</v>
      </c>
      <c r="E258" s="1" t="s">
        <v>135</v>
      </c>
      <c r="F258" s="10" t="s">
        <v>435</v>
      </c>
      <c r="G258" s="1">
        <v>3.5000000000000003E-2</v>
      </c>
      <c r="H258" s="1">
        <v>0.05</v>
      </c>
      <c r="I258" s="8">
        <v>44544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777822</v>
      </c>
      <c r="AJ258" s="2">
        <v>211126</v>
      </c>
      <c r="AK258" s="2">
        <v>34724.199999999997</v>
      </c>
      <c r="AL258" s="2">
        <v>9425.27</v>
      </c>
      <c r="AM258" s="5">
        <v>8829.89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59336.88</v>
      </c>
      <c r="AT258" s="12">
        <v>52979.360000000001</v>
      </c>
      <c r="AU258" s="2">
        <v>0</v>
      </c>
      <c r="AV258" s="5">
        <v>4944.74</v>
      </c>
      <c r="AX258" s="2">
        <v>777822</v>
      </c>
      <c r="AY258" s="2">
        <v>211126</v>
      </c>
      <c r="AZ258" s="2">
        <v>34724.199999999997</v>
      </c>
      <c r="BA258" s="2">
        <v>9425.27</v>
      </c>
      <c r="BB258" s="5">
        <v>8829.89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59336.88</v>
      </c>
      <c r="BI258" s="12">
        <v>52979.360000000001</v>
      </c>
      <c r="BJ258" s="2">
        <v>0</v>
      </c>
      <c r="BK258" s="5">
        <v>4944.74</v>
      </c>
      <c r="BL258" s="1" t="s">
        <v>137</v>
      </c>
    </row>
    <row r="259" spans="1:64" x14ac:dyDescent="0.3">
      <c r="A259" t="s">
        <v>592</v>
      </c>
      <c r="B259" s="1" t="s">
        <v>592</v>
      </c>
      <c r="C259" s="9" t="s">
        <v>593</v>
      </c>
      <c r="D259" s="1" t="s">
        <v>95</v>
      </c>
      <c r="E259" s="1" t="s">
        <v>88</v>
      </c>
      <c r="F259" s="10" t="s">
        <v>545</v>
      </c>
      <c r="G259" s="1">
        <v>3.5000000000000003E-2</v>
      </c>
      <c r="H259" s="1">
        <v>0.05</v>
      </c>
      <c r="I259" s="8">
        <v>44518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190936</v>
      </c>
      <c r="AJ259" s="2">
        <v>19727</v>
      </c>
      <c r="AK259" s="2">
        <v>8523.93</v>
      </c>
      <c r="AL259" s="2">
        <v>880.67</v>
      </c>
      <c r="AM259" s="5">
        <v>1880.92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12639.78</v>
      </c>
      <c r="AT259" s="12">
        <v>11285.52</v>
      </c>
      <c r="AU259" s="2">
        <v>0</v>
      </c>
      <c r="AV259" s="5">
        <v>1053.32</v>
      </c>
      <c r="AX259" s="2">
        <v>190936</v>
      </c>
      <c r="AY259" s="2">
        <v>19727</v>
      </c>
      <c r="AZ259" s="2">
        <v>8523.93</v>
      </c>
      <c r="BA259" s="2">
        <v>880.67</v>
      </c>
      <c r="BB259" s="5">
        <v>1880.92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12639.78</v>
      </c>
      <c r="BI259" s="12">
        <v>11285.52</v>
      </c>
      <c r="BJ259" s="2">
        <v>0</v>
      </c>
      <c r="BK259" s="5">
        <v>1053.32</v>
      </c>
      <c r="BL259" s="1" t="s">
        <v>546</v>
      </c>
    </row>
    <row r="260" spans="1:64" x14ac:dyDescent="0.3">
      <c r="A260" t="s">
        <v>602</v>
      </c>
      <c r="B260" s="1" t="s">
        <v>603</v>
      </c>
      <c r="C260" s="9" t="s">
        <v>604</v>
      </c>
      <c r="D260" s="1" t="s">
        <v>95</v>
      </c>
      <c r="E260" s="1" t="s">
        <v>135</v>
      </c>
      <c r="F260" s="10" t="s">
        <v>435</v>
      </c>
      <c r="G260" s="1">
        <v>4.4999999999999998E-2</v>
      </c>
      <c r="H260" s="1">
        <v>0.05</v>
      </c>
      <c r="I260" s="8">
        <v>45186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642937</v>
      </c>
      <c r="AJ260" s="2">
        <v>229805.5</v>
      </c>
      <c r="AK260" s="2">
        <v>28702.539999999997</v>
      </c>
      <c r="AL260" s="2">
        <v>10259.18</v>
      </c>
      <c r="AM260" s="5">
        <v>7792.33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52364.54</v>
      </c>
      <c r="AT260" s="12">
        <v>46754.049999999996</v>
      </c>
      <c r="AU260" s="2">
        <v>0</v>
      </c>
      <c r="AV260" s="5">
        <v>4363.71</v>
      </c>
      <c r="AX260" s="2">
        <v>642937</v>
      </c>
      <c r="AY260" s="2">
        <v>229805.5</v>
      </c>
      <c r="AZ260" s="2">
        <v>28702.539999999997</v>
      </c>
      <c r="BA260" s="2">
        <v>10259.18</v>
      </c>
      <c r="BB260" s="5">
        <v>7792.33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52364.54</v>
      </c>
      <c r="BI260" s="12">
        <v>46754.049999999996</v>
      </c>
      <c r="BJ260" s="2">
        <v>0</v>
      </c>
      <c r="BK260" s="5">
        <v>4363.71</v>
      </c>
      <c r="BL260" s="1" t="s">
        <v>436</v>
      </c>
    </row>
    <row r="261" spans="1:64" x14ac:dyDescent="0.3">
      <c r="A261" t="s">
        <v>608</v>
      </c>
      <c r="B261" s="1" t="s">
        <v>608</v>
      </c>
      <c r="C261" s="9" t="s">
        <v>609</v>
      </c>
      <c r="D261" s="1" t="s">
        <v>95</v>
      </c>
      <c r="E261" s="1" t="s">
        <v>135</v>
      </c>
      <c r="F261" s="10" t="s">
        <v>435</v>
      </c>
      <c r="G261" s="1">
        <v>3.5000000000000003E-2</v>
      </c>
      <c r="H261" s="1">
        <v>0.05</v>
      </c>
      <c r="I261" s="8">
        <v>44898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1015999</v>
      </c>
      <c r="AJ261" s="2">
        <v>183290</v>
      </c>
      <c r="AK261" s="2">
        <v>45357.1</v>
      </c>
      <c r="AL261" s="2">
        <v>8182.59</v>
      </c>
      <c r="AM261" s="5">
        <v>10707.94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71957.350000000006</v>
      </c>
      <c r="AT261" s="12">
        <v>64247.63</v>
      </c>
      <c r="AU261" s="2">
        <v>0</v>
      </c>
      <c r="AV261" s="5">
        <v>5996.4500000000007</v>
      </c>
      <c r="AX261" s="2">
        <v>1015999</v>
      </c>
      <c r="AY261" s="2">
        <v>183290</v>
      </c>
      <c r="AZ261" s="2">
        <v>45357.1</v>
      </c>
      <c r="BA261" s="2">
        <v>8182.59</v>
      </c>
      <c r="BB261" s="5">
        <v>10707.94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71957.350000000006</v>
      </c>
      <c r="BI261" s="12">
        <v>64247.63</v>
      </c>
      <c r="BJ261" s="2">
        <v>0</v>
      </c>
      <c r="BK261" s="5">
        <v>5996.4500000000007</v>
      </c>
      <c r="BL261" s="1" t="s">
        <v>137</v>
      </c>
    </row>
    <row r="262" spans="1:64" x14ac:dyDescent="0.3">
      <c r="A262" t="s">
        <v>612</v>
      </c>
      <c r="B262" s="1" t="s">
        <v>612</v>
      </c>
      <c r="C262" s="9" t="s">
        <v>613</v>
      </c>
      <c r="D262" s="1" t="s">
        <v>95</v>
      </c>
      <c r="E262" s="1" t="s">
        <v>128</v>
      </c>
      <c r="F262" s="10" t="s">
        <v>129</v>
      </c>
      <c r="G262" s="1">
        <v>4.4999999999999998E-2</v>
      </c>
      <c r="H262" s="1">
        <v>0.05</v>
      </c>
      <c r="I262" s="8">
        <v>44964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1308373</v>
      </c>
      <c r="AJ262" s="2">
        <v>61040</v>
      </c>
      <c r="AK262" s="2">
        <v>58409.51</v>
      </c>
      <c r="AL262" s="2">
        <v>2724.9900000000002</v>
      </c>
      <c r="AM262" s="5">
        <v>12226.900000000001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82164.77</v>
      </c>
      <c r="AT262" s="12">
        <v>73361.399999999994</v>
      </c>
      <c r="AU262" s="2">
        <v>0</v>
      </c>
      <c r="AV262" s="5">
        <v>6847.0599999999995</v>
      </c>
      <c r="AX262" s="2">
        <v>1308373</v>
      </c>
      <c r="AY262" s="2">
        <v>61040</v>
      </c>
      <c r="AZ262" s="2">
        <v>58409.51</v>
      </c>
      <c r="BA262" s="2">
        <v>2724.9900000000002</v>
      </c>
      <c r="BB262" s="5">
        <v>12226.900000000001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82164.77</v>
      </c>
      <c r="BI262" s="12">
        <v>73361.399999999994</v>
      </c>
      <c r="BJ262" s="2">
        <v>0</v>
      </c>
      <c r="BK262" s="5">
        <v>6847.0599999999995</v>
      </c>
      <c r="BL262" s="1" t="s">
        <v>130</v>
      </c>
    </row>
    <row r="263" spans="1:64" x14ac:dyDescent="0.3">
      <c r="A263" t="s">
        <v>635</v>
      </c>
      <c r="B263" s="1" t="s">
        <v>635</v>
      </c>
      <c r="C263" s="9" t="s">
        <v>636</v>
      </c>
      <c r="D263" s="1" t="s">
        <v>95</v>
      </c>
      <c r="E263" s="1" t="s">
        <v>135</v>
      </c>
      <c r="F263" s="10" t="s">
        <v>485</v>
      </c>
      <c r="G263" s="1">
        <v>4.4999999999999998E-2</v>
      </c>
      <c r="H263" s="1">
        <v>0.05</v>
      </c>
      <c r="I263" s="8">
        <v>45124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663191</v>
      </c>
      <c r="AJ263" s="2">
        <v>93226</v>
      </c>
      <c r="AK263" s="2">
        <v>29606.74</v>
      </c>
      <c r="AL263" s="2">
        <v>4161.88</v>
      </c>
      <c r="AM263" s="5">
        <v>6753.72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45385.02</v>
      </c>
      <c r="AT263" s="12">
        <v>40522.340000000004</v>
      </c>
      <c r="AU263" s="2">
        <v>0</v>
      </c>
      <c r="AV263" s="5">
        <v>3782.08</v>
      </c>
      <c r="AX263" s="2">
        <v>663191</v>
      </c>
      <c r="AY263" s="2">
        <v>93226</v>
      </c>
      <c r="AZ263" s="2">
        <v>29606.74</v>
      </c>
      <c r="BA263" s="2">
        <v>4161.88</v>
      </c>
      <c r="BB263" s="5">
        <v>6753.72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45385.02</v>
      </c>
      <c r="BI263" s="12">
        <v>40522.340000000004</v>
      </c>
      <c r="BJ263" s="2">
        <v>0</v>
      </c>
      <c r="BK263" s="5">
        <v>3782.08</v>
      </c>
      <c r="BL263" s="1" t="s">
        <v>302</v>
      </c>
    </row>
    <row r="264" spans="1:64" x14ac:dyDescent="0.3">
      <c r="A264" t="s">
        <v>650</v>
      </c>
      <c r="B264" s="1" t="s">
        <v>650</v>
      </c>
      <c r="C264" s="9" t="s">
        <v>651</v>
      </c>
      <c r="D264" s="1" t="s">
        <v>95</v>
      </c>
      <c r="E264" s="1" t="s">
        <v>88</v>
      </c>
      <c r="F264" s="10" t="s">
        <v>432</v>
      </c>
      <c r="G264" s="1">
        <v>4.4999999999999998E-2</v>
      </c>
      <c r="H264" s="1">
        <v>0.05</v>
      </c>
      <c r="I264" s="8">
        <v>45287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669074</v>
      </c>
      <c r="AJ264" s="2">
        <v>592297</v>
      </c>
      <c r="AK264" s="2">
        <v>29869.369999999995</v>
      </c>
      <c r="AL264" s="2">
        <v>26441.83</v>
      </c>
      <c r="AM264" s="5">
        <v>11262.240000000002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75682.25</v>
      </c>
      <c r="AT264" s="12">
        <v>67573.440000000002</v>
      </c>
      <c r="AU264" s="2">
        <v>0</v>
      </c>
      <c r="AV264" s="5">
        <v>6306.85</v>
      </c>
      <c r="AX264" s="2">
        <v>669074</v>
      </c>
      <c r="AY264" s="2">
        <v>592297</v>
      </c>
      <c r="AZ264" s="2">
        <v>29869.369999999995</v>
      </c>
      <c r="BA264" s="2">
        <v>26441.83</v>
      </c>
      <c r="BB264" s="5">
        <v>11262.240000000002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75682.25</v>
      </c>
      <c r="BI264" s="12">
        <v>67573.440000000002</v>
      </c>
      <c r="BJ264" s="2">
        <v>0</v>
      </c>
      <c r="BK264" s="5">
        <v>6306.85</v>
      </c>
      <c r="BL264" s="1" t="s">
        <v>90</v>
      </c>
    </row>
    <row r="265" spans="1:64" x14ac:dyDescent="0.3">
      <c r="A265" t="s">
        <v>674</v>
      </c>
      <c r="B265" s="1" t="s">
        <v>674</v>
      </c>
      <c r="C265" s="9" t="s">
        <v>675</v>
      </c>
      <c r="D265" s="1" t="s">
        <v>95</v>
      </c>
      <c r="E265" s="1" t="s">
        <v>88</v>
      </c>
      <c r="F265" s="10" t="s">
        <v>432</v>
      </c>
      <c r="G265" s="1">
        <v>3.5000000000000003E-2</v>
      </c>
      <c r="H265" s="1">
        <v>0.05</v>
      </c>
      <c r="I265" s="8">
        <v>45567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864689</v>
      </c>
      <c r="AJ265" s="2">
        <v>144916</v>
      </c>
      <c r="AK265" s="2">
        <v>38602.19</v>
      </c>
      <c r="AL265" s="2">
        <v>6469.46</v>
      </c>
      <c r="AM265" s="5">
        <v>9014.33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60576.3</v>
      </c>
      <c r="AT265" s="12">
        <v>54085.98</v>
      </c>
      <c r="AU265" s="2">
        <v>0</v>
      </c>
      <c r="AV265" s="5">
        <v>5048.03</v>
      </c>
      <c r="AX265" s="2">
        <v>864689</v>
      </c>
      <c r="AY265" s="2">
        <v>144916</v>
      </c>
      <c r="AZ265" s="2">
        <v>38602.19</v>
      </c>
      <c r="BA265" s="2">
        <v>6469.46</v>
      </c>
      <c r="BB265" s="5">
        <v>9014.33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60576.3</v>
      </c>
      <c r="BI265" s="12">
        <v>54085.98</v>
      </c>
      <c r="BJ265" s="2">
        <v>0</v>
      </c>
      <c r="BK265" s="5">
        <v>5048.03</v>
      </c>
      <c r="BL265" s="1" t="s">
        <v>90</v>
      </c>
    </row>
    <row r="266" spans="1:64" x14ac:dyDescent="0.3">
      <c r="A266" t="s">
        <v>678</v>
      </c>
      <c r="B266" s="1" t="s">
        <v>678</v>
      </c>
      <c r="C266" s="9" t="s">
        <v>679</v>
      </c>
      <c r="D266" s="1" t="s">
        <v>95</v>
      </c>
      <c r="E266" s="1" t="s">
        <v>128</v>
      </c>
      <c r="F266" s="10" t="s">
        <v>309</v>
      </c>
      <c r="G266" s="1">
        <v>3.5000000000000003E-2</v>
      </c>
      <c r="H266" s="1">
        <v>0.05</v>
      </c>
      <c r="I266" s="8">
        <v>45719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936645</v>
      </c>
      <c r="AJ266" s="2">
        <v>41756</v>
      </c>
      <c r="AK266" s="2">
        <v>41814.51</v>
      </c>
      <c r="AL266" s="2">
        <v>1864.1</v>
      </c>
      <c r="AM266" s="5">
        <v>8735.7199999999993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58704.05</v>
      </c>
      <c r="AT266" s="12">
        <v>52414.33</v>
      </c>
      <c r="AU266" s="2">
        <v>0</v>
      </c>
      <c r="AV266" s="5">
        <v>4892</v>
      </c>
      <c r="AX266" s="2">
        <v>936645</v>
      </c>
      <c r="AY266" s="2">
        <v>41756</v>
      </c>
      <c r="AZ266" s="2">
        <v>41814.51</v>
      </c>
      <c r="BA266" s="2">
        <v>1864.1</v>
      </c>
      <c r="BB266" s="5">
        <v>8735.7199999999993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58704.05</v>
      </c>
      <c r="BI266" s="12">
        <v>52414.33</v>
      </c>
      <c r="BJ266" s="2">
        <v>0</v>
      </c>
      <c r="BK266" s="5">
        <v>4892</v>
      </c>
      <c r="BL266" s="1" t="s">
        <v>130</v>
      </c>
    </row>
    <row r="267" spans="1:64" x14ac:dyDescent="0.3">
      <c r="A267" t="s">
        <v>686</v>
      </c>
      <c r="B267" s="1" t="s">
        <v>686</v>
      </c>
      <c r="C267" s="9" t="s">
        <v>687</v>
      </c>
      <c r="D267" s="1" t="s">
        <v>95</v>
      </c>
      <c r="E267" s="1" t="s">
        <v>135</v>
      </c>
      <c r="F267" s="10" t="s">
        <v>348</v>
      </c>
      <c r="G267" s="1">
        <v>3.5000000000000003E-2</v>
      </c>
      <c r="H267" s="1">
        <v>0.05</v>
      </c>
      <c r="I267" s="8">
        <v>44538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403509</v>
      </c>
      <c r="AJ267" s="2">
        <v>97034</v>
      </c>
      <c r="AK267" s="2">
        <v>18013.79</v>
      </c>
      <c r="AL267" s="2">
        <v>4331.87</v>
      </c>
      <c r="AM267" s="5">
        <v>4469.13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30032.560000000001</v>
      </c>
      <c r="AT267" s="12">
        <v>26814.79</v>
      </c>
      <c r="AU267" s="2">
        <v>0</v>
      </c>
      <c r="AV267" s="5">
        <v>2502.7199999999998</v>
      </c>
      <c r="AX267" s="2">
        <v>403509</v>
      </c>
      <c r="AY267" s="2">
        <v>97034</v>
      </c>
      <c r="AZ267" s="2">
        <v>18013.79</v>
      </c>
      <c r="BA267" s="2">
        <v>4331.87</v>
      </c>
      <c r="BB267" s="5">
        <v>4469.13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30032.560000000001</v>
      </c>
      <c r="BI267" s="12">
        <v>26814.79</v>
      </c>
      <c r="BJ267" s="2">
        <v>0</v>
      </c>
      <c r="BK267" s="5">
        <v>2502.7199999999998</v>
      </c>
      <c r="BL267" s="1" t="s">
        <v>137</v>
      </c>
    </row>
    <row r="268" spans="1:64" x14ac:dyDescent="0.3">
      <c r="A268" t="s">
        <v>688</v>
      </c>
      <c r="B268" s="1" t="s">
        <v>688</v>
      </c>
      <c r="C268" s="9" t="s">
        <v>689</v>
      </c>
      <c r="D268" s="1" t="s">
        <v>95</v>
      </c>
      <c r="E268" s="1" t="s">
        <v>128</v>
      </c>
      <c r="F268" s="10" t="s">
        <v>325</v>
      </c>
      <c r="G268" s="1">
        <v>3.5000000000000003E-2</v>
      </c>
      <c r="H268" s="1">
        <v>0.05</v>
      </c>
      <c r="I268" s="8">
        <v>45667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2132201</v>
      </c>
      <c r="AJ268" s="2">
        <v>97694</v>
      </c>
      <c r="AK268" s="2">
        <v>95187.54</v>
      </c>
      <c r="AL268" s="2">
        <v>4361.34</v>
      </c>
      <c r="AM268" s="5">
        <v>19909.78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133793.70000000001</v>
      </c>
      <c r="AT268" s="12">
        <v>119458.65999999999</v>
      </c>
      <c r="AU268" s="2">
        <v>0</v>
      </c>
      <c r="AV268" s="5">
        <v>11149.48</v>
      </c>
      <c r="AX268" s="2">
        <v>2132201</v>
      </c>
      <c r="AY268" s="2">
        <v>97694</v>
      </c>
      <c r="AZ268" s="2">
        <v>95187.54</v>
      </c>
      <c r="BA268" s="2">
        <v>4361.34</v>
      </c>
      <c r="BB268" s="5">
        <v>19909.78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133793.70000000001</v>
      </c>
      <c r="BI268" s="12">
        <v>119458.65999999999</v>
      </c>
      <c r="BJ268" s="2">
        <v>0</v>
      </c>
      <c r="BK268" s="5">
        <v>11149.48</v>
      </c>
      <c r="BL268" s="1" t="s">
        <v>326</v>
      </c>
    </row>
    <row r="269" spans="1:64" x14ac:dyDescent="0.3">
      <c r="A269" t="s">
        <v>704</v>
      </c>
      <c r="B269" s="1" t="s">
        <v>704</v>
      </c>
      <c r="C269" s="9" t="s">
        <v>705</v>
      </c>
      <c r="D269" s="1" t="s">
        <v>95</v>
      </c>
      <c r="E269" s="1" t="s">
        <v>135</v>
      </c>
      <c r="F269" s="10" t="s">
        <v>435</v>
      </c>
      <c r="G269" s="1">
        <v>3.5000000000000003E-2</v>
      </c>
      <c r="H269" s="1">
        <v>0.05</v>
      </c>
      <c r="I269" s="8">
        <v>44482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200311</v>
      </c>
      <c r="AJ269" s="2">
        <v>50790</v>
      </c>
      <c r="AK269" s="2">
        <v>8942.4599999999991</v>
      </c>
      <c r="AL269" s="2">
        <v>2267.41</v>
      </c>
      <c r="AM269" s="5">
        <v>2241.9699999999998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15066.06</v>
      </c>
      <c r="AT269" s="12">
        <v>13451.839999999998</v>
      </c>
      <c r="AU269" s="2">
        <v>0</v>
      </c>
      <c r="AV269" s="5">
        <v>1255.51</v>
      </c>
      <c r="AX269" s="2">
        <v>200311</v>
      </c>
      <c r="AY269" s="2">
        <v>50790</v>
      </c>
      <c r="AZ269" s="2">
        <v>8942.4599999999991</v>
      </c>
      <c r="BA269" s="2">
        <v>2267.41</v>
      </c>
      <c r="BB269" s="5">
        <v>2241.9699999999998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15066.06</v>
      </c>
      <c r="BI269" s="12">
        <v>13451.839999999998</v>
      </c>
      <c r="BJ269" s="2">
        <v>0</v>
      </c>
      <c r="BK269" s="5">
        <v>1255.51</v>
      </c>
      <c r="BL269" s="1" t="s">
        <v>137</v>
      </c>
    </row>
    <row r="270" spans="1:64" x14ac:dyDescent="0.3">
      <c r="A270" t="s">
        <v>706</v>
      </c>
      <c r="B270" s="1" t="s">
        <v>706</v>
      </c>
      <c r="C270" s="9" t="s">
        <v>707</v>
      </c>
      <c r="D270" s="1" t="s">
        <v>95</v>
      </c>
      <c r="E270" s="1" t="s">
        <v>88</v>
      </c>
      <c r="F270" s="10" t="s">
        <v>218</v>
      </c>
      <c r="G270" s="1">
        <v>3.5000000000000003E-2</v>
      </c>
      <c r="H270" s="1">
        <v>0.05</v>
      </c>
      <c r="I270" s="8">
        <v>44044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305411</v>
      </c>
      <c r="AJ270" s="2">
        <v>90650</v>
      </c>
      <c r="AK270" s="2">
        <v>13634.42</v>
      </c>
      <c r="AL270" s="2">
        <v>4046.87</v>
      </c>
      <c r="AM270" s="5">
        <v>3536.26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23763.66</v>
      </c>
      <c r="AT270" s="12">
        <v>21217.55</v>
      </c>
      <c r="AU270" s="2">
        <v>0</v>
      </c>
      <c r="AV270" s="5">
        <v>1980.31</v>
      </c>
      <c r="AX270" s="2">
        <v>305411</v>
      </c>
      <c r="AY270" s="2">
        <v>90650</v>
      </c>
      <c r="AZ270" s="2">
        <v>13634.42</v>
      </c>
      <c r="BA270" s="2">
        <v>4046.87</v>
      </c>
      <c r="BB270" s="5">
        <v>3536.26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23763.66</v>
      </c>
      <c r="BI270" s="12">
        <v>21217.55</v>
      </c>
      <c r="BJ270" s="2">
        <v>0</v>
      </c>
      <c r="BK270" s="5">
        <v>1980.31</v>
      </c>
      <c r="BL270" s="1" t="s">
        <v>90</v>
      </c>
    </row>
    <row r="271" spans="1:64" x14ac:dyDescent="0.3">
      <c r="A271" t="s">
        <v>710</v>
      </c>
      <c r="B271" s="1" t="s">
        <v>710</v>
      </c>
      <c r="C271" s="9" t="s">
        <v>711</v>
      </c>
      <c r="D271" s="1" t="s">
        <v>95</v>
      </c>
      <c r="E271" s="1" t="s">
        <v>88</v>
      </c>
      <c r="F271" s="10" t="s">
        <v>545</v>
      </c>
      <c r="G271" s="1">
        <v>3.5000000000000003E-2</v>
      </c>
      <c r="H271" s="1">
        <v>0.05</v>
      </c>
      <c r="I271" s="8">
        <v>44130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0</v>
      </c>
      <c r="AJ271" s="2">
        <v>0</v>
      </c>
      <c r="AK271" s="2">
        <v>0</v>
      </c>
      <c r="AL271" s="2">
        <v>0</v>
      </c>
      <c r="AM271" s="5">
        <v>0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0</v>
      </c>
      <c r="AT271" s="12">
        <v>0</v>
      </c>
      <c r="AU271" s="2">
        <v>0</v>
      </c>
      <c r="AV271" s="5">
        <v>0</v>
      </c>
      <c r="AX271" s="2">
        <v>0</v>
      </c>
      <c r="AY271" s="2">
        <v>0</v>
      </c>
      <c r="AZ271" s="2">
        <v>0</v>
      </c>
      <c r="BA271" s="2">
        <v>0</v>
      </c>
      <c r="BB271" s="5">
        <v>0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0</v>
      </c>
      <c r="BI271" s="12">
        <v>0</v>
      </c>
      <c r="BJ271" s="2">
        <v>0</v>
      </c>
      <c r="BK271" s="5">
        <v>0</v>
      </c>
      <c r="BL271" s="1" t="s">
        <v>546</v>
      </c>
    </row>
    <row r="272" spans="1:64" x14ac:dyDescent="0.3">
      <c r="A272" t="s">
        <v>712</v>
      </c>
      <c r="B272" s="1" t="s">
        <v>712</v>
      </c>
      <c r="C272" s="9" t="s">
        <v>713</v>
      </c>
      <c r="D272" s="1" t="s">
        <v>95</v>
      </c>
      <c r="E272" s="1" t="s">
        <v>135</v>
      </c>
      <c r="F272" s="10" t="s">
        <v>193</v>
      </c>
      <c r="G272" s="1">
        <v>3.5000000000000003E-2</v>
      </c>
      <c r="H272" s="1">
        <v>0.05</v>
      </c>
      <c r="I272" s="8">
        <v>44113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1146597</v>
      </c>
      <c r="AJ272" s="2">
        <v>65780</v>
      </c>
      <c r="AK272" s="2">
        <v>51187.360000000001</v>
      </c>
      <c r="AL272" s="2">
        <v>2936.6</v>
      </c>
      <c r="AM272" s="5">
        <v>10824.79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72742.600000000006</v>
      </c>
      <c r="AT272" s="12">
        <v>64948.75</v>
      </c>
      <c r="AU272" s="2">
        <v>0</v>
      </c>
      <c r="AV272" s="5">
        <v>6061.88</v>
      </c>
      <c r="AX272" s="2">
        <v>1146597</v>
      </c>
      <c r="AY272" s="2">
        <v>65780</v>
      </c>
      <c r="AZ272" s="2">
        <v>51187.360000000001</v>
      </c>
      <c r="BA272" s="2">
        <v>2936.6</v>
      </c>
      <c r="BB272" s="5">
        <v>10824.79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72742.600000000006</v>
      </c>
      <c r="BI272" s="12">
        <v>64948.75</v>
      </c>
      <c r="BJ272" s="2">
        <v>0</v>
      </c>
      <c r="BK272" s="5">
        <v>6061.88</v>
      </c>
      <c r="BL272" s="1" t="s">
        <v>137</v>
      </c>
    </row>
    <row r="273" spans="1:64" x14ac:dyDescent="0.3">
      <c r="A273" t="s">
        <v>716</v>
      </c>
      <c r="B273" s="1" t="s">
        <v>716</v>
      </c>
      <c r="C273" s="9" t="s">
        <v>717</v>
      </c>
      <c r="D273" s="1" t="s">
        <v>95</v>
      </c>
      <c r="E273" s="1" t="s">
        <v>88</v>
      </c>
      <c r="F273" s="10" t="s">
        <v>96</v>
      </c>
      <c r="G273" s="1">
        <v>0.04</v>
      </c>
      <c r="H273" s="1">
        <v>0.05</v>
      </c>
      <c r="I273" s="8">
        <v>44232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677022.09</v>
      </c>
      <c r="AJ273" s="2">
        <v>84353</v>
      </c>
      <c r="AK273" s="2">
        <v>30224.2</v>
      </c>
      <c r="AL273" s="2">
        <v>3765.76</v>
      </c>
      <c r="AM273" s="5">
        <v>6797.99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45682.5</v>
      </c>
      <c r="AT273" s="12">
        <v>40787.949999999997</v>
      </c>
      <c r="AU273" s="2">
        <v>0</v>
      </c>
      <c r="AV273" s="5">
        <v>3806.88</v>
      </c>
      <c r="AX273" s="2">
        <v>677022.09</v>
      </c>
      <c r="AY273" s="2">
        <v>84353</v>
      </c>
      <c r="AZ273" s="2">
        <v>30224.2</v>
      </c>
      <c r="BA273" s="2">
        <v>3765.76</v>
      </c>
      <c r="BB273" s="5">
        <v>6797.99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45682.5</v>
      </c>
      <c r="BI273" s="12">
        <v>40787.949999999997</v>
      </c>
      <c r="BJ273" s="2">
        <v>0</v>
      </c>
      <c r="BK273" s="5">
        <v>3806.88</v>
      </c>
      <c r="BL273" s="1" t="s">
        <v>90</v>
      </c>
    </row>
    <row r="274" spans="1:64" x14ac:dyDescent="0.3">
      <c r="A274" t="s">
        <v>718</v>
      </c>
      <c r="B274" s="1" t="s">
        <v>718</v>
      </c>
      <c r="C274" s="9" t="s">
        <v>719</v>
      </c>
      <c r="D274" s="1" t="s">
        <v>95</v>
      </c>
      <c r="E274" s="1" t="s">
        <v>135</v>
      </c>
      <c r="F274" s="10" t="s">
        <v>435</v>
      </c>
      <c r="G274" s="1">
        <v>3.5000000000000003E-2</v>
      </c>
      <c r="H274" s="1">
        <v>0.05</v>
      </c>
      <c r="I274" s="8">
        <v>44328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541218</v>
      </c>
      <c r="AJ274" s="2">
        <v>89865</v>
      </c>
      <c r="AK274" s="2">
        <v>24161.52</v>
      </c>
      <c r="AL274" s="2">
        <v>4011.83</v>
      </c>
      <c r="AM274" s="5">
        <v>5634.67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37864.980000000003</v>
      </c>
      <c r="AT274" s="12">
        <v>33808.019999999997</v>
      </c>
      <c r="AU274" s="2">
        <v>0</v>
      </c>
      <c r="AV274" s="5">
        <v>3155.42</v>
      </c>
      <c r="AX274" s="2">
        <v>541218</v>
      </c>
      <c r="AY274" s="2">
        <v>89865</v>
      </c>
      <c r="AZ274" s="2">
        <v>24161.52</v>
      </c>
      <c r="BA274" s="2">
        <v>4011.83</v>
      </c>
      <c r="BB274" s="5">
        <v>5634.67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37864.980000000003</v>
      </c>
      <c r="BI274" s="12">
        <v>33808.019999999997</v>
      </c>
      <c r="BJ274" s="2">
        <v>0</v>
      </c>
      <c r="BK274" s="5">
        <v>3155.42</v>
      </c>
      <c r="BL274" s="1" t="s">
        <v>137</v>
      </c>
    </row>
    <row r="275" spans="1:64" x14ac:dyDescent="0.3">
      <c r="A275" t="s">
        <v>720</v>
      </c>
      <c r="B275" s="1" t="s">
        <v>720</v>
      </c>
      <c r="C275" s="9" t="s">
        <v>721</v>
      </c>
      <c r="D275" s="1" t="s">
        <v>95</v>
      </c>
      <c r="E275" s="1" t="s">
        <v>88</v>
      </c>
      <c r="F275" s="10" t="s">
        <v>534</v>
      </c>
      <c r="G275" s="1">
        <v>0.04</v>
      </c>
      <c r="H275" s="1">
        <v>0.05</v>
      </c>
      <c r="I275" s="8">
        <v>44313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2318101</v>
      </c>
      <c r="AJ275" s="2">
        <v>296102</v>
      </c>
      <c r="AK275" s="2">
        <v>103486.65</v>
      </c>
      <c r="AL275" s="2">
        <v>13218.84</v>
      </c>
      <c r="AM275" s="5">
        <v>23341.1</v>
      </c>
      <c r="AN275" s="12">
        <v>380725.2</v>
      </c>
      <c r="AO275" s="2">
        <v>0</v>
      </c>
      <c r="AP275" s="2">
        <v>16996.66</v>
      </c>
      <c r="AQ275" s="2">
        <v>0</v>
      </c>
      <c r="AR275" s="5">
        <v>3399.33</v>
      </c>
      <c r="AS275" s="2">
        <v>179695.69</v>
      </c>
      <c r="AT275" s="12">
        <v>160442.57999999999</v>
      </c>
      <c r="AU275" s="2">
        <v>0</v>
      </c>
      <c r="AV275" s="5">
        <v>14974.630000000001</v>
      </c>
      <c r="AX275" s="2">
        <v>2318101</v>
      </c>
      <c r="AY275" s="2">
        <v>296102</v>
      </c>
      <c r="AZ275" s="2">
        <v>103486.65</v>
      </c>
      <c r="BA275" s="2">
        <v>13218.84</v>
      </c>
      <c r="BB275" s="5">
        <v>23341.1</v>
      </c>
      <c r="BC275" s="12">
        <v>380725.2</v>
      </c>
      <c r="BD275" s="2">
        <v>0</v>
      </c>
      <c r="BE275" s="2">
        <v>16996.66</v>
      </c>
      <c r="BF275" s="2">
        <v>0</v>
      </c>
      <c r="BG275" s="5">
        <v>3399.33</v>
      </c>
      <c r="BH275" s="2">
        <v>179695.69</v>
      </c>
      <c r="BI275" s="12">
        <v>160442.57999999999</v>
      </c>
      <c r="BJ275" s="2">
        <v>0</v>
      </c>
      <c r="BK275" s="5">
        <v>14974.630000000001</v>
      </c>
      <c r="BL275" s="1" t="s">
        <v>90</v>
      </c>
    </row>
    <row r="276" spans="1:64" x14ac:dyDescent="0.3">
      <c r="A276" t="s">
        <v>757</v>
      </c>
      <c r="B276" s="1" t="s">
        <v>757</v>
      </c>
      <c r="C276" s="9" t="s">
        <v>758</v>
      </c>
      <c r="D276" s="1" t="s">
        <v>95</v>
      </c>
      <c r="E276" s="1" t="s">
        <v>135</v>
      </c>
      <c r="F276" s="10" t="s">
        <v>136</v>
      </c>
      <c r="G276" s="1">
        <v>3.5000000000000003E-2</v>
      </c>
      <c r="H276" s="1">
        <v>0.05</v>
      </c>
      <c r="I276" s="8">
        <v>45608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1752435.15</v>
      </c>
      <c r="AJ276" s="2">
        <v>213354</v>
      </c>
      <c r="AK276" s="2">
        <v>78233.709999999992</v>
      </c>
      <c r="AL276" s="2">
        <v>9524.73</v>
      </c>
      <c r="AM276" s="5">
        <v>17551.68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117947.33</v>
      </c>
      <c r="AT276" s="12">
        <v>105310.12</v>
      </c>
      <c r="AU276" s="2">
        <v>0</v>
      </c>
      <c r="AV276" s="5">
        <v>9828.9500000000007</v>
      </c>
      <c r="AX276" s="2">
        <v>1752435.15</v>
      </c>
      <c r="AY276" s="2">
        <v>213354</v>
      </c>
      <c r="AZ276" s="2">
        <v>78233.709999999992</v>
      </c>
      <c r="BA276" s="2">
        <v>9524.73</v>
      </c>
      <c r="BB276" s="5">
        <v>17551.68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117947.33</v>
      </c>
      <c r="BI276" s="12">
        <v>105310.12</v>
      </c>
      <c r="BJ276" s="2">
        <v>0</v>
      </c>
      <c r="BK276" s="5">
        <v>9828.9500000000007</v>
      </c>
      <c r="BL276" s="1" t="s">
        <v>137</v>
      </c>
    </row>
    <row r="277" spans="1:64" x14ac:dyDescent="0.3">
      <c r="A277" t="s">
        <v>767</v>
      </c>
      <c r="B277" s="1" t="s">
        <v>767</v>
      </c>
      <c r="C277" s="9" t="s">
        <v>768</v>
      </c>
      <c r="D277" s="1" t="s">
        <v>95</v>
      </c>
      <c r="E277" s="1" t="s">
        <v>135</v>
      </c>
      <c r="F277" s="10" t="s">
        <v>435</v>
      </c>
      <c r="G277" s="1">
        <v>3.5000000000000003E-2</v>
      </c>
      <c r="H277" s="1">
        <v>0.05</v>
      </c>
      <c r="I277" s="8">
        <v>44644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907428</v>
      </c>
      <c r="AJ277" s="2">
        <v>372846</v>
      </c>
      <c r="AK277" s="2">
        <v>40510.18</v>
      </c>
      <c r="AL277" s="2">
        <v>16644.91</v>
      </c>
      <c r="AM277" s="5">
        <v>11431.02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76816.44</v>
      </c>
      <c r="AT277" s="12">
        <v>68586.109999999986</v>
      </c>
      <c r="AU277" s="2">
        <v>0</v>
      </c>
      <c r="AV277" s="5">
        <v>6401.3700000000008</v>
      </c>
      <c r="AX277" s="2">
        <v>907428</v>
      </c>
      <c r="AY277" s="2">
        <v>372846</v>
      </c>
      <c r="AZ277" s="2">
        <v>40510.18</v>
      </c>
      <c r="BA277" s="2">
        <v>16644.91</v>
      </c>
      <c r="BB277" s="5">
        <v>11431.02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76816.44</v>
      </c>
      <c r="BI277" s="12">
        <v>68586.109999999986</v>
      </c>
      <c r="BJ277" s="2">
        <v>0</v>
      </c>
      <c r="BK277" s="5">
        <v>6401.3700000000008</v>
      </c>
      <c r="BL277" s="1" t="s">
        <v>137</v>
      </c>
    </row>
    <row r="278" spans="1:64" x14ac:dyDescent="0.3">
      <c r="A278" t="s">
        <v>785</v>
      </c>
      <c r="B278" s="1" t="s">
        <v>785</v>
      </c>
      <c r="C278" s="9" t="s">
        <v>786</v>
      </c>
      <c r="D278" s="1" t="s">
        <v>95</v>
      </c>
      <c r="E278" s="1" t="s">
        <v>128</v>
      </c>
      <c r="F278" s="10" t="s">
        <v>325</v>
      </c>
      <c r="G278" s="1">
        <v>0.04</v>
      </c>
      <c r="H278" s="1">
        <v>0.05</v>
      </c>
      <c r="I278" s="8">
        <v>44734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865044</v>
      </c>
      <c r="AJ278" s="2">
        <v>76670</v>
      </c>
      <c r="AK278" s="2">
        <v>38618.04</v>
      </c>
      <c r="AL278" s="2">
        <v>3422.77</v>
      </c>
      <c r="AM278" s="5">
        <v>8408.16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56502.85</v>
      </c>
      <c r="AT278" s="12">
        <v>50448.97</v>
      </c>
      <c r="AU278" s="2">
        <v>0</v>
      </c>
      <c r="AV278" s="5">
        <v>4708.57</v>
      </c>
      <c r="AX278" s="2">
        <v>865044</v>
      </c>
      <c r="AY278" s="2">
        <v>76670</v>
      </c>
      <c r="AZ278" s="2">
        <v>38618.04</v>
      </c>
      <c r="BA278" s="2">
        <v>3422.77</v>
      </c>
      <c r="BB278" s="5">
        <v>8408.16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56502.85</v>
      </c>
      <c r="BI278" s="12">
        <v>50448.97</v>
      </c>
      <c r="BJ278" s="2">
        <v>0</v>
      </c>
      <c r="BK278" s="5">
        <v>4708.57</v>
      </c>
      <c r="BL278" s="1" t="s">
        <v>326</v>
      </c>
    </row>
    <row r="279" spans="1:64" x14ac:dyDescent="0.3">
      <c r="A279" t="s">
        <v>791</v>
      </c>
      <c r="B279" s="1" t="s">
        <v>791</v>
      </c>
      <c r="C279" s="9" t="s">
        <v>792</v>
      </c>
      <c r="D279" s="1" t="s">
        <v>95</v>
      </c>
      <c r="E279" s="1" t="s">
        <v>135</v>
      </c>
      <c r="F279" s="10" t="s">
        <v>435</v>
      </c>
      <c r="G279" s="1">
        <v>0.04</v>
      </c>
      <c r="H279" s="1">
        <v>0.05</v>
      </c>
      <c r="I279" s="8">
        <v>44913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0</v>
      </c>
      <c r="AJ279" s="2">
        <v>0</v>
      </c>
      <c r="AK279" s="2">
        <v>0</v>
      </c>
      <c r="AL279" s="2">
        <v>0</v>
      </c>
      <c r="AM279" s="5">
        <v>0</v>
      </c>
      <c r="AN279" s="12">
        <v>905520.60000000009</v>
      </c>
      <c r="AO279" s="2">
        <v>129441.9</v>
      </c>
      <c r="AP279" s="2">
        <v>40425.03</v>
      </c>
      <c r="AQ279" s="2">
        <v>5778.65</v>
      </c>
      <c r="AR279" s="5">
        <v>9240.74</v>
      </c>
      <c r="AS279" s="2">
        <v>62097.75</v>
      </c>
      <c r="AT279" s="12">
        <v>55444.42</v>
      </c>
      <c r="AU279" s="2">
        <v>0</v>
      </c>
      <c r="AV279" s="5">
        <v>5174.8099999999995</v>
      </c>
      <c r="AX279" s="2">
        <v>0</v>
      </c>
      <c r="AY279" s="2">
        <v>0</v>
      </c>
      <c r="AZ279" s="2">
        <v>0</v>
      </c>
      <c r="BA279" s="2">
        <v>0</v>
      </c>
      <c r="BB279" s="5">
        <v>0</v>
      </c>
      <c r="BC279" s="12">
        <v>905520.60000000009</v>
      </c>
      <c r="BD279" s="2">
        <v>129441.9</v>
      </c>
      <c r="BE279" s="2">
        <v>40425.03</v>
      </c>
      <c r="BF279" s="2">
        <v>5778.65</v>
      </c>
      <c r="BG279" s="5">
        <v>9240.74</v>
      </c>
      <c r="BH279" s="2">
        <v>62097.75</v>
      </c>
      <c r="BI279" s="12">
        <v>55444.42</v>
      </c>
      <c r="BJ279" s="2">
        <v>0</v>
      </c>
      <c r="BK279" s="5">
        <v>5174.8099999999995</v>
      </c>
      <c r="BL279" s="1" t="s">
        <v>436</v>
      </c>
    </row>
    <row r="280" spans="1:64" x14ac:dyDescent="0.3">
      <c r="A280" t="s">
        <v>806</v>
      </c>
      <c r="B280" s="1" t="s">
        <v>806</v>
      </c>
      <c r="C280" s="9" t="s">
        <v>807</v>
      </c>
      <c r="D280" s="1" t="s">
        <v>95</v>
      </c>
      <c r="E280" s="1" t="s">
        <v>88</v>
      </c>
      <c r="F280" s="10" t="s">
        <v>432</v>
      </c>
      <c r="G280" s="1">
        <v>0.04</v>
      </c>
      <c r="H280" s="1">
        <v>0.05</v>
      </c>
      <c r="I280" s="8">
        <v>44876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406545</v>
      </c>
      <c r="AJ280" s="2">
        <v>51248</v>
      </c>
      <c r="AK280" s="2">
        <v>18149.330000000002</v>
      </c>
      <c r="AL280" s="2">
        <v>2287.86</v>
      </c>
      <c r="AM280" s="5">
        <v>4087.44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27467.59</v>
      </c>
      <c r="AT280" s="12">
        <v>24524.63</v>
      </c>
      <c r="AU280" s="2">
        <v>0</v>
      </c>
      <c r="AV280" s="5">
        <v>2288.96</v>
      </c>
      <c r="AX280" s="2">
        <v>406545</v>
      </c>
      <c r="AY280" s="2">
        <v>51248</v>
      </c>
      <c r="AZ280" s="2">
        <v>18149.330000000002</v>
      </c>
      <c r="BA280" s="2">
        <v>2287.86</v>
      </c>
      <c r="BB280" s="5">
        <v>4087.44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27467.59</v>
      </c>
      <c r="BI280" s="12">
        <v>24524.63</v>
      </c>
      <c r="BJ280" s="2">
        <v>0</v>
      </c>
      <c r="BK280" s="5">
        <v>2288.96</v>
      </c>
      <c r="BL280" s="1" t="s">
        <v>90</v>
      </c>
    </row>
    <row r="281" spans="1:64" x14ac:dyDescent="0.3">
      <c r="A281" t="s">
        <v>808</v>
      </c>
      <c r="B281" s="1" t="s">
        <v>808</v>
      </c>
      <c r="C281" s="9" t="s">
        <v>809</v>
      </c>
      <c r="D281" s="1" t="s">
        <v>95</v>
      </c>
      <c r="E281" s="1" t="s">
        <v>128</v>
      </c>
      <c r="F281" s="10" t="s">
        <v>309</v>
      </c>
      <c r="G281" s="1">
        <v>0</v>
      </c>
      <c r="H281" s="1">
        <v>0.05</v>
      </c>
      <c r="I281" s="8">
        <v>44802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444636</v>
      </c>
      <c r="AJ281" s="2">
        <v>44873</v>
      </c>
      <c r="AK281" s="2">
        <v>19849.82</v>
      </c>
      <c r="AL281" s="2">
        <v>2003.26</v>
      </c>
      <c r="AM281" s="5">
        <v>4370.62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29370.54</v>
      </c>
      <c r="AT281" s="12">
        <v>26223.699999999997</v>
      </c>
      <c r="AU281" s="2">
        <v>0</v>
      </c>
      <c r="AV281" s="5">
        <v>2447.54</v>
      </c>
      <c r="AX281" s="2">
        <v>444636</v>
      </c>
      <c r="AY281" s="2">
        <v>44873</v>
      </c>
      <c r="AZ281" s="2">
        <v>19849.82</v>
      </c>
      <c r="BA281" s="2">
        <v>2003.26</v>
      </c>
      <c r="BB281" s="5">
        <v>4370.62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29370.54</v>
      </c>
      <c r="BI281" s="12">
        <v>26223.699999999997</v>
      </c>
      <c r="BJ281" s="2">
        <v>0</v>
      </c>
      <c r="BK281" s="5">
        <v>2447.54</v>
      </c>
      <c r="BL281" s="1" t="s">
        <v>130</v>
      </c>
    </row>
    <row r="282" spans="1:64" x14ac:dyDescent="0.3">
      <c r="A282" t="s">
        <v>812</v>
      </c>
      <c r="B282" s="1" t="s">
        <v>812</v>
      </c>
      <c r="C282" s="9" t="s">
        <v>813</v>
      </c>
      <c r="D282" s="1" t="s">
        <v>95</v>
      </c>
      <c r="E282" s="1" t="s">
        <v>135</v>
      </c>
      <c r="F282" s="10" t="s">
        <v>193</v>
      </c>
      <c r="G282" s="1">
        <v>0.04</v>
      </c>
      <c r="H282" s="1">
        <v>0.05</v>
      </c>
      <c r="I282" s="8">
        <v>44991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905439</v>
      </c>
      <c r="AJ282" s="2">
        <v>217841</v>
      </c>
      <c r="AK282" s="2">
        <v>40421.379999999997</v>
      </c>
      <c r="AL282" s="2">
        <v>9725.0400000000009</v>
      </c>
      <c r="AM282" s="5">
        <v>10029.290000000001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67396.800000000003</v>
      </c>
      <c r="AT282" s="12">
        <v>60175.71</v>
      </c>
      <c r="AU282" s="2">
        <v>0</v>
      </c>
      <c r="AV282" s="5">
        <v>5616.4</v>
      </c>
      <c r="AX282" s="2">
        <v>905439</v>
      </c>
      <c r="AY282" s="2">
        <v>217841</v>
      </c>
      <c r="AZ282" s="2">
        <v>40421.379999999997</v>
      </c>
      <c r="BA282" s="2">
        <v>9725.0400000000009</v>
      </c>
      <c r="BB282" s="5">
        <v>10029.290000000001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67396.800000000003</v>
      </c>
      <c r="BI282" s="12">
        <v>60175.71</v>
      </c>
      <c r="BJ282" s="2">
        <v>0</v>
      </c>
      <c r="BK282" s="5">
        <v>5616.4</v>
      </c>
      <c r="BL282" s="1" t="s">
        <v>137</v>
      </c>
    </row>
    <row r="283" spans="1:64" x14ac:dyDescent="0.3">
      <c r="A283" t="s">
        <v>833</v>
      </c>
      <c r="B283" s="1" t="s">
        <v>833</v>
      </c>
      <c r="C283" s="9" t="s">
        <v>834</v>
      </c>
      <c r="D283" s="1" t="s">
        <v>95</v>
      </c>
      <c r="E283" s="1" t="s">
        <v>128</v>
      </c>
      <c r="F283" s="10" t="s">
        <v>835</v>
      </c>
      <c r="G283" s="1">
        <v>3.5000000000000003E-2</v>
      </c>
      <c r="H283" s="1">
        <v>0.05</v>
      </c>
      <c r="I283" s="8">
        <v>44035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562544</v>
      </c>
      <c r="AJ283" s="2">
        <v>96844</v>
      </c>
      <c r="AK283" s="2">
        <v>25113.57</v>
      </c>
      <c r="AL283" s="2">
        <v>4323.3900000000003</v>
      </c>
      <c r="AM283" s="5">
        <v>5887.39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39563.269999999997</v>
      </c>
      <c r="AT283" s="12">
        <v>35324.35</v>
      </c>
      <c r="AU283" s="2">
        <v>0</v>
      </c>
      <c r="AV283" s="5">
        <v>3296.94</v>
      </c>
      <c r="AX283" s="2">
        <v>562544</v>
      </c>
      <c r="AY283" s="2">
        <v>96844</v>
      </c>
      <c r="AZ283" s="2">
        <v>25113.57</v>
      </c>
      <c r="BA283" s="2">
        <v>4323.3900000000003</v>
      </c>
      <c r="BB283" s="5">
        <v>5887.39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39563.269999999997</v>
      </c>
      <c r="BI283" s="12">
        <v>35324.35</v>
      </c>
      <c r="BJ283" s="2">
        <v>0</v>
      </c>
      <c r="BK283" s="5">
        <v>3296.94</v>
      </c>
      <c r="BL283" s="1" t="s">
        <v>326</v>
      </c>
    </row>
    <row r="284" spans="1:64" x14ac:dyDescent="0.3">
      <c r="A284" t="s">
        <v>844</v>
      </c>
      <c r="B284" s="1" t="s">
        <v>844</v>
      </c>
      <c r="C284" s="9" t="s">
        <v>845</v>
      </c>
      <c r="D284" s="1" t="s">
        <v>95</v>
      </c>
      <c r="E284" s="1" t="s">
        <v>135</v>
      </c>
      <c r="F284" s="10" t="s">
        <v>193</v>
      </c>
      <c r="G284" s="1">
        <v>3.5000000000000003E-2</v>
      </c>
      <c r="H284" s="1">
        <v>0.05</v>
      </c>
      <c r="I284" s="8">
        <v>44270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0</v>
      </c>
      <c r="AJ284" s="2">
        <v>0</v>
      </c>
      <c r="AK284" s="2">
        <v>0</v>
      </c>
      <c r="AL284" s="2">
        <v>0</v>
      </c>
      <c r="AM284" s="5">
        <v>0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0</v>
      </c>
      <c r="AT284" s="12">
        <v>0</v>
      </c>
      <c r="AU284" s="2">
        <v>0</v>
      </c>
      <c r="AV284" s="5">
        <v>0</v>
      </c>
      <c r="AX284" s="2">
        <v>0</v>
      </c>
      <c r="AY284" s="2">
        <v>0</v>
      </c>
      <c r="AZ284" s="2">
        <v>0</v>
      </c>
      <c r="BA284" s="2">
        <v>0</v>
      </c>
      <c r="BB284" s="5">
        <v>0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0</v>
      </c>
      <c r="BI284" s="12">
        <v>0</v>
      </c>
      <c r="BJ284" s="2">
        <v>0</v>
      </c>
      <c r="BK284" s="5">
        <v>0</v>
      </c>
      <c r="BL284" s="1" t="s">
        <v>137</v>
      </c>
    </row>
    <row r="285" spans="1:64" x14ac:dyDescent="0.3">
      <c r="A285" t="s">
        <v>888</v>
      </c>
      <c r="B285" s="1" t="s">
        <v>888</v>
      </c>
      <c r="C285" s="9" t="s">
        <v>889</v>
      </c>
      <c r="D285" s="1" t="s">
        <v>95</v>
      </c>
      <c r="E285" s="1" t="s">
        <v>135</v>
      </c>
      <c r="F285" s="10" t="s">
        <v>435</v>
      </c>
      <c r="G285" s="1">
        <v>4.4999999999999998E-2</v>
      </c>
      <c r="H285" s="1">
        <v>0.05</v>
      </c>
      <c r="I285" s="8">
        <v>45278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564945</v>
      </c>
      <c r="AJ285" s="2">
        <v>169974</v>
      </c>
      <c r="AK285" s="2">
        <v>25220.76</v>
      </c>
      <c r="AL285" s="2">
        <v>7588.12</v>
      </c>
      <c r="AM285" s="5">
        <v>6561.78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44095.14</v>
      </c>
      <c r="AT285" s="12">
        <v>39370.659999999996</v>
      </c>
      <c r="AU285" s="2">
        <v>0</v>
      </c>
      <c r="AV285" s="5">
        <v>3674.6</v>
      </c>
      <c r="AX285" s="2">
        <v>564945</v>
      </c>
      <c r="AY285" s="2">
        <v>169974</v>
      </c>
      <c r="AZ285" s="2">
        <v>25220.76</v>
      </c>
      <c r="BA285" s="2">
        <v>7588.12</v>
      </c>
      <c r="BB285" s="5">
        <v>6561.78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44095.14</v>
      </c>
      <c r="BI285" s="12">
        <v>39370.659999999996</v>
      </c>
      <c r="BJ285" s="2">
        <v>0</v>
      </c>
      <c r="BK285" s="5">
        <v>3674.6</v>
      </c>
      <c r="BL285" s="1" t="s">
        <v>436</v>
      </c>
    </row>
    <row r="286" spans="1:64" x14ac:dyDescent="0.3">
      <c r="A286" t="s">
        <v>890</v>
      </c>
      <c r="B286" s="1" t="s">
        <v>890</v>
      </c>
      <c r="C286" s="9" t="s">
        <v>891</v>
      </c>
      <c r="D286" s="1" t="s">
        <v>95</v>
      </c>
      <c r="E286" s="1" t="s">
        <v>135</v>
      </c>
      <c r="F286" s="10" t="s">
        <v>193</v>
      </c>
      <c r="G286" s="1">
        <v>0</v>
      </c>
      <c r="H286" s="1">
        <v>0.05</v>
      </c>
      <c r="I286" s="8">
        <v>45514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271918</v>
      </c>
      <c r="AJ286" s="2">
        <v>53547</v>
      </c>
      <c r="AK286" s="2">
        <v>12139.2</v>
      </c>
      <c r="AL286" s="2">
        <v>2390.4899999999998</v>
      </c>
      <c r="AM286" s="5">
        <v>2905.94</v>
      </c>
      <c r="AN286" s="12">
        <v>39877.620000000003</v>
      </c>
      <c r="AO286" s="2">
        <v>5097.3</v>
      </c>
      <c r="AP286" s="2">
        <v>1780.25</v>
      </c>
      <c r="AQ286" s="2">
        <v>227.55</v>
      </c>
      <c r="AR286" s="5">
        <v>401.56</v>
      </c>
      <c r="AS286" s="2">
        <v>22226.39</v>
      </c>
      <c r="AT286" s="12">
        <v>19844.990000000002</v>
      </c>
      <c r="AU286" s="2">
        <v>0</v>
      </c>
      <c r="AV286" s="5">
        <v>1852.2</v>
      </c>
      <c r="AX286" s="2">
        <v>271918</v>
      </c>
      <c r="AY286" s="2">
        <v>53547</v>
      </c>
      <c r="AZ286" s="2">
        <v>12139.2</v>
      </c>
      <c r="BA286" s="2">
        <v>2390.4899999999998</v>
      </c>
      <c r="BB286" s="5">
        <v>2905.94</v>
      </c>
      <c r="BC286" s="12">
        <v>39877.620000000003</v>
      </c>
      <c r="BD286" s="2">
        <v>5097.3</v>
      </c>
      <c r="BE286" s="2">
        <v>1780.25</v>
      </c>
      <c r="BF286" s="2">
        <v>227.55</v>
      </c>
      <c r="BG286" s="5">
        <v>401.56</v>
      </c>
      <c r="BH286" s="2">
        <v>22226.39</v>
      </c>
      <c r="BI286" s="12">
        <v>19844.990000000002</v>
      </c>
      <c r="BJ286" s="2">
        <v>0</v>
      </c>
      <c r="BK286" s="5">
        <v>1852.2</v>
      </c>
      <c r="BL286" s="1" t="s">
        <v>137</v>
      </c>
    </row>
    <row r="287" spans="1:64" x14ac:dyDescent="0.3">
      <c r="A287" t="s">
        <v>892</v>
      </c>
      <c r="B287" s="1" t="s">
        <v>892</v>
      </c>
      <c r="C287" s="9" t="s">
        <v>893</v>
      </c>
      <c r="D287" s="1" t="s">
        <v>95</v>
      </c>
      <c r="E287" s="1" t="s">
        <v>88</v>
      </c>
      <c r="F287" s="10" t="s">
        <v>534</v>
      </c>
      <c r="G287" s="1">
        <v>0</v>
      </c>
      <c r="H287" s="1">
        <v>0.05</v>
      </c>
      <c r="I287" s="8">
        <v>45485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722567</v>
      </c>
      <c r="AJ287" s="2">
        <v>101408</v>
      </c>
      <c r="AK287" s="2">
        <v>32257.449999999997</v>
      </c>
      <c r="AL287" s="2">
        <v>4527.1400000000003</v>
      </c>
      <c r="AM287" s="5">
        <v>7356.91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49438.48</v>
      </c>
      <c r="AT287" s="12">
        <v>44141.5</v>
      </c>
      <c r="AU287" s="2">
        <v>0</v>
      </c>
      <c r="AV287" s="5">
        <v>4119.88</v>
      </c>
      <c r="AX287" s="2">
        <v>722567</v>
      </c>
      <c r="AY287" s="2">
        <v>101408</v>
      </c>
      <c r="AZ287" s="2">
        <v>32257.449999999997</v>
      </c>
      <c r="BA287" s="2">
        <v>4527.1400000000003</v>
      </c>
      <c r="BB287" s="5">
        <v>7356.91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49438.48</v>
      </c>
      <c r="BI287" s="12">
        <v>44141.5</v>
      </c>
      <c r="BJ287" s="2">
        <v>0</v>
      </c>
      <c r="BK287" s="5">
        <v>4119.88</v>
      </c>
      <c r="BL287" s="1" t="s">
        <v>90</v>
      </c>
    </row>
    <row r="288" spans="1:64" x14ac:dyDescent="0.3">
      <c r="A288" t="s">
        <v>912</v>
      </c>
      <c r="B288" s="1" t="s">
        <v>912</v>
      </c>
      <c r="C288" s="9" t="s">
        <v>913</v>
      </c>
      <c r="D288" s="1" t="s">
        <v>95</v>
      </c>
      <c r="E288" s="1" t="s">
        <v>128</v>
      </c>
      <c r="F288" s="10" t="s">
        <v>309</v>
      </c>
      <c r="G288" s="1">
        <v>4.4999999999999998E-2</v>
      </c>
      <c r="H288" s="1">
        <v>0.05</v>
      </c>
      <c r="I288" s="8">
        <v>45067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3148610</v>
      </c>
      <c r="AJ288" s="2">
        <v>51385</v>
      </c>
      <c r="AK288" s="2">
        <v>140562.95000000001</v>
      </c>
      <c r="AL288" s="2">
        <v>2293.9699999999998</v>
      </c>
      <c r="AM288" s="5">
        <v>28571.399999999998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191999.72</v>
      </c>
      <c r="AT288" s="12">
        <v>171428.32</v>
      </c>
      <c r="AU288" s="2">
        <v>0</v>
      </c>
      <c r="AV288" s="5">
        <v>15999.970000000001</v>
      </c>
      <c r="AX288" s="2">
        <v>3148610</v>
      </c>
      <c r="AY288" s="2">
        <v>51385</v>
      </c>
      <c r="AZ288" s="2">
        <v>140562.95000000001</v>
      </c>
      <c r="BA288" s="2">
        <v>2293.9699999999998</v>
      </c>
      <c r="BB288" s="5">
        <v>28571.399999999998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191999.72</v>
      </c>
      <c r="BI288" s="12">
        <v>171428.32</v>
      </c>
      <c r="BJ288" s="2">
        <v>0</v>
      </c>
      <c r="BK288" s="5">
        <v>15999.970000000001</v>
      </c>
      <c r="BL288" s="1" t="s">
        <v>130</v>
      </c>
    </row>
    <row r="289" spans="1:64" x14ac:dyDescent="0.3">
      <c r="A289" t="s">
        <v>950</v>
      </c>
      <c r="B289" s="1" t="s">
        <v>950</v>
      </c>
      <c r="C289" s="9" t="s">
        <v>951</v>
      </c>
      <c r="D289" s="1" t="s">
        <v>95</v>
      </c>
      <c r="E289" s="1" t="s">
        <v>135</v>
      </c>
      <c r="F289" s="10" t="s">
        <v>435</v>
      </c>
      <c r="G289" s="1">
        <v>0</v>
      </c>
      <c r="H289" s="1">
        <v>0.05</v>
      </c>
      <c r="I289" s="8">
        <v>44333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751431</v>
      </c>
      <c r="AJ289" s="2">
        <v>159111</v>
      </c>
      <c r="AK289" s="2">
        <v>33546.03</v>
      </c>
      <c r="AL289" s="2">
        <v>7103.17</v>
      </c>
      <c r="AM289" s="5">
        <v>8129.84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54632.52</v>
      </c>
      <c r="AT289" s="12">
        <v>48779.039999999994</v>
      </c>
      <c r="AU289" s="2">
        <v>0</v>
      </c>
      <c r="AV289" s="5">
        <v>4552.71</v>
      </c>
      <c r="AX289" s="2">
        <v>751431</v>
      </c>
      <c r="AY289" s="2">
        <v>159111</v>
      </c>
      <c r="AZ289" s="2">
        <v>33546.03</v>
      </c>
      <c r="BA289" s="2">
        <v>7103.17</v>
      </c>
      <c r="BB289" s="5">
        <v>8129.84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54632.52</v>
      </c>
      <c r="BI289" s="12">
        <v>48779.039999999994</v>
      </c>
      <c r="BJ289" s="2">
        <v>0</v>
      </c>
      <c r="BK289" s="5">
        <v>4552.71</v>
      </c>
      <c r="BL289" s="1" t="s">
        <v>436</v>
      </c>
    </row>
    <row r="290" spans="1:64" x14ac:dyDescent="0.3">
      <c r="A290" t="s">
        <v>960</v>
      </c>
      <c r="B290" s="1" t="s">
        <v>960</v>
      </c>
      <c r="C290" s="9" t="s">
        <v>961</v>
      </c>
      <c r="D290" s="1" t="s">
        <v>95</v>
      </c>
      <c r="E290" s="1" t="s">
        <v>135</v>
      </c>
      <c r="F290" s="10" t="s">
        <v>485</v>
      </c>
      <c r="G290" s="1">
        <v>0</v>
      </c>
      <c r="H290" s="1">
        <v>0.05</v>
      </c>
      <c r="I290" s="8">
        <v>44166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568251.5</v>
      </c>
      <c r="AJ290" s="2">
        <v>66096</v>
      </c>
      <c r="AK290" s="2">
        <v>25368.38</v>
      </c>
      <c r="AL290" s="2">
        <v>2950.71</v>
      </c>
      <c r="AM290" s="5">
        <v>5663.82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38060.86</v>
      </c>
      <c r="AT290" s="12">
        <v>33982.910000000003</v>
      </c>
      <c r="AU290" s="2">
        <v>0</v>
      </c>
      <c r="AV290" s="5">
        <v>3171.74</v>
      </c>
      <c r="AX290" s="2">
        <v>568251.5</v>
      </c>
      <c r="AY290" s="2">
        <v>66096</v>
      </c>
      <c r="AZ290" s="2">
        <v>25368.38</v>
      </c>
      <c r="BA290" s="2">
        <v>2950.71</v>
      </c>
      <c r="BB290" s="5">
        <v>5663.82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38060.86</v>
      </c>
      <c r="BI290" s="12">
        <v>33982.910000000003</v>
      </c>
      <c r="BJ290" s="2">
        <v>0</v>
      </c>
      <c r="BK290" s="5">
        <v>3171.74</v>
      </c>
      <c r="BL290" s="1" t="s">
        <v>302</v>
      </c>
    </row>
    <row r="291" spans="1:64" x14ac:dyDescent="0.3">
      <c r="A291" t="s">
        <v>964</v>
      </c>
      <c r="B291" s="1" t="s">
        <v>964</v>
      </c>
      <c r="C291" s="9" t="s">
        <v>965</v>
      </c>
      <c r="D291" s="1" t="s">
        <v>95</v>
      </c>
      <c r="E291" s="1" t="s">
        <v>88</v>
      </c>
      <c r="F291" s="10" t="s">
        <v>117</v>
      </c>
      <c r="G291" s="1">
        <v>0</v>
      </c>
      <c r="H291" s="1">
        <v>0</v>
      </c>
      <c r="I291" s="8">
        <v>45516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698364.8</v>
      </c>
      <c r="AJ291" s="2">
        <v>143702</v>
      </c>
      <c r="AK291" s="2">
        <v>0</v>
      </c>
      <c r="AL291" s="2">
        <v>0</v>
      </c>
      <c r="AM291" s="5">
        <v>7518.46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8420.68</v>
      </c>
      <c r="AT291" s="12">
        <v>7518.46</v>
      </c>
      <c r="AU291" s="2">
        <v>0</v>
      </c>
      <c r="AV291" s="5">
        <v>4210.33</v>
      </c>
      <c r="AX291" s="2">
        <v>698364.8</v>
      </c>
      <c r="AY291" s="2">
        <v>143702</v>
      </c>
      <c r="AZ291" s="2">
        <v>0</v>
      </c>
      <c r="BA291" s="2">
        <v>0</v>
      </c>
      <c r="BB291" s="5">
        <v>7518.46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8420.68</v>
      </c>
      <c r="BI291" s="12">
        <v>7518.46</v>
      </c>
      <c r="BJ291" s="2">
        <v>0</v>
      </c>
      <c r="BK291" s="5">
        <v>4210.33</v>
      </c>
      <c r="BL291" s="1" t="s">
        <v>90</v>
      </c>
    </row>
    <row r="292" spans="1:64" x14ac:dyDescent="0.3">
      <c r="A292" t="s">
        <v>970</v>
      </c>
      <c r="B292" s="1" t="s">
        <v>970</v>
      </c>
      <c r="C292" s="9" t="s">
        <v>971</v>
      </c>
      <c r="D292" s="1" t="s">
        <v>95</v>
      </c>
      <c r="E292" s="1" t="s">
        <v>135</v>
      </c>
      <c r="F292" s="10" t="s">
        <v>435</v>
      </c>
      <c r="G292" s="1">
        <v>0</v>
      </c>
      <c r="H292" s="1">
        <v>0.05</v>
      </c>
      <c r="I292" s="8">
        <v>44051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287307</v>
      </c>
      <c r="AJ292" s="2">
        <v>44360</v>
      </c>
      <c r="AK292" s="2">
        <v>12826.21</v>
      </c>
      <c r="AL292" s="2">
        <v>1980.36</v>
      </c>
      <c r="AM292" s="5">
        <v>2961.31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19900.03</v>
      </c>
      <c r="AT292" s="12">
        <v>17767.88</v>
      </c>
      <c r="AU292" s="2">
        <v>0</v>
      </c>
      <c r="AV292" s="5">
        <v>1658.34</v>
      </c>
      <c r="AX292" s="2">
        <v>287307</v>
      </c>
      <c r="AY292" s="2">
        <v>44360</v>
      </c>
      <c r="AZ292" s="2">
        <v>12826.21</v>
      </c>
      <c r="BA292" s="2">
        <v>1980.36</v>
      </c>
      <c r="BB292" s="5">
        <v>2961.31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19900.03</v>
      </c>
      <c r="BI292" s="12">
        <v>17767.88</v>
      </c>
      <c r="BJ292" s="2">
        <v>0</v>
      </c>
      <c r="BK292" s="5">
        <v>1658.34</v>
      </c>
      <c r="BL292" s="1" t="s">
        <v>137</v>
      </c>
    </row>
    <row r="293" spans="1:64" x14ac:dyDescent="0.3">
      <c r="A293" t="s">
        <v>974</v>
      </c>
      <c r="B293" s="1" t="s">
        <v>974</v>
      </c>
      <c r="C293" s="9" t="s">
        <v>975</v>
      </c>
      <c r="D293" s="1" t="s">
        <v>95</v>
      </c>
      <c r="E293" s="1" t="s">
        <v>135</v>
      </c>
      <c r="F293" s="10" t="s">
        <v>193</v>
      </c>
      <c r="G293" s="1">
        <v>0</v>
      </c>
      <c r="H293" s="1">
        <v>0.05</v>
      </c>
      <c r="I293" s="8">
        <v>44330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382004.25</v>
      </c>
      <c r="AJ293" s="2">
        <v>138722</v>
      </c>
      <c r="AK293" s="2">
        <v>17053.759999999998</v>
      </c>
      <c r="AL293" s="2">
        <v>6192.95</v>
      </c>
      <c r="AM293" s="5">
        <v>4649.34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31243.58</v>
      </c>
      <c r="AT293" s="12">
        <v>27896.05</v>
      </c>
      <c r="AU293" s="2">
        <v>0</v>
      </c>
      <c r="AV293" s="5">
        <v>2603.63</v>
      </c>
      <c r="AX293" s="2">
        <v>382004.25</v>
      </c>
      <c r="AY293" s="2">
        <v>138722</v>
      </c>
      <c r="AZ293" s="2">
        <v>17053.759999999998</v>
      </c>
      <c r="BA293" s="2">
        <v>6192.95</v>
      </c>
      <c r="BB293" s="5">
        <v>4649.34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31243.58</v>
      </c>
      <c r="BI293" s="12">
        <v>27896.05</v>
      </c>
      <c r="BJ293" s="2">
        <v>0</v>
      </c>
      <c r="BK293" s="5">
        <v>2603.63</v>
      </c>
      <c r="BL293" s="1" t="s">
        <v>137</v>
      </c>
    </row>
    <row r="294" spans="1:64" x14ac:dyDescent="0.3">
      <c r="A294" t="s">
        <v>976</v>
      </c>
      <c r="B294" s="1" t="s">
        <v>976</v>
      </c>
      <c r="C294" s="9" t="s">
        <v>977</v>
      </c>
      <c r="D294" s="1" t="s">
        <v>95</v>
      </c>
      <c r="E294" s="1" t="s">
        <v>135</v>
      </c>
      <c r="F294" s="10" t="s">
        <v>193</v>
      </c>
      <c r="G294" s="1">
        <v>0</v>
      </c>
      <c r="H294" s="1">
        <v>0.05</v>
      </c>
      <c r="I294" s="8">
        <v>44441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905522</v>
      </c>
      <c r="AJ294" s="2">
        <v>149212</v>
      </c>
      <c r="AK294" s="2">
        <v>40425.089999999997</v>
      </c>
      <c r="AL294" s="2">
        <v>6661.25</v>
      </c>
      <c r="AM294" s="5">
        <v>9417.27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63284.04</v>
      </c>
      <c r="AT294" s="12">
        <v>56503.61</v>
      </c>
      <c r="AU294" s="2">
        <v>0</v>
      </c>
      <c r="AV294" s="5">
        <v>5273.67</v>
      </c>
      <c r="AX294" s="2">
        <v>905522</v>
      </c>
      <c r="AY294" s="2">
        <v>149212</v>
      </c>
      <c r="AZ294" s="2">
        <v>40425.089999999997</v>
      </c>
      <c r="BA294" s="2">
        <v>6661.25</v>
      </c>
      <c r="BB294" s="5">
        <v>9417.27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63284.04</v>
      </c>
      <c r="BI294" s="12">
        <v>56503.61</v>
      </c>
      <c r="BJ294" s="2">
        <v>0</v>
      </c>
      <c r="BK294" s="5">
        <v>5273.67</v>
      </c>
      <c r="BL294" s="1" t="s">
        <v>436</v>
      </c>
    </row>
    <row r="295" spans="1:64" x14ac:dyDescent="0.3">
      <c r="A295" t="s">
        <v>978</v>
      </c>
      <c r="B295" s="1" t="s">
        <v>978</v>
      </c>
      <c r="C295" s="9" t="s">
        <v>979</v>
      </c>
      <c r="D295" s="1" t="s">
        <v>95</v>
      </c>
      <c r="E295" s="1" t="s">
        <v>135</v>
      </c>
      <c r="F295" s="10" t="s">
        <v>193</v>
      </c>
      <c r="G295" s="1">
        <v>0</v>
      </c>
      <c r="H295" s="1">
        <v>0.05</v>
      </c>
      <c r="I295" s="8">
        <v>44239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532861</v>
      </c>
      <c r="AJ295" s="2">
        <v>46901</v>
      </c>
      <c r="AK295" s="2">
        <v>23788.44</v>
      </c>
      <c r="AL295" s="2">
        <v>2093.79</v>
      </c>
      <c r="AM295" s="5">
        <v>5176.45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34785.72</v>
      </c>
      <c r="AT295" s="12">
        <v>31058.68</v>
      </c>
      <c r="AU295" s="2">
        <v>0</v>
      </c>
      <c r="AV295" s="5">
        <v>2898.81</v>
      </c>
      <c r="AX295" s="2">
        <v>532861</v>
      </c>
      <c r="AY295" s="2">
        <v>46901</v>
      </c>
      <c r="AZ295" s="2">
        <v>23788.44</v>
      </c>
      <c r="BA295" s="2">
        <v>2093.79</v>
      </c>
      <c r="BB295" s="5">
        <v>5176.45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34785.72</v>
      </c>
      <c r="BI295" s="12">
        <v>31058.68</v>
      </c>
      <c r="BJ295" s="2">
        <v>0</v>
      </c>
      <c r="BK295" s="5">
        <v>2898.81</v>
      </c>
      <c r="BL295" s="1" t="s">
        <v>137</v>
      </c>
    </row>
    <row r="296" spans="1:64" x14ac:dyDescent="0.3">
      <c r="A296" t="s">
        <v>980</v>
      </c>
      <c r="B296" s="1" t="s">
        <v>980</v>
      </c>
      <c r="C296" s="9" t="s">
        <v>981</v>
      </c>
      <c r="D296" s="1" t="s">
        <v>95</v>
      </c>
      <c r="E296" s="1" t="s">
        <v>135</v>
      </c>
      <c r="F296" s="10" t="s">
        <v>435</v>
      </c>
      <c r="G296" s="1">
        <v>0</v>
      </c>
      <c r="H296" s="1">
        <v>0.05</v>
      </c>
      <c r="I296" s="8">
        <v>44092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950284</v>
      </c>
      <c r="AJ296" s="2">
        <v>128631</v>
      </c>
      <c r="AK296" s="2">
        <v>42423.39</v>
      </c>
      <c r="AL296" s="2">
        <v>5742.46</v>
      </c>
      <c r="AM296" s="5">
        <v>9633.17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64734.9</v>
      </c>
      <c r="AT296" s="12">
        <v>57799.02</v>
      </c>
      <c r="AU296" s="2">
        <v>0</v>
      </c>
      <c r="AV296" s="5">
        <v>5394.58</v>
      </c>
      <c r="AX296" s="2">
        <v>950284</v>
      </c>
      <c r="AY296" s="2">
        <v>128631</v>
      </c>
      <c r="AZ296" s="2">
        <v>42423.39</v>
      </c>
      <c r="BA296" s="2">
        <v>5742.46</v>
      </c>
      <c r="BB296" s="5">
        <v>9633.17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64734.9</v>
      </c>
      <c r="BI296" s="12">
        <v>57799.02</v>
      </c>
      <c r="BJ296" s="2">
        <v>0</v>
      </c>
      <c r="BK296" s="5">
        <v>5394.58</v>
      </c>
      <c r="BL296" s="1" t="s">
        <v>137</v>
      </c>
    </row>
    <row r="297" spans="1:64" x14ac:dyDescent="0.3">
      <c r="A297" t="s">
        <v>982</v>
      </c>
      <c r="B297" s="1" t="s">
        <v>982</v>
      </c>
      <c r="C297" s="9" t="s">
        <v>983</v>
      </c>
      <c r="D297" s="1" t="s">
        <v>95</v>
      </c>
      <c r="E297" s="1" t="s">
        <v>135</v>
      </c>
      <c r="F297" s="10" t="s">
        <v>435</v>
      </c>
      <c r="G297" s="1">
        <v>0</v>
      </c>
      <c r="H297" s="1">
        <v>0.05</v>
      </c>
      <c r="I297" s="8">
        <v>44170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502865</v>
      </c>
      <c r="AJ297" s="2">
        <v>130085</v>
      </c>
      <c r="AK297" s="2">
        <v>22449.33</v>
      </c>
      <c r="AL297" s="2">
        <v>5807.37</v>
      </c>
      <c r="AM297" s="5">
        <v>5651.34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37977</v>
      </c>
      <c r="AT297" s="12">
        <v>33908.04</v>
      </c>
      <c r="AU297" s="2">
        <v>0</v>
      </c>
      <c r="AV297" s="5">
        <v>3164.75</v>
      </c>
      <c r="AX297" s="2">
        <v>502865</v>
      </c>
      <c r="AY297" s="2">
        <v>130085</v>
      </c>
      <c r="AZ297" s="2">
        <v>22449.33</v>
      </c>
      <c r="BA297" s="2">
        <v>5807.37</v>
      </c>
      <c r="BB297" s="5">
        <v>5651.34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37977</v>
      </c>
      <c r="BI297" s="12">
        <v>33908.04</v>
      </c>
      <c r="BJ297" s="2">
        <v>0</v>
      </c>
      <c r="BK297" s="5">
        <v>3164.75</v>
      </c>
      <c r="BL297" s="1" t="s">
        <v>302</v>
      </c>
    </row>
    <row r="298" spans="1:64" x14ac:dyDescent="0.3">
      <c r="A298" t="s">
        <v>986</v>
      </c>
      <c r="B298" s="1" t="s">
        <v>986</v>
      </c>
      <c r="C298" s="9" t="s">
        <v>987</v>
      </c>
      <c r="D298" s="1" t="s">
        <v>95</v>
      </c>
      <c r="E298" s="1" t="s">
        <v>128</v>
      </c>
      <c r="F298" s="10" t="s">
        <v>988</v>
      </c>
      <c r="G298" s="1">
        <v>0</v>
      </c>
      <c r="H298" s="1">
        <v>0.05</v>
      </c>
      <c r="I298" s="8">
        <v>44204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374883</v>
      </c>
      <c r="AJ298" s="2">
        <v>17330</v>
      </c>
      <c r="AK298" s="2">
        <v>16735.849999999999</v>
      </c>
      <c r="AL298" s="2">
        <v>773.66</v>
      </c>
      <c r="AM298" s="5">
        <v>3501.9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23532.78</v>
      </c>
      <c r="AT298" s="12">
        <v>21011.41</v>
      </c>
      <c r="AU298" s="2">
        <v>0</v>
      </c>
      <c r="AV298" s="5">
        <v>1961.06</v>
      </c>
      <c r="AX298" s="2">
        <v>374883</v>
      </c>
      <c r="AY298" s="2">
        <v>17330</v>
      </c>
      <c r="AZ298" s="2">
        <v>16735.849999999999</v>
      </c>
      <c r="BA298" s="2">
        <v>773.66</v>
      </c>
      <c r="BB298" s="5">
        <v>3501.9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23532.78</v>
      </c>
      <c r="BI298" s="12">
        <v>21011.41</v>
      </c>
      <c r="BJ298" s="2">
        <v>0</v>
      </c>
      <c r="BK298" s="5">
        <v>1961.06</v>
      </c>
      <c r="BL298" s="1" t="s">
        <v>130</v>
      </c>
    </row>
    <row r="299" spans="1:64" x14ac:dyDescent="0.3">
      <c r="A299" t="s">
        <v>989</v>
      </c>
      <c r="B299" s="1" t="s">
        <v>989</v>
      </c>
      <c r="C299" s="9" t="s">
        <v>990</v>
      </c>
      <c r="D299" s="1" t="s">
        <v>95</v>
      </c>
      <c r="E299" s="1" t="s">
        <v>128</v>
      </c>
      <c r="F299" s="10" t="s">
        <v>129</v>
      </c>
      <c r="G299" s="1">
        <v>0</v>
      </c>
      <c r="H299" s="1">
        <v>0.05</v>
      </c>
      <c r="I299" s="8">
        <v>44482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561995</v>
      </c>
      <c r="AJ299" s="2">
        <v>41535</v>
      </c>
      <c r="AK299" s="2">
        <v>25089.06</v>
      </c>
      <c r="AL299" s="2">
        <v>1854.24</v>
      </c>
      <c r="AM299" s="5">
        <v>5388.66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36211.800000000003</v>
      </c>
      <c r="AT299" s="12">
        <v>32331.960000000003</v>
      </c>
      <c r="AU299" s="2">
        <v>0</v>
      </c>
      <c r="AV299" s="5">
        <v>3017.65</v>
      </c>
      <c r="AX299" s="2">
        <v>561995</v>
      </c>
      <c r="AY299" s="2">
        <v>41535</v>
      </c>
      <c r="AZ299" s="2">
        <v>25089.06</v>
      </c>
      <c r="BA299" s="2">
        <v>1854.24</v>
      </c>
      <c r="BB299" s="5">
        <v>5388.66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36211.800000000003</v>
      </c>
      <c r="BI299" s="12">
        <v>32331.960000000003</v>
      </c>
      <c r="BJ299" s="2">
        <v>0</v>
      </c>
      <c r="BK299" s="5">
        <v>3017.65</v>
      </c>
      <c r="BL299" s="1" t="s">
        <v>130</v>
      </c>
    </row>
    <row r="300" spans="1:64" x14ac:dyDescent="0.3">
      <c r="A300" t="s">
        <v>991</v>
      </c>
      <c r="B300" s="1" t="s">
        <v>991</v>
      </c>
      <c r="C300" s="9" t="s">
        <v>992</v>
      </c>
      <c r="D300" s="1" t="s">
        <v>95</v>
      </c>
      <c r="E300" s="1" t="s">
        <v>128</v>
      </c>
      <c r="F300" s="10" t="s">
        <v>355</v>
      </c>
      <c r="G300" s="1">
        <v>0</v>
      </c>
      <c r="H300" s="1">
        <v>0.05</v>
      </c>
      <c r="I300" s="8">
        <v>44326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637701</v>
      </c>
      <c r="AJ300" s="2">
        <v>66958</v>
      </c>
      <c r="AK300" s="2">
        <v>28468.789999999997</v>
      </c>
      <c r="AL300" s="2">
        <v>2989.2000000000003</v>
      </c>
      <c r="AM300" s="5">
        <v>6291.6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42279.54</v>
      </c>
      <c r="AT300" s="12">
        <v>37749.589999999997</v>
      </c>
      <c r="AU300" s="2">
        <v>0</v>
      </c>
      <c r="AV300" s="5">
        <v>3523.29</v>
      </c>
      <c r="AX300" s="2">
        <v>637701</v>
      </c>
      <c r="AY300" s="2">
        <v>66958</v>
      </c>
      <c r="AZ300" s="2">
        <v>28468.789999999997</v>
      </c>
      <c r="BA300" s="2">
        <v>2989.2000000000003</v>
      </c>
      <c r="BB300" s="5">
        <v>6291.6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42279.54</v>
      </c>
      <c r="BI300" s="12">
        <v>37749.589999999997</v>
      </c>
      <c r="BJ300" s="2">
        <v>0</v>
      </c>
      <c r="BK300" s="5">
        <v>3523.29</v>
      </c>
      <c r="BL300" s="1" t="s">
        <v>130</v>
      </c>
    </row>
    <row r="301" spans="1:64" x14ac:dyDescent="0.3">
      <c r="A301" t="s">
        <v>1005</v>
      </c>
      <c r="B301" s="1" t="s">
        <v>1005</v>
      </c>
      <c r="C301" s="9" t="s">
        <v>1006</v>
      </c>
      <c r="D301" s="1" t="s">
        <v>95</v>
      </c>
      <c r="E301" s="1" t="s">
        <v>135</v>
      </c>
      <c r="F301" s="10" t="s">
        <v>435</v>
      </c>
      <c r="G301" s="1">
        <v>0</v>
      </c>
      <c r="H301" s="1">
        <v>0.05</v>
      </c>
      <c r="I301" s="8">
        <v>44354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327238</v>
      </c>
      <c r="AJ301" s="2">
        <v>86955</v>
      </c>
      <c r="AK301" s="2">
        <v>14608.84</v>
      </c>
      <c r="AL301" s="2">
        <v>3881.92</v>
      </c>
      <c r="AM301" s="5">
        <v>3698.15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24851.58</v>
      </c>
      <c r="AT301" s="12">
        <v>22188.910000000003</v>
      </c>
      <c r="AU301" s="2">
        <v>0</v>
      </c>
      <c r="AV301" s="5">
        <v>2070.96</v>
      </c>
      <c r="AX301" s="2">
        <v>327238</v>
      </c>
      <c r="AY301" s="2">
        <v>86955</v>
      </c>
      <c r="AZ301" s="2">
        <v>14608.84</v>
      </c>
      <c r="BA301" s="2">
        <v>3881.92</v>
      </c>
      <c r="BB301" s="5">
        <v>3698.15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24851.58</v>
      </c>
      <c r="BI301" s="12">
        <v>22188.910000000003</v>
      </c>
      <c r="BJ301" s="2">
        <v>0</v>
      </c>
      <c r="BK301" s="5">
        <v>2070.96</v>
      </c>
      <c r="BL301" s="1" t="s">
        <v>137</v>
      </c>
    </row>
    <row r="302" spans="1:64" x14ac:dyDescent="0.3">
      <c r="A302" t="s">
        <v>1007</v>
      </c>
      <c r="B302" s="1" t="s">
        <v>1007</v>
      </c>
      <c r="C302" s="9" t="s">
        <v>1008</v>
      </c>
      <c r="D302" s="1" t="s">
        <v>95</v>
      </c>
      <c r="E302" s="1" t="s">
        <v>135</v>
      </c>
      <c r="F302" s="10" t="s">
        <v>435</v>
      </c>
      <c r="G302" s="1">
        <v>0</v>
      </c>
      <c r="H302" s="1">
        <v>0.05</v>
      </c>
      <c r="I302" s="8">
        <v>44361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340951</v>
      </c>
      <c r="AJ302" s="2">
        <v>106371</v>
      </c>
      <c r="AK302" s="2">
        <v>15221.03</v>
      </c>
      <c r="AL302" s="2">
        <v>4748.71</v>
      </c>
      <c r="AM302" s="5">
        <v>3993.95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26839.33</v>
      </c>
      <c r="AT302" s="12">
        <v>23963.690000000002</v>
      </c>
      <c r="AU302" s="2">
        <v>0</v>
      </c>
      <c r="AV302" s="5">
        <v>2236.61</v>
      </c>
      <c r="AX302" s="2">
        <v>340951</v>
      </c>
      <c r="AY302" s="2">
        <v>106371</v>
      </c>
      <c r="AZ302" s="2">
        <v>15221.03</v>
      </c>
      <c r="BA302" s="2">
        <v>4748.71</v>
      </c>
      <c r="BB302" s="5">
        <v>3993.95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26839.33</v>
      </c>
      <c r="BI302" s="12">
        <v>23963.690000000002</v>
      </c>
      <c r="BJ302" s="2">
        <v>0</v>
      </c>
      <c r="BK302" s="5">
        <v>2236.61</v>
      </c>
      <c r="BL302" s="1" t="s">
        <v>137</v>
      </c>
    </row>
    <row r="303" spans="1:64" x14ac:dyDescent="0.3">
      <c r="A303" t="s">
        <v>1015</v>
      </c>
      <c r="B303" s="1" t="s">
        <v>1015</v>
      </c>
      <c r="C303" s="9" t="s">
        <v>1016</v>
      </c>
      <c r="D303" s="1" t="s">
        <v>95</v>
      </c>
      <c r="E303" s="1" t="s">
        <v>128</v>
      </c>
      <c r="F303" s="10" t="s">
        <v>147</v>
      </c>
      <c r="G303" s="1">
        <v>4.4999999999999998E-2</v>
      </c>
      <c r="H303" s="1">
        <v>0.05</v>
      </c>
      <c r="I303" s="8">
        <v>45559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768341</v>
      </c>
      <c r="AJ303" s="2">
        <v>33360</v>
      </c>
      <c r="AK303" s="2">
        <v>34300.94</v>
      </c>
      <c r="AL303" s="2">
        <v>1489.28</v>
      </c>
      <c r="AM303" s="5">
        <v>7158.0500000000011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48102.06</v>
      </c>
      <c r="AT303" s="12">
        <v>42948.270000000004</v>
      </c>
      <c r="AU303" s="2">
        <v>0</v>
      </c>
      <c r="AV303" s="5">
        <v>4008.51</v>
      </c>
      <c r="AX303" s="2">
        <v>768341</v>
      </c>
      <c r="AY303" s="2">
        <v>33360</v>
      </c>
      <c r="AZ303" s="2">
        <v>34300.94</v>
      </c>
      <c r="BA303" s="2">
        <v>1489.28</v>
      </c>
      <c r="BB303" s="5">
        <v>7158.0500000000011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48102.06</v>
      </c>
      <c r="BI303" s="12">
        <v>42948.270000000004</v>
      </c>
      <c r="BJ303" s="2">
        <v>0</v>
      </c>
      <c r="BK303" s="5">
        <v>4008.51</v>
      </c>
      <c r="BL303" s="1" t="s">
        <v>130</v>
      </c>
    </row>
    <row r="304" spans="1:64" x14ac:dyDescent="0.3">
      <c r="A304" t="s">
        <v>1033</v>
      </c>
      <c r="B304" s="1" t="s">
        <v>1033</v>
      </c>
      <c r="C304" s="9" t="s">
        <v>1034</v>
      </c>
      <c r="D304" s="1" t="s">
        <v>95</v>
      </c>
      <c r="E304" s="1" t="s">
        <v>135</v>
      </c>
      <c r="F304" s="10" t="s">
        <v>435</v>
      </c>
      <c r="G304" s="1">
        <v>0</v>
      </c>
      <c r="H304" s="1">
        <v>0.05</v>
      </c>
      <c r="I304" s="8">
        <v>44497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458704</v>
      </c>
      <c r="AJ304" s="2">
        <v>105901</v>
      </c>
      <c r="AK304" s="2">
        <v>20477.86</v>
      </c>
      <c r="AL304" s="2">
        <v>4727.72</v>
      </c>
      <c r="AM304" s="5">
        <v>5041.12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33876.300000000003</v>
      </c>
      <c r="AT304" s="12">
        <v>30246.7</v>
      </c>
      <c r="AU304" s="2">
        <v>0</v>
      </c>
      <c r="AV304" s="5">
        <v>2823.02</v>
      </c>
      <c r="AX304" s="2">
        <v>458704</v>
      </c>
      <c r="AY304" s="2">
        <v>105901</v>
      </c>
      <c r="AZ304" s="2">
        <v>20477.86</v>
      </c>
      <c r="BA304" s="2">
        <v>4727.72</v>
      </c>
      <c r="BB304" s="5">
        <v>5041.12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33876.300000000003</v>
      </c>
      <c r="BI304" s="12">
        <v>30246.7</v>
      </c>
      <c r="BJ304" s="2">
        <v>0</v>
      </c>
      <c r="BK304" s="5">
        <v>2823.02</v>
      </c>
      <c r="BL304" s="1" t="s">
        <v>137</v>
      </c>
    </row>
    <row r="305" spans="1:64" x14ac:dyDescent="0.3">
      <c r="A305" t="s">
        <v>1035</v>
      </c>
      <c r="B305" s="1" t="s">
        <v>1035</v>
      </c>
      <c r="C305" s="9" t="s">
        <v>1036</v>
      </c>
      <c r="D305" s="1" t="s">
        <v>95</v>
      </c>
      <c r="E305" s="1" t="s">
        <v>135</v>
      </c>
      <c r="F305" s="10" t="s">
        <v>435</v>
      </c>
      <c r="G305" s="1">
        <v>0</v>
      </c>
      <c r="H305" s="1">
        <v>0.05</v>
      </c>
      <c r="I305" s="8">
        <v>44540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334788</v>
      </c>
      <c r="AJ305" s="2">
        <v>50210</v>
      </c>
      <c r="AK305" s="2">
        <v>14945.89</v>
      </c>
      <c r="AL305" s="2">
        <v>2241.52</v>
      </c>
      <c r="AM305" s="5">
        <v>3437.48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23099.88</v>
      </c>
      <c r="AT305" s="12">
        <v>20624.89</v>
      </c>
      <c r="AU305" s="2">
        <v>0</v>
      </c>
      <c r="AV305" s="5">
        <v>1924.99</v>
      </c>
      <c r="AX305" s="2">
        <v>334788</v>
      </c>
      <c r="AY305" s="2">
        <v>50210</v>
      </c>
      <c r="AZ305" s="2">
        <v>14945.89</v>
      </c>
      <c r="BA305" s="2">
        <v>2241.52</v>
      </c>
      <c r="BB305" s="5">
        <v>3437.48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23099.88</v>
      </c>
      <c r="BI305" s="12">
        <v>20624.89</v>
      </c>
      <c r="BJ305" s="2">
        <v>0</v>
      </c>
      <c r="BK305" s="5">
        <v>1924.99</v>
      </c>
      <c r="BL305" s="1" t="s">
        <v>137</v>
      </c>
    </row>
    <row r="306" spans="1:64" x14ac:dyDescent="0.3">
      <c r="A306" t="s">
        <v>1037</v>
      </c>
      <c r="B306" s="1" t="s">
        <v>1037</v>
      </c>
      <c r="C306" s="9" t="s">
        <v>1038</v>
      </c>
      <c r="D306" s="1" t="s">
        <v>95</v>
      </c>
      <c r="E306" s="1" t="s">
        <v>135</v>
      </c>
      <c r="F306" s="10" t="s">
        <v>435</v>
      </c>
      <c r="G306" s="1">
        <v>0</v>
      </c>
      <c r="H306" s="1">
        <v>0.05</v>
      </c>
      <c r="I306" s="8">
        <v>44642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406486</v>
      </c>
      <c r="AJ306" s="2">
        <v>73030</v>
      </c>
      <c r="AK306" s="2">
        <v>18146.7</v>
      </c>
      <c r="AL306" s="2">
        <v>3260.27</v>
      </c>
      <c r="AM306" s="5">
        <v>4281.3900000000003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28770.959999999999</v>
      </c>
      <c r="AT306" s="12">
        <v>25688.36</v>
      </c>
      <c r="AU306" s="2">
        <v>0</v>
      </c>
      <c r="AV306" s="5">
        <v>2397.58</v>
      </c>
      <c r="AX306" s="2">
        <v>406486</v>
      </c>
      <c r="AY306" s="2">
        <v>73030</v>
      </c>
      <c r="AZ306" s="2">
        <v>18146.7</v>
      </c>
      <c r="BA306" s="2">
        <v>3260.27</v>
      </c>
      <c r="BB306" s="5">
        <v>4281.3900000000003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28770.959999999999</v>
      </c>
      <c r="BI306" s="12">
        <v>25688.36</v>
      </c>
      <c r="BJ306" s="2">
        <v>0</v>
      </c>
      <c r="BK306" s="5">
        <v>2397.58</v>
      </c>
      <c r="BL306" s="1" t="s">
        <v>137</v>
      </c>
    </row>
    <row r="307" spans="1:64" x14ac:dyDescent="0.3">
      <c r="A307" t="s">
        <v>1039</v>
      </c>
      <c r="B307" s="1" t="s">
        <v>1039</v>
      </c>
      <c r="C307" s="9" t="s">
        <v>1040</v>
      </c>
      <c r="D307" s="1" t="s">
        <v>95</v>
      </c>
      <c r="E307" s="1" t="s">
        <v>135</v>
      </c>
      <c r="F307" s="10" t="s">
        <v>193</v>
      </c>
      <c r="G307" s="1">
        <v>0</v>
      </c>
      <c r="H307" s="1">
        <v>0.05</v>
      </c>
      <c r="I307" s="8">
        <v>44572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333406.5</v>
      </c>
      <c r="AJ307" s="2">
        <v>102455</v>
      </c>
      <c r="AK307" s="2">
        <v>14884.21</v>
      </c>
      <c r="AL307" s="2">
        <v>4573.88</v>
      </c>
      <c r="AM307" s="5">
        <v>3891.62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26151.68</v>
      </c>
      <c r="AT307" s="12">
        <v>23349.71</v>
      </c>
      <c r="AU307" s="2">
        <v>0</v>
      </c>
      <c r="AV307" s="5">
        <v>2179.31</v>
      </c>
      <c r="AX307" s="2">
        <v>333406.5</v>
      </c>
      <c r="AY307" s="2">
        <v>102455</v>
      </c>
      <c r="AZ307" s="2">
        <v>14884.21</v>
      </c>
      <c r="BA307" s="2">
        <v>4573.88</v>
      </c>
      <c r="BB307" s="5">
        <v>3891.62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26151.68</v>
      </c>
      <c r="BI307" s="12">
        <v>23349.71</v>
      </c>
      <c r="BJ307" s="2">
        <v>0</v>
      </c>
      <c r="BK307" s="5">
        <v>2179.31</v>
      </c>
      <c r="BL307" s="1" t="s">
        <v>137</v>
      </c>
    </row>
    <row r="308" spans="1:64" x14ac:dyDescent="0.3">
      <c r="A308" t="s">
        <v>1041</v>
      </c>
      <c r="B308" s="1" t="s">
        <v>1041</v>
      </c>
      <c r="C308" s="9" t="s">
        <v>1042</v>
      </c>
      <c r="D308" s="1" t="s">
        <v>95</v>
      </c>
      <c r="E308" s="1" t="s">
        <v>135</v>
      </c>
      <c r="F308" s="10" t="s">
        <v>193</v>
      </c>
      <c r="G308" s="1">
        <v>0</v>
      </c>
      <c r="H308" s="1">
        <v>0.05</v>
      </c>
      <c r="I308" s="8">
        <v>44548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310090</v>
      </c>
      <c r="AJ308" s="2">
        <v>85523</v>
      </c>
      <c r="AK308" s="2">
        <v>13843.3</v>
      </c>
      <c r="AL308" s="2">
        <v>3817.99</v>
      </c>
      <c r="AM308" s="5">
        <v>3532.26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23736.78</v>
      </c>
      <c r="AT308" s="12">
        <v>21193.550000000003</v>
      </c>
      <c r="AU308" s="2">
        <v>0</v>
      </c>
      <c r="AV308" s="5">
        <v>1978.06</v>
      </c>
      <c r="AX308" s="2">
        <v>310090</v>
      </c>
      <c r="AY308" s="2">
        <v>85523</v>
      </c>
      <c r="AZ308" s="2">
        <v>13843.3</v>
      </c>
      <c r="BA308" s="2">
        <v>3817.99</v>
      </c>
      <c r="BB308" s="5">
        <v>3532.26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23736.78</v>
      </c>
      <c r="BI308" s="12">
        <v>21193.550000000003</v>
      </c>
      <c r="BJ308" s="2">
        <v>0</v>
      </c>
      <c r="BK308" s="5">
        <v>1978.06</v>
      </c>
      <c r="BL308" s="1" t="s">
        <v>137</v>
      </c>
    </row>
    <row r="309" spans="1:64" x14ac:dyDescent="0.3">
      <c r="A309" t="s">
        <v>1043</v>
      </c>
      <c r="B309" s="1" t="s">
        <v>1043</v>
      </c>
      <c r="C309" s="9" t="s">
        <v>1044</v>
      </c>
      <c r="D309" s="1" t="s">
        <v>95</v>
      </c>
      <c r="E309" s="1" t="s">
        <v>128</v>
      </c>
      <c r="F309" s="10" t="s">
        <v>309</v>
      </c>
      <c r="G309" s="1">
        <v>0</v>
      </c>
      <c r="H309" s="1">
        <v>0.05</v>
      </c>
      <c r="I309" s="8">
        <v>44851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647768</v>
      </c>
      <c r="AJ309" s="2">
        <v>0</v>
      </c>
      <c r="AK309" s="2">
        <v>28918.21</v>
      </c>
      <c r="AL309" s="2">
        <v>0</v>
      </c>
      <c r="AM309" s="5">
        <v>5783.64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38866.07</v>
      </c>
      <c r="AT309" s="12">
        <v>34701.85</v>
      </c>
      <c r="AU309" s="2">
        <v>0</v>
      </c>
      <c r="AV309" s="5">
        <v>3238.84</v>
      </c>
      <c r="AX309" s="2">
        <v>647768</v>
      </c>
      <c r="AY309" s="2">
        <v>0</v>
      </c>
      <c r="AZ309" s="2">
        <v>28918.21</v>
      </c>
      <c r="BA309" s="2">
        <v>0</v>
      </c>
      <c r="BB309" s="5">
        <v>5783.64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38866.07</v>
      </c>
      <c r="BI309" s="12">
        <v>34701.85</v>
      </c>
      <c r="BJ309" s="2">
        <v>0</v>
      </c>
      <c r="BK309" s="5">
        <v>3238.84</v>
      </c>
      <c r="BL309" s="1" t="s">
        <v>130</v>
      </c>
    </row>
    <row r="310" spans="1:64" x14ac:dyDescent="0.3">
      <c r="A310" t="s">
        <v>1045</v>
      </c>
      <c r="B310" s="1" t="s">
        <v>1045</v>
      </c>
      <c r="C310" s="9" t="s">
        <v>1046</v>
      </c>
      <c r="D310" s="1" t="s">
        <v>95</v>
      </c>
      <c r="E310" s="1" t="s">
        <v>128</v>
      </c>
      <c r="F310" s="10" t="s">
        <v>129</v>
      </c>
      <c r="G310" s="1">
        <v>0</v>
      </c>
      <c r="H310" s="1">
        <v>0.05</v>
      </c>
      <c r="I310" s="8">
        <v>44550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625733</v>
      </c>
      <c r="AJ310" s="2">
        <v>28711</v>
      </c>
      <c r="AK310" s="2">
        <v>26806.57</v>
      </c>
      <c r="AL310" s="2">
        <v>1248.7900000000002</v>
      </c>
      <c r="AM310" s="5">
        <v>5843.25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37966.44</v>
      </c>
      <c r="AT310" s="12">
        <v>33898.61</v>
      </c>
      <c r="AU310" s="2">
        <v>0</v>
      </c>
      <c r="AV310" s="5">
        <v>3272.2200000000003</v>
      </c>
      <c r="AX310" s="2">
        <v>625733</v>
      </c>
      <c r="AY310" s="2">
        <v>28711</v>
      </c>
      <c r="AZ310" s="2">
        <v>26806.57</v>
      </c>
      <c r="BA310" s="2">
        <v>1248.7900000000002</v>
      </c>
      <c r="BB310" s="5">
        <v>5843.25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37966.44</v>
      </c>
      <c r="BI310" s="12">
        <v>33898.61</v>
      </c>
      <c r="BJ310" s="2">
        <v>0</v>
      </c>
      <c r="BK310" s="5">
        <v>3272.2200000000003</v>
      </c>
      <c r="BL310" s="1" t="s">
        <v>130</v>
      </c>
    </row>
    <row r="311" spans="1:64" x14ac:dyDescent="0.3">
      <c r="A311" t="s">
        <v>1055</v>
      </c>
      <c r="B311" s="1" t="s">
        <v>1055</v>
      </c>
      <c r="C311" s="9" t="s">
        <v>1056</v>
      </c>
      <c r="D311" s="1" t="s">
        <v>95</v>
      </c>
      <c r="E311" s="1" t="s">
        <v>88</v>
      </c>
      <c r="F311" s="10" t="s">
        <v>441</v>
      </c>
      <c r="G311" s="1">
        <v>0</v>
      </c>
      <c r="H311" s="1">
        <v>0.05</v>
      </c>
      <c r="I311" s="8">
        <v>44655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213000</v>
      </c>
      <c r="AJ311" s="2">
        <v>46428</v>
      </c>
      <c r="AK311" s="2">
        <v>9508.93</v>
      </c>
      <c r="AL311" s="2">
        <v>2072.6799999999998</v>
      </c>
      <c r="AM311" s="5">
        <v>2316.3200000000002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15565.68</v>
      </c>
      <c r="AT311" s="12">
        <v>13897.93</v>
      </c>
      <c r="AU311" s="2">
        <v>0</v>
      </c>
      <c r="AV311" s="5">
        <v>1297.1400000000001</v>
      </c>
      <c r="AX311" s="2">
        <v>213000</v>
      </c>
      <c r="AY311" s="2">
        <v>46428</v>
      </c>
      <c r="AZ311" s="2">
        <v>9508.93</v>
      </c>
      <c r="BA311" s="2">
        <v>2072.6799999999998</v>
      </c>
      <c r="BB311" s="5">
        <v>2316.3200000000002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15565.68</v>
      </c>
      <c r="BI311" s="12">
        <v>13897.93</v>
      </c>
      <c r="BJ311" s="2">
        <v>0</v>
      </c>
      <c r="BK311" s="5">
        <v>1297.1400000000001</v>
      </c>
      <c r="BL311" s="1" t="s">
        <v>90</v>
      </c>
    </row>
    <row r="312" spans="1:64" x14ac:dyDescent="0.3">
      <c r="A312" t="s">
        <v>1059</v>
      </c>
      <c r="B312" s="1" t="s">
        <v>1059</v>
      </c>
      <c r="C312" s="9" t="s">
        <v>1060</v>
      </c>
      <c r="D312" s="1" t="s">
        <v>95</v>
      </c>
      <c r="E312" s="1" t="s">
        <v>88</v>
      </c>
      <c r="F312" s="10" t="s">
        <v>441</v>
      </c>
      <c r="G312" s="1">
        <v>0</v>
      </c>
      <c r="H312" s="1">
        <v>0.05</v>
      </c>
      <c r="I312" s="8">
        <v>44735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143422</v>
      </c>
      <c r="AJ312" s="2">
        <v>49290</v>
      </c>
      <c r="AK312" s="2">
        <v>6402.77</v>
      </c>
      <c r="AL312" s="2">
        <v>2200.4499999999998</v>
      </c>
      <c r="AM312" s="5">
        <v>1720.64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11562.72</v>
      </c>
      <c r="AT312" s="12">
        <v>10323.86</v>
      </c>
      <c r="AU312" s="2">
        <v>0</v>
      </c>
      <c r="AV312" s="5">
        <v>963.56</v>
      </c>
      <c r="AX312" s="2">
        <v>143422</v>
      </c>
      <c r="AY312" s="2">
        <v>49290</v>
      </c>
      <c r="AZ312" s="2">
        <v>6402.77</v>
      </c>
      <c r="BA312" s="2">
        <v>2200.4499999999998</v>
      </c>
      <c r="BB312" s="5">
        <v>1720.64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11562.72</v>
      </c>
      <c r="BI312" s="12">
        <v>10323.86</v>
      </c>
      <c r="BJ312" s="2">
        <v>0</v>
      </c>
      <c r="BK312" s="5">
        <v>963.56</v>
      </c>
      <c r="BL312" s="1" t="s">
        <v>90</v>
      </c>
    </row>
    <row r="313" spans="1:64" x14ac:dyDescent="0.3">
      <c r="A313" t="s">
        <v>1063</v>
      </c>
      <c r="B313" s="1" t="s">
        <v>1063</v>
      </c>
      <c r="C313" s="9" t="s">
        <v>1064</v>
      </c>
      <c r="D313" s="1" t="s">
        <v>95</v>
      </c>
      <c r="E313" s="1" t="s">
        <v>135</v>
      </c>
      <c r="F313" s="10" t="s">
        <v>193</v>
      </c>
      <c r="G313" s="1">
        <v>0</v>
      </c>
      <c r="H313" s="1">
        <v>0.05</v>
      </c>
      <c r="I313" s="8">
        <v>44669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669128</v>
      </c>
      <c r="AJ313" s="2">
        <v>70585</v>
      </c>
      <c r="AK313" s="2">
        <v>29871.79</v>
      </c>
      <c r="AL313" s="2">
        <v>3151.12</v>
      </c>
      <c r="AM313" s="5">
        <v>6604.58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44382.79</v>
      </c>
      <c r="AT313" s="12">
        <v>39627.490000000005</v>
      </c>
      <c r="AU313" s="2">
        <v>0</v>
      </c>
      <c r="AV313" s="5">
        <v>3698.56</v>
      </c>
      <c r="AX313" s="2">
        <v>669128</v>
      </c>
      <c r="AY313" s="2">
        <v>70585</v>
      </c>
      <c r="AZ313" s="2">
        <v>29871.79</v>
      </c>
      <c r="BA313" s="2">
        <v>3151.12</v>
      </c>
      <c r="BB313" s="5">
        <v>6604.58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44382.79</v>
      </c>
      <c r="BI313" s="12">
        <v>39627.490000000005</v>
      </c>
      <c r="BJ313" s="2">
        <v>0</v>
      </c>
      <c r="BK313" s="5">
        <v>3698.56</v>
      </c>
      <c r="BL313" s="1" t="s">
        <v>137</v>
      </c>
    </row>
    <row r="314" spans="1:64" x14ac:dyDescent="0.3">
      <c r="A314" t="s">
        <v>1065</v>
      </c>
      <c r="B314" s="1" t="s">
        <v>1065</v>
      </c>
      <c r="C314" s="9" t="s">
        <v>1066</v>
      </c>
      <c r="D314" s="1" t="s">
        <v>95</v>
      </c>
      <c r="E314" s="1" t="s">
        <v>135</v>
      </c>
      <c r="F314" s="10" t="s">
        <v>435</v>
      </c>
      <c r="G314" s="1">
        <v>0</v>
      </c>
      <c r="H314" s="1">
        <v>0.05</v>
      </c>
      <c r="I314" s="8">
        <v>44628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276624</v>
      </c>
      <c r="AJ314" s="2">
        <v>87189</v>
      </c>
      <c r="AK314" s="2">
        <v>12349.29</v>
      </c>
      <c r="AL314" s="2">
        <v>3892.37</v>
      </c>
      <c r="AM314" s="5">
        <v>3248.33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21828.79</v>
      </c>
      <c r="AT314" s="12">
        <v>19489.989999999998</v>
      </c>
      <c r="AU314" s="2">
        <v>0</v>
      </c>
      <c r="AV314" s="5">
        <v>1819.06</v>
      </c>
      <c r="AX314" s="2">
        <v>276624</v>
      </c>
      <c r="AY314" s="2">
        <v>87189</v>
      </c>
      <c r="AZ314" s="2">
        <v>12349.29</v>
      </c>
      <c r="BA314" s="2">
        <v>3892.37</v>
      </c>
      <c r="BB314" s="5">
        <v>3248.33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21828.79</v>
      </c>
      <c r="BI314" s="12">
        <v>19489.989999999998</v>
      </c>
      <c r="BJ314" s="2">
        <v>0</v>
      </c>
      <c r="BK314" s="5">
        <v>1819.06</v>
      </c>
      <c r="BL314" s="1" t="s">
        <v>137</v>
      </c>
    </row>
    <row r="315" spans="1:64" x14ac:dyDescent="0.3">
      <c r="A315" t="s">
        <v>1073</v>
      </c>
      <c r="B315" s="1" t="s">
        <v>1073</v>
      </c>
      <c r="C315" s="9" t="s">
        <v>1074</v>
      </c>
      <c r="D315" s="1" t="s">
        <v>95</v>
      </c>
      <c r="E315" s="1" t="s">
        <v>135</v>
      </c>
      <c r="F315" s="10" t="s">
        <v>1075</v>
      </c>
      <c r="G315" s="1">
        <v>0</v>
      </c>
      <c r="H315" s="1">
        <v>0.05</v>
      </c>
      <c r="I315" s="8">
        <v>44887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714265</v>
      </c>
      <c r="AJ315" s="2">
        <v>51761</v>
      </c>
      <c r="AK315" s="2">
        <v>31886.83</v>
      </c>
      <c r="AL315" s="2">
        <v>2310.7600000000002</v>
      </c>
      <c r="AM315" s="5">
        <v>6839.52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45961.56</v>
      </c>
      <c r="AT315" s="12">
        <v>41037.11</v>
      </c>
      <c r="AU315" s="2">
        <v>0</v>
      </c>
      <c r="AV315" s="5">
        <v>3830.13</v>
      </c>
      <c r="AX315" s="2">
        <v>714265</v>
      </c>
      <c r="AY315" s="2">
        <v>51761</v>
      </c>
      <c r="AZ315" s="2">
        <v>31886.83</v>
      </c>
      <c r="BA315" s="2">
        <v>2310.7600000000002</v>
      </c>
      <c r="BB315" s="5">
        <v>6839.52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45961.56</v>
      </c>
      <c r="BI315" s="12">
        <v>41037.11</v>
      </c>
      <c r="BJ315" s="2">
        <v>0</v>
      </c>
      <c r="BK315" s="5">
        <v>3830.13</v>
      </c>
      <c r="BL315" s="1" t="s">
        <v>137</v>
      </c>
    </row>
    <row r="316" spans="1:64" x14ac:dyDescent="0.3">
      <c r="A316" t="s">
        <v>1076</v>
      </c>
      <c r="B316" s="1" t="s">
        <v>1076</v>
      </c>
      <c r="C316" s="9" t="s">
        <v>1077</v>
      </c>
      <c r="D316" s="1" t="s">
        <v>95</v>
      </c>
      <c r="E316" s="1" t="s">
        <v>135</v>
      </c>
      <c r="F316" s="10" t="s">
        <v>136</v>
      </c>
      <c r="G316" s="1">
        <v>0</v>
      </c>
      <c r="H316" s="1">
        <v>0.05</v>
      </c>
      <c r="I316" s="8">
        <v>44767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382656</v>
      </c>
      <c r="AJ316" s="2">
        <v>35770</v>
      </c>
      <c r="AK316" s="2">
        <v>17082.86</v>
      </c>
      <c r="AL316" s="2">
        <v>1596.8700000000001</v>
      </c>
      <c r="AM316" s="5">
        <v>3735.95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25105.56</v>
      </c>
      <c r="AT316" s="12">
        <v>22415.68</v>
      </c>
      <c r="AU316" s="2">
        <v>0</v>
      </c>
      <c r="AV316" s="5">
        <v>2092.14</v>
      </c>
      <c r="AX316" s="2">
        <v>382656</v>
      </c>
      <c r="AY316" s="2">
        <v>35770</v>
      </c>
      <c r="AZ316" s="2">
        <v>17082.86</v>
      </c>
      <c r="BA316" s="2">
        <v>1596.8700000000001</v>
      </c>
      <c r="BB316" s="5">
        <v>3735.95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25105.56</v>
      </c>
      <c r="BI316" s="12">
        <v>22415.68</v>
      </c>
      <c r="BJ316" s="2">
        <v>0</v>
      </c>
      <c r="BK316" s="5">
        <v>2092.14</v>
      </c>
      <c r="BL316" s="1" t="s">
        <v>137</v>
      </c>
    </row>
    <row r="317" spans="1:64" x14ac:dyDescent="0.3">
      <c r="A317" t="s">
        <v>1080</v>
      </c>
      <c r="B317" s="1" t="s">
        <v>1080</v>
      </c>
      <c r="C317" s="9" t="s">
        <v>1081</v>
      </c>
      <c r="D317" s="1" t="s">
        <v>95</v>
      </c>
      <c r="E317" s="1" t="s">
        <v>135</v>
      </c>
      <c r="F317" s="10" t="s">
        <v>136</v>
      </c>
      <c r="G317" s="1">
        <v>3.5000000000000003E-2</v>
      </c>
      <c r="H317" s="1">
        <v>0.05</v>
      </c>
      <c r="I317" s="8">
        <v>44441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138805</v>
      </c>
      <c r="AJ317" s="2">
        <v>37997</v>
      </c>
      <c r="AK317" s="2">
        <v>6196.65</v>
      </c>
      <c r="AL317" s="2">
        <v>1696.29</v>
      </c>
      <c r="AM317" s="5">
        <v>1578.59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10608.11</v>
      </c>
      <c r="AT317" s="12">
        <v>9471.5299999999988</v>
      </c>
      <c r="AU317" s="2">
        <v>0</v>
      </c>
      <c r="AV317" s="5">
        <v>884.01</v>
      </c>
      <c r="AX317" s="2">
        <v>138805</v>
      </c>
      <c r="AY317" s="2">
        <v>37997</v>
      </c>
      <c r="AZ317" s="2">
        <v>6196.65</v>
      </c>
      <c r="BA317" s="2">
        <v>1696.29</v>
      </c>
      <c r="BB317" s="5">
        <v>1578.59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10608.11</v>
      </c>
      <c r="BI317" s="12">
        <v>9471.5299999999988</v>
      </c>
      <c r="BJ317" s="2">
        <v>0</v>
      </c>
      <c r="BK317" s="5">
        <v>884.01</v>
      </c>
      <c r="BL317" s="1" t="s">
        <v>137</v>
      </c>
    </row>
    <row r="318" spans="1:64" x14ac:dyDescent="0.3">
      <c r="A318" t="s">
        <v>1082</v>
      </c>
      <c r="B318" s="1" t="s">
        <v>1082</v>
      </c>
      <c r="C318" s="9" t="s">
        <v>1083</v>
      </c>
      <c r="D318" s="1" t="s">
        <v>95</v>
      </c>
      <c r="E318" s="1" t="s">
        <v>135</v>
      </c>
      <c r="F318" s="10" t="s">
        <v>1075</v>
      </c>
      <c r="G318" s="1">
        <v>0</v>
      </c>
      <c r="H318" s="1">
        <v>0.05</v>
      </c>
      <c r="I318" s="8">
        <v>44770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621816</v>
      </c>
      <c r="AJ318" s="2">
        <v>122391</v>
      </c>
      <c r="AK318" s="2">
        <v>27759.64</v>
      </c>
      <c r="AL318" s="2">
        <v>5463.88</v>
      </c>
      <c r="AM318" s="5">
        <v>6644.71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44652.42</v>
      </c>
      <c r="AT318" s="12">
        <v>39868.229999999996</v>
      </c>
      <c r="AU318" s="2">
        <v>0</v>
      </c>
      <c r="AV318" s="5">
        <v>3721.04</v>
      </c>
      <c r="AX318" s="2">
        <v>621816</v>
      </c>
      <c r="AY318" s="2">
        <v>122391</v>
      </c>
      <c r="AZ318" s="2">
        <v>27759.64</v>
      </c>
      <c r="BA318" s="2">
        <v>5463.88</v>
      </c>
      <c r="BB318" s="5">
        <v>6644.71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44652.42</v>
      </c>
      <c r="BI318" s="12">
        <v>39868.229999999996</v>
      </c>
      <c r="BJ318" s="2">
        <v>0</v>
      </c>
      <c r="BK318" s="5">
        <v>3721.04</v>
      </c>
      <c r="BL318" s="1" t="s">
        <v>137</v>
      </c>
    </row>
    <row r="319" spans="1:64" x14ac:dyDescent="0.3">
      <c r="A319" t="s">
        <v>1088</v>
      </c>
      <c r="B319" s="1" t="s">
        <v>1089</v>
      </c>
      <c r="C319" s="9" t="s">
        <v>1090</v>
      </c>
      <c r="D319" s="1" t="s">
        <v>95</v>
      </c>
      <c r="E319" s="1" t="s">
        <v>128</v>
      </c>
      <c r="F319" s="10" t="s">
        <v>309</v>
      </c>
      <c r="G319" s="1">
        <v>0</v>
      </c>
      <c r="H319" s="1">
        <v>0.05</v>
      </c>
      <c r="I319" s="8">
        <v>44755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3685532</v>
      </c>
      <c r="AJ319" s="2">
        <v>42555</v>
      </c>
      <c r="AK319" s="2">
        <v>164532.68000000002</v>
      </c>
      <c r="AL319" s="2">
        <v>1899.78</v>
      </c>
      <c r="AM319" s="5">
        <v>33286.49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223685.22</v>
      </c>
      <c r="AT319" s="12">
        <v>199718.95</v>
      </c>
      <c r="AU319" s="2">
        <v>0</v>
      </c>
      <c r="AV319" s="5">
        <v>18640.45</v>
      </c>
      <c r="AX319" s="2">
        <v>3685532</v>
      </c>
      <c r="AY319" s="2">
        <v>42555</v>
      </c>
      <c r="AZ319" s="2">
        <v>164532.68000000002</v>
      </c>
      <c r="BA319" s="2">
        <v>1899.78</v>
      </c>
      <c r="BB319" s="5">
        <v>33286.49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223685.22</v>
      </c>
      <c r="BI319" s="12">
        <v>199718.95</v>
      </c>
      <c r="BJ319" s="2">
        <v>0</v>
      </c>
      <c r="BK319" s="5">
        <v>18640.45</v>
      </c>
      <c r="BL319" s="1" t="s">
        <v>130</v>
      </c>
    </row>
    <row r="320" spans="1:64" x14ac:dyDescent="0.3">
      <c r="A320" t="s">
        <v>1116</v>
      </c>
      <c r="B320" s="1" t="s">
        <v>1116</v>
      </c>
      <c r="C320" s="9" t="s">
        <v>1117</v>
      </c>
      <c r="D320" s="1" t="s">
        <v>95</v>
      </c>
      <c r="E320" s="1" t="s">
        <v>88</v>
      </c>
      <c r="F320" s="10" t="s">
        <v>534</v>
      </c>
      <c r="G320" s="1">
        <v>0</v>
      </c>
      <c r="H320" s="1">
        <v>0.05</v>
      </c>
      <c r="I320" s="8">
        <v>45004</v>
      </c>
      <c r="J320" s="6">
        <v>49780</v>
      </c>
      <c r="K320" s="6">
        <v>15023</v>
      </c>
      <c r="L320" s="6">
        <v>2222.3200000000002</v>
      </c>
      <c r="M320" s="6">
        <v>670.67</v>
      </c>
      <c r="N320" s="7">
        <v>578.6</v>
      </c>
      <c r="O320" s="6">
        <v>-589272.60000000009</v>
      </c>
      <c r="P320" s="6">
        <v>-73431.899999999994</v>
      </c>
      <c r="Q320" s="6">
        <v>-26306.81</v>
      </c>
      <c r="R320" s="6">
        <v>-3278.21</v>
      </c>
      <c r="S320" s="7">
        <v>-5917.01</v>
      </c>
      <c r="T320" s="11">
        <v>-35874.089999999997</v>
      </c>
      <c r="U320" s="6">
        <v>-32030.44</v>
      </c>
      <c r="V320" s="6">
        <v>0</v>
      </c>
      <c r="W320" s="6">
        <v>-2989.5</v>
      </c>
      <c r="X320" s="46">
        <v>45845</v>
      </c>
      <c r="Y320" s="1">
        <v>25016276</v>
      </c>
      <c r="Z320" s="1">
        <v>25016277</v>
      </c>
      <c r="AI320" s="2">
        <v>49780</v>
      </c>
      <c r="AJ320" s="2">
        <v>15023</v>
      </c>
      <c r="AK320" s="2">
        <v>2222.3200000000002</v>
      </c>
      <c r="AL320" s="2">
        <v>670.67</v>
      </c>
      <c r="AM320" s="5">
        <v>578.6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3888.18</v>
      </c>
      <c r="AT320" s="12">
        <v>3471.59</v>
      </c>
      <c r="AU320" s="2">
        <v>0</v>
      </c>
      <c r="AV320" s="5">
        <v>324.02</v>
      </c>
      <c r="AX320" s="2">
        <v>0</v>
      </c>
      <c r="AY320" s="2">
        <v>0</v>
      </c>
      <c r="AZ320" s="2">
        <v>0</v>
      </c>
      <c r="BA320" s="2">
        <v>0</v>
      </c>
      <c r="BB320" s="5">
        <v>0</v>
      </c>
      <c r="BC320" s="12">
        <v>589272.60000000009</v>
      </c>
      <c r="BD320" s="2">
        <v>73431.899999999994</v>
      </c>
      <c r="BE320" s="2">
        <v>26306.81</v>
      </c>
      <c r="BF320" s="2">
        <v>3278.21</v>
      </c>
      <c r="BG320" s="5">
        <v>5917.01</v>
      </c>
      <c r="BH320" s="2">
        <v>39762.269999999997</v>
      </c>
      <c r="BI320" s="12">
        <v>35502.03</v>
      </c>
      <c r="BJ320" s="2">
        <v>0</v>
      </c>
      <c r="BK320" s="5">
        <v>3313.52</v>
      </c>
      <c r="BL320" s="1" t="s">
        <v>90</v>
      </c>
    </row>
    <row r="321" spans="1:64" x14ac:dyDescent="0.3">
      <c r="A321" t="s">
        <v>1118</v>
      </c>
      <c r="B321" s="1" t="s">
        <v>1118</v>
      </c>
      <c r="C321" s="9" t="s">
        <v>1119</v>
      </c>
      <c r="D321" s="1" t="s">
        <v>95</v>
      </c>
      <c r="E321" s="1" t="s">
        <v>135</v>
      </c>
      <c r="F321" s="10" t="s">
        <v>435</v>
      </c>
      <c r="G321" s="1">
        <v>0</v>
      </c>
      <c r="H321" s="1">
        <v>0.05</v>
      </c>
      <c r="I321" s="8">
        <v>44879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1123634</v>
      </c>
      <c r="AJ321" s="2">
        <v>157506</v>
      </c>
      <c r="AK321" s="2">
        <v>50162.23</v>
      </c>
      <c r="AL321" s="2">
        <v>7031.52</v>
      </c>
      <c r="AM321" s="5">
        <v>11438.75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76868.399999999994</v>
      </c>
      <c r="AT321" s="12">
        <v>68632.5</v>
      </c>
      <c r="AU321" s="2">
        <v>0</v>
      </c>
      <c r="AV321" s="5">
        <v>6405.7</v>
      </c>
      <c r="AX321" s="2">
        <v>1123634</v>
      </c>
      <c r="AY321" s="2">
        <v>157506</v>
      </c>
      <c r="AZ321" s="2">
        <v>50162.23</v>
      </c>
      <c r="BA321" s="2">
        <v>7031.52</v>
      </c>
      <c r="BB321" s="5">
        <v>11438.75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76868.399999999994</v>
      </c>
      <c r="BI321" s="12">
        <v>68632.5</v>
      </c>
      <c r="BJ321" s="2">
        <v>0</v>
      </c>
      <c r="BK321" s="5">
        <v>6405.7</v>
      </c>
      <c r="BL321" s="1" t="s">
        <v>137</v>
      </c>
    </row>
    <row r="322" spans="1:64" x14ac:dyDescent="0.3">
      <c r="A322" t="s">
        <v>1140</v>
      </c>
      <c r="B322" s="1" t="s">
        <v>1140</v>
      </c>
      <c r="C322" s="9" t="s">
        <v>1141</v>
      </c>
      <c r="D322" s="1" t="s">
        <v>95</v>
      </c>
      <c r="E322" s="1" t="s">
        <v>135</v>
      </c>
      <c r="F322" s="10" t="s">
        <v>136</v>
      </c>
      <c r="G322" s="1">
        <v>0</v>
      </c>
      <c r="H322" s="1">
        <v>0.05</v>
      </c>
      <c r="I322" s="8">
        <v>45123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1087436</v>
      </c>
      <c r="AJ322" s="2">
        <v>134752</v>
      </c>
      <c r="AK322" s="2">
        <v>48546.25</v>
      </c>
      <c r="AL322" s="2">
        <v>6015.71</v>
      </c>
      <c r="AM322" s="5">
        <v>10912.39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73331.27</v>
      </c>
      <c r="AT322" s="12">
        <v>65474.35</v>
      </c>
      <c r="AU322" s="2">
        <v>0</v>
      </c>
      <c r="AV322" s="5">
        <v>6110.94</v>
      </c>
      <c r="AX322" s="2">
        <v>1087436</v>
      </c>
      <c r="AY322" s="2">
        <v>134752</v>
      </c>
      <c r="AZ322" s="2">
        <v>48546.25</v>
      </c>
      <c r="BA322" s="2">
        <v>6015.71</v>
      </c>
      <c r="BB322" s="5">
        <v>10912.39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73331.27</v>
      </c>
      <c r="BI322" s="12">
        <v>65474.35</v>
      </c>
      <c r="BJ322" s="2">
        <v>0</v>
      </c>
      <c r="BK322" s="5">
        <v>6110.94</v>
      </c>
      <c r="BL322" s="1" t="s">
        <v>137</v>
      </c>
    </row>
    <row r="323" spans="1:64" x14ac:dyDescent="0.3">
      <c r="A323" t="s">
        <v>1142</v>
      </c>
      <c r="B323" s="1" t="s">
        <v>1142</v>
      </c>
      <c r="C323" s="9" t="s">
        <v>1143</v>
      </c>
      <c r="D323" s="1" t="s">
        <v>95</v>
      </c>
      <c r="E323" s="1" t="s">
        <v>135</v>
      </c>
      <c r="F323" s="10" t="s">
        <v>193</v>
      </c>
      <c r="G323" s="1">
        <v>0</v>
      </c>
      <c r="H323" s="1">
        <v>0.05</v>
      </c>
      <c r="I323" s="8">
        <v>44774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296399</v>
      </c>
      <c r="AJ323" s="2">
        <v>56211</v>
      </c>
      <c r="AK323" s="2">
        <v>13232.1</v>
      </c>
      <c r="AL323" s="2">
        <v>2509.42</v>
      </c>
      <c r="AM323" s="5">
        <v>3148.3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21156.6</v>
      </c>
      <c r="AT323" s="12">
        <v>18889.82</v>
      </c>
      <c r="AU323" s="2">
        <v>0</v>
      </c>
      <c r="AV323" s="5">
        <v>1763.05</v>
      </c>
      <c r="AX323" s="2">
        <v>296399</v>
      </c>
      <c r="AY323" s="2">
        <v>56211</v>
      </c>
      <c r="AZ323" s="2">
        <v>13232.1</v>
      </c>
      <c r="BA323" s="2">
        <v>2509.42</v>
      </c>
      <c r="BB323" s="5">
        <v>3148.3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21156.6</v>
      </c>
      <c r="BI323" s="12">
        <v>18889.82</v>
      </c>
      <c r="BJ323" s="2">
        <v>0</v>
      </c>
      <c r="BK323" s="5">
        <v>1763.05</v>
      </c>
      <c r="BL323" s="1" t="s">
        <v>137</v>
      </c>
    </row>
    <row r="324" spans="1:64" x14ac:dyDescent="0.3">
      <c r="A324" t="s">
        <v>1144</v>
      </c>
      <c r="B324" s="1" t="s">
        <v>1144</v>
      </c>
      <c r="C324" s="9" t="s">
        <v>1145</v>
      </c>
      <c r="D324" s="1" t="s">
        <v>95</v>
      </c>
      <c r="E324" s="1" t="s">
        <v>135</v>
      </c>
      <c r="F324" s="10" t="s">
        <v>193</v>
      </c>
      <c r="G324" s="1">
        <v>0</v>
      </c>
      <c r="H324" s="1">
        <v>0.05</v>
      </c>
      <c r="I324" s="8">
        <v>44774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610271</v>
      </c>
      <c r="AJ324" s="2">
        <v>132485</v>
      </c>
      <c r="AK324" s="2">
        <v>27244.23</v>
      </c>
      <c r="AL324" s="2">
        <v>5914.51</v>
      </c>
      <c r="AM324" s="5">
        <v>6631.75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44565.35</v>
      </c>
      <c r="AT324" s="12">
        <v>39790.49</v>
      </c>
      <c r="AU324" s="2">
        <v>0</v>
      </c>
      <c r="AV324" s="5">
        <v>3713.79</v>
      </c>
      <c r="AX324" s="2">
        <v>610271</v>
      </c>
      <c r="AY324" s="2">
        <v>132485</v>
      </c>
      <c r="AZ324" s="2">
        <v>27244.23</v>
      </c>
      <c r="BA324" s="2">
        <v>5914.51</v>
      </c>
      <c r="BB324" s="5">
        <v>6631.75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44565.35</v>
      </c>
      <c r="BI324" s="12">
        <v>39790.49</v>
      </c>
      <c r="BJ324" s="2">
        <v>0</v>
      </c>
      <c r="BK324" s="5">
        <v>3713.79</v>
      </c>
      <c r="BL324" s="1" t="s">
        <v>137</v>
      </c>
    </row>
    <row r="325" spans="1:64" x14ac:dyDescent="0.3">
      <c r="A325" t="s">
        <v>1150</v>
      </c>
      <c r="B325" s="1" t="s">
        <v>1150</v>
      </c>
      <c r="C325" s="9" t="s">
        <v>1151</v>
      </c>
      <c r="D325" s="1" t="s">
        <v>95</v>
      </c>
      <c r="E325" s="1" t="s">
        <v>88</v>
      </c>
      <c r="F325" s="10" t="s">
        <v>534</v>
      </c>
      <c r="G325" s="1">
        <v>0</v>
      </c>
      <c r="H325" s="1">
        <v>0.05</v>
      </c>
      <c r="I325" s="8">
        <v>44638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188035</v>
      </c>
      <c r="AJ325" s="2">
        <v>17205</v>
      </c>
      <c r="AK325" s="2">
        <v>8394.42</v>
      </c>
      <c r="AL325" s="2">
        <v>768.08</v>
      </c>
      <c r="AM325" s="5">
        <v>1832.5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12314.4</v>
      </c>
      <c r="AT325" s="12">
        <v>10995</v>
      </c>
      <c r="AU325" s="2">
        <v>0</v>
      </c>
      <c r="AV325" s="5">
        <v>1026.2</v>
      </c>
      <c r="AX325" s="2">
        <v>188035</v>
      </c>
      <c r="AY325" s="2">
        <v>17205</v>
      </c>
      <c r="AZ325" s="2">
        <v>8394.42</v>
      </c>
      <c r="BA325" s="2">
        <v>768.08</v>
      </c>
      <c r="BB325" s="5">
        <v>1832.5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12314.4</v>
      </c>
      <c r="BI325" s="12">
        <v>10995</v>
      </c>
      <c r="BJ325" s="2">
        <v>0</v>
      </c>
      <c r="BK325" s="5">
        <v>1026.2</v>
      </c>
      <c r="BL325" s="1" t="s">
        <v>90</v>
      </c>
    </row>
    <row r="326" spans="1:64" x14ac:dyDescent="0.3">
      <c r="A326" t="s">
        <v>1156</v>
      </c>
      <c r="B326" s="1" t="s">
        <v>1156</v>
      </c>
      <c r="C326" s="9" t="s">
        <v>1157</v>
      </c>
      <c r="D326" s="1" t="s">
        <v>95</v>
      </c>
      <c r="E326" s="1" t="s">
        <v>135</v>
      </c>
      <c r="F326" s="10" t="s">
        <v>435</v>
      </c>
      <c r="G326" s="1">
        <v>0</v>
      </c>
      <c r="H326" s="1">
        <v>0.05</v>
      </c>
      <c r="I326" s="8">
        <v>44942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394776</v>
      </c>
      <c r="AJ326" s="2">
        <v>62420</v>
      </c>
      <c r="AK326" s="2">
        <v>17623.93</v>
      </c>
      <c r="AL326" s="2">
        <v>2786.61</v>
      </c>
      <c r="AM326" s="5">
        <v>4082.11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27431.77</v>
      </c>
      <c r="AT326" s="12">
        <v>24492.65</v>
      </c>
      <c r="AU326" s="2">
        <v>0</v>
      </c>
      <c r="AV326" s="5">
        <v>2285.98</v>
      </c>
      <c r="AX326" s="2">
        <v>394776</v>
      </c>
      <c r="AY326" s="2">
        <v>62420</v>
      </c>
      <c r="AZ326" s="2">
        <v>17623.93</v>
      </c>
      <c r="BA326" s="2">
        <v>2786.61</v>
      </c>
      <c r="BB326" s="5">
        <v>4082.11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27431.77</v>
      </c>
      <c r="BI326" s="12">
        <v>24492.65</v>
      </c>
      <c r="BJ326" s="2">
        <v>0</v>
      </c>
      <c r="BK326" s="5">
        <v>2285.98</v>
      </c>
      <c r="BL326" s="1" t="s">
        <v>137</v>
      </c>
    </row>
    <row r="327" spans="1:64" x14ac:dyDescent="0.3">
      <c r="A327" t="s">
        <v>1158</v>
      </c>
      <c r="B327" s="1" t="s">
        <v>1158</v>
      </c>
      <c r="C327" s="9" t="s">
        <v>1159</v>
      </c>
      <c r="D327" s="1" t="s">
        <v>95</v>
      </c>
      <c r="E327" s="1" t="s">
        <v>135</v>
      </c>
      <c r="F327" s="10" t="s">
        <v>193</v>
      </c>
      <c r="G327" s="1">
        <v>0</v>
      </c>
      <c r="H327" s="1">
        <v>0.05</v>
      </c>
      <c r="I327" s="8">
        <v>44948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298480.5</v>
      </c>
      <c r="AJ327" s="2">
        <v>60429</v>
      </c>
      <c r="AK327" s="2">
        <v>13325.03</v>
      </c>
      <c r="AL327" s="2">
        <v>2697.72</v>
      </c>
      <c r="AM327" s="5">
        <v>3204.55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21534.58</v>
      </c>
      <c r="AT327" s="12">
        <v>19227.3</v>
      </c>
      <c r="AU327" s="2">
        <v>0</v>
      </c>
      <c r="AV327" s="5">
        <v>1794.55</v>
      </c>
      <c r="AX327" s="2">
        <v>298480.5</v>
      </c>
      <c r="AY327" s="2">
        <v>60429</v>
      </c>
      <c r="AZ327" s="2">
        <v>13325.03</v>
      </c>
      <c r="BA327" s="2">
        <v>2697.72</v>
      </c>
      <c r="BB327" s="5">
        <v>3204.55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21534.58</v>
      </c>
      <c r="BI327" s="12">
        <v>19227.3</v>
      </c>
      <c r="BJ327" s="2">
        <v>0</v>
      </c>
      <c r="BK327" s="5">
        <v>1794.55</v>
      </c>
      <c r="BL327" s="1" t="s">
        <v>137</v>
      </c>
    </row>
    <row r="328" spans="1:64" x14ac:dyDescent="0.3">
      <c r="A328" t="s">
        <v>1160</v>
      </c>
      <c r="B328" s="1" t="s">
        <v>1160</v>
      </c>
      <c r="C328" s="9" t="s">
        <v>1161</v>
      </c>
      <c r="D328" s="1" t="s">
        <v>95</v>
      </c>
      <c r="E328" s="1" t="s">
        <v>135</v>
      </c>
      <c r="F328" s="10" t="s">
        <v>435</v>
      </c>
      <c r="G328" s="1">
        <v>0</v>
      </c>
      <c r="H328" s="1">
        <v>0.05</v>
      </c>
      <c r="I328" s="8">
        <v>44040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1022634</v>
      </c>
      <c r="AJ328" s="2">
        <v>113679</v>
      </c>
      <c r="AK328" s="2">
        <v>45653.3</v>
      </c>
      <c r="AL328" s="2">
        <v>5074.96</v>
      </c>
      <c r="AM328" s="5">
        <v>10145.65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68178.78</v>
      </c>
      <c r="AT328" s="12">
        <v>60873.91</v>
      </c>
      <c r="AU328" s="2">
        <v>0</v>
      </c>
      <c r="AV328" s="5">
        <v>5681.56</v>
      </c>
      <c r="AX328" s="2">
        <v>1022634</v>
      </c>
      <c r="AY328" s="2">
        <v>113679</v>
      </c>
      <c r="AZ328" s="2">
        <v>45653.3</v>
      </c>
      <c r="BA328" s="2">
        <v>5074.96</v>
      </c>
      <c r="BB328" s="5">
        <v>10145.65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68178.78</v>
      </c>
      <c r="BI328" s="12">
        <v>60873.91</v>
      </c>
      <c r="BJ328" s="2">
        <v>0</v>
      </c>
      <c r="BK328" s="5">
        <v>5681.56</v>
      </c>
      <c r="BL328" s="1" t="s">
        <v>302</v>
      </c>
    </row>
    <row r="329" spans="1:64" x14ac:dyDescent="0.3">
      <c r="A329" t="s">
        <v>1162</v>
      </c>
      <c r="B329" s="1" t="s">
        <v>1162</v>
      </c>
      <c r="C329" s="9" t="s">
        <v>1163</v>
      </c>
      <c r="D329" s="1" t="s">
        <v>95</v>
      </c>
      <c r="E329" s="1" t="s">
        <v>135</v>
      </c>
      <c r="F329" s="10" t="s">
        <v>136</v>
      </c>
      <c r="G329" s="1">
        <v>0</v>
      </c>
      <c r="H329" s="1">
        <v>0.05</v>
      </c>
      <c r="I329" s="8">
        <v>44878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1232128</v>
      </c>
      <c r="AJ329" s="2">
        <v>156216</v>
      </c>
      <c r="AK329" s="2">
        <v>55005.71</v>
      </c>
      <c r="AL329" s="2">
        <v>6973.93</v>
      </c>
      <c r="AM329" s="5">
        <v>12395.93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83300.639999999999</v>
      </c>
      <c r="AT329" s="12">
        <v>74375.570000000007</v>
      </c>
      <c r="AU329" s="2">
        <v>0</v>
      </c>
      <c r="AV329" s="5">
        <v>6941.72</v>
      </c>
      <c r="AX329" s="2">
        <v>1232128</v>
      </c>
      <c r="AY329" s="2">
        <v>156216</v>
      </c>
      <c r="AZ329" s="2">
        <v>55005.71</v>
      </c>
      <c r="BA329" s="2">
        <v>6973.93</v>
      </c>
      <c r="BB329" s="5">
        <v>12395.93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83300.639999999999</v>
      </c>
      <c r="BI329" s="12">
        <v>74375.570000000007</v>
      </c>
      <c r="BJ329" s="2">
        <v>0</v>
      </c>
      <c r="BK329" s="5">
        <v>6941.72</v>
      </c>
      <c r="BL329" s="1" t="s">
        <v>302</v>
      </c>
    </row>
    <row r="330" spans="1:64" x14ac:dyDescent="0.3">
      <c r="A330" t="s">
        <v>1164</v>
      </c>
      <c r="B330" s="1" t="s">
        <v>1164</v>
      </c>
      <c r="C330" s="9" t="s">
        <v>1165</v>
      </c>
      <c r="D330" s="1" t="s">
        <v>95</v>
      </c>
      <c r="E330" s="1" t="s">
        <v>135</v>
      </c>
      <c r="F330" s="10" t="s">
        <v>193</v>
      </c>
      <c r="G330" s="1">
        <v>0</v>
      </c>
      <c r="H330" s="1">
        <v>0.05</v>
      </c>
      <c r="I330" s="8">
        <v>45000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474345</v>
      </c>
      <c r="AJ330" s="2">
        <v>47725</v>
      </c>
      <c r="AK330" s="2">
        <v>21176.12</v>
      </c>
      <c r="AL330" s="2">
        <v>2130.58</v>
      </c>
      <c r="AM330" s="5">
        <v>4661.34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31324.2</v>
      </c>
      <c r="AT330" s="12">
        <v>27968.039999999997</v>
      </c>
      <c r="AU330" s="2">
        <v>0</v>
      </c>
      <c r="AV330" s="5">
        <v>2610.35</v>
      </c>
      <c r="AX330" s="2">
        <v>474345</v>
      </c>
      <c r="AY330" s="2">
        <v>47725</v>
      </c>
      <c r="AZ330" s="2">
        <v>21176.12</v>
      </c>
      <c r="BA330" s="2">
        <v>2130.58</v>
      </c>
      <c r="BB330" s="5">
        <v>4661.34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31324.2</v>
      </c>
      <c r="BI330" s="12">
        <v>27968.039999999997</v>
      </c>
      <c r="BJ330" s="2">
        <v>0</v>
      </c>
      <c r="BK330" s="5">
        <v>2610.35</v>
      </c>
      <c r="BL330" s="1" t="s">
        <v>137</v>
      </c>
    </row>
    <row r="331" spans="1:64" x14ac:dyDescent="0.3">
      <c r="A331" t="s">
        <v>1168</v>
      </c>
      <c r="B331" s="1" t="s">
        <v>1168</v>
      </c>
      <c r="C331" s="9" t="s">
        <v>1169</v>
      </c>
      <c r="D331" s="1" t="s">
        <v>95</v>
      </c>
      <c r="E331" s="1" t="s">
        <v>88</v>
      </c>
      <c r="F331" s="10" t="s">
        <v>1170</v>
      </c>
      <c r="G331" s="1">
        <v>0</v>
      </c>
      <c r="H331" s="1">
        <v>0.05</v>
      </c>
      <c r="I331" s="8">
        <v>44915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823133</v>
      </c>
      <c r="AJ331" s="2">
        <v>153129</v>
      </c>
      <c r="AK331" s="2">
        <v>36747.01</v>
      </c>
      <c r="AL331" s="2">
        <v>6836.12</v>
      </c>
      <c r="AM331" s="5">
        <v>8716.619999999999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58575.72</v>
      </c>
      <c r="AT331" s="12">
        <v>52299.75</v>
      </c>
      <c r="AU331" s="2">
        <v>0</v>
      </c>
      <c r="AV331" s="5">
        <v>4881.3</v>
      </c>
      <c r="AX331" s="2">
        <v>823133</v>
      </c>
      <c r="AY331" s="2">
        <v>153129</v>
      </c>
      <c r="AZ331" s="2">
        <v>36747.01</v>
      </c>
      <c r="BA331" s="2">
        <v>6836.12</v>
      </c>
      <c r="BB331" s="5">
        <v>8716.619999999999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58575.72</v>
      </c>
      <c r="BI331" s="12">
        <v>52299.75</v>
      </c>
      <c r="BJ331" s="2">
        <v>0</v>
      </c>
      <c r="BK331" s="5">
        <v>4881.3</v>
      </c>
      <c r="BL331" s="1" t="s">
        <v>90</v>
      </c>
    </row>
    <row r="332" spans="1:64" x14ac:dyDescent="0.3">
      <c r="A332" t="s">
        <v>1175</v>
      </c>
      <c r="B332" s="1" t="s">
        <v>1175</v>
      </c>
      <c r="C332" s="9" t="s">
        <v>1176</v>
      </c>
      <c r="D332" s="1" t="s">
        <v>95</v>
      </c>
      <c r="E332" s="1" t="s">
        <v>135</v>
      </c>
      <c r="F332" s="10" t="s">
        <v>485</v>
      </c>
      <c r="G332" s="1">
        <v>0</v>
      </c>
      <c r="H332" s="1">
        <v>0.05</v>
      </c>
      <c r="I332" s="8">
        <v>0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0</v>
      </c>
      <c r="AJ332" s="2">
        <v>0</v>
      </c>
      <c r="AK332" s="2">
        <v>0</v>
      </c>
      <c r="AL332" s="2">
        <v>0</v>
      </c>
      <c r="AM332" s="5">
        <v>0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0</v>
      </c>
      <c r="AT332" s="12">
        <v>0</v>
      </c>
      <c r="AU332" s="2">
        <v>0</v>
      </c>
      <c r="AV332" s="5">
        <v>0</v>
      </c>
      <c r="AX332" s="2">
        <v>0</v>
      </c>
      <c r="AY332" s="2">
        <v>0</v>
      </c>
      <c r="AZ332" s="2">
        <v>0</v>
      </c>
      <c r="BA332" s="2">
        <v>0</v>
      </c>
      <c r="BB332" s="5">
        <v>0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0</v>
      </c>
      <c r="BI332" s="12">
        <v>0</v>
      </c>
      <c r="BJ332" s="2">
        <v>0</v>
      </c>
      <c r="BK332" s="5">
        <v>0</v>
      </c>
      <c r="BL332" s="1" t="s">
        <v>302</v>
      </c>
    </row>
    <row r="333" spans="1:64" x14ac:dyDescent="0.3">
      <c r="A333" t="s">
        <v>1177</v>
      </c>
      <c r="B333" s="1" t="s">
        <v>1177</v>
      </c>
      <c r="C333" s="9" t="s">
        <v>1178</v>
      </c>
      <c r="D333" s="1" t="s">
        <v>95</v>
      </c>
      <c r="E333" s="1" t="s">
        <v>135</v>
      </c>
      <c r="F333" s="10" t="s">
        <v>435</v>
      </c>
      <c r="G333" s="1">
        <v>0</v>
      </c>
      <c r="H333" s="1">
        <v>0.05</v>
      </c>
      <c r="I333" s="8">
        <v>44948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541645</v>
      </c>
      <c r="AJ333" s="2">
        <v>71500</v>
      </c>
      <c r="AK333" s="2">
        <v>24180.58</v>
      </c>
      <c r="AL333" s="2">
        <v>3191.96</v>
      </c>
      <c r="AM333" s="5">
        <v>5474.51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36788.699999999997</v>
      </c>
      <c r="AT333" s="12">
        <v>32847.050000000003</v>
      </c>
      <c r="AU333" s="2">
        <v>0</v>
      </c>
      <c r="AV333" s="5">
        <v>3065.72</v>
      </c>
      <c r="AX333" s="2">
        <v>541645</v>
      </c>
      <c r="AY333" s="2">
        <v>71500</v>
      </c>
      <c r="AZ333" s="2">
        <v>24180.58</v>
      </c>
      <c r="BA333" s="2">
        <v>3191.96</v>
      </c>
      <c r="BB333" s="5">
        <v>5474.51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36788.699999999997</v>
      </c>
      <c r="BI333" s="12">
        <v>32847.050000000003</v>
      </c>
      <c r="BJ333" s="2">
        <v>0</v>
      </c>
      <c r="BK333" s="5">
        <v>3065.72</v>
      </c>
      <c r="BL333" s="1" t="s">
        <v>137</v>
      </c>
    </row>
    <row r="334" spans="1:64" x14ac:dyDescent="0.3">
      <c r="A334" t="s">
        <v>1179</v>
      </c>
      <c r="B334" s="1" t="s">
        <v>1179</v>
      </c>
      <c r="C334" s="9" t="s">
        <v>1180</v>
      </c>
      <c r="D334" s="1" t="s">
        <v>95</v>
      </c>
      <c r="E334" s="1" t="s">
        <v>135</v>
      </c>
      <c r="F334" s="10" t="s">
        <v>435</v>
      </c>
      <c r="G334" s="1">
        <v>0</v>
      </c>
      <c r="H334" s="1">
        <v>0.05</v>
      </c>
      <c r="I334" s="8">
        <v>45007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244740</v>
      </c>
      <c r="AJ334" s="2">
        <v>52609</v>
      </c>
      <c r="AK334" s="2">
        <v>10925.89</v>
      </c>
      <c r="AL334" s="2">
        <v>2348.62</v>
      </c>
      <c r="AM334" s="5">
        <v>2654.9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17840.939999999999</v>
      </c>
      <c r="AT334" s="12">
        <v>15929.409999999998</v>
      </c>
      <c r="AU334" s="2">
        <v>0</v>
      </c>
      <c r="AV334" s="5">
        <v>1486.74</v>
      </c>
      <c r="AX334" s="2">
        <v>244740</v>
      </c>
      <c r="AY334" s="2">
        <v>52609</v>
      </c>
      <c r="AZ334" s="2">
        <v>10925.89</v>
      </c>
      <c r="BA334" s="2">
        <v>2348.62</v>
      </c>
      <c r="BB334" s="5">
        <v>2654.9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17840.939999999999</v>
      </c>
      <c r="BI334" s="12">
        <v>15929.409999999998</v>
      </c>
      <c r="BJ334" s="2">
        <v>0</v>
      </c>
      <c r="BK334" s="5">
        <v>1486.74</v>
      </c>
      <c r="BL334" s="1" t="s">
        <v>137</v>
      </c>
    </row>
    <row r="335" spans="1:64" x14ac:dyDescent="0.3">
      <c r="A335" t="s">
        <v>1181</v>
      </c>
      <c r="B335" s="1" t="s">
        <v>1181</v>
      </c>
      <c r="C335" s="9" t="s">
        <v>1182</v>
      </c>
      <c r="D335" s="1" t="s">
        <v>95</v>
      </c>
      <c r="E335" s="1" t="s">
        <v>128</v>
      </c>
      <c r="F335" s="10" t="s">
        <v>309</v>
      </c>
      <c r="G335" s="1">
        <v>0</v>
      </c>
      <c r="H335" s="1">
        <v>0.05</v>
      </c>
      <c r="I335" s="8">
        <v>45092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302016</v>
      </c>
      <c r="AJ335" s="2">
        <v>12390</v>
      </c>
      <c r="AK335" s="2">
        <v>13482.86</v>
      </c>
      <c r="AL335" s="2">
        <v>553.12</v>
      </c>
      <c r="AM335" s="5">
        <v>2807.2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18864.36</v>
      </c>
      <c r="AT335" s="12">
        <v>16843.18</v>
      </c>
      <c r="AU335" s="2">
        <v>0</v>
      </c>
      <c r="AV335" s="5">
        <v>1572.03</v>
      </c>
      <c r="AX335" s="2">
        <v>302016</v>
      </c>
      <c r="AY335" s="2">
        <v>12390</v>
      </c>
      <c r="AZ335" s="2">
        <v>13482.86</v>
      </c>
      <c r="BA335" s="2">
        <v>553.12</v>
      </c>
      <c r="BB335" s="5">
        <v>2807.2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18864.36</v>
      </c>
      <c r="BI335" s="12">
        <v>16843.18</v>
      </c>
      <c r="BJ335" s="2">
        <v>0</v>
      </c>
      <c r="BK335" s="5">
        <v>1572.03</v>
      </c>
      <c r="BL335" s="1" t="s">
        <v>130</v>
      </c>
    </row>
    <row r="336" spans="1:64" x14ac:dyDescent="0.3">
      <c r="A336" t="s">
        <v>1183</v>
      </c>
      <c r="B336" s="1" t="s">
        <v>1183</v>
      </c>
      <c r="C336" s="9" t="s">
        <v>1184</v>
      </c>
      <c r="D336" s="1" t="s">
        <v>95</v>
      </c>
      <c r="E336" s="1" t="s">
        <v>135</v>
      </c>
      <c r="F336" s="10" t="s">
        <v>136</v>
      </c>
      <c r="G336" s="1">
        <v>0</v>
      </c>
      <c r="H336" s="1">
        <v>0.05</v>
      </c>
      <c r="I336" s="8">
        <v>44944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784052</v>
      </c>
      <c r="AJ336" s="2">
        <v>112600</v>
      </c>
      <c r="AK336" s="2">
        <v>35002.32</v>
      </c>
      <c r="AL336" s="2">
        <v>5026.79</v>
      </c>
      <c r="AM336" s="5">
        <v>8005.82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53799.12</v>
      </c>
      <c r="AT336" s="12">
        <v>48034.93</v>
      </c>
      <c r="AU336" s="2">
        <v>0</v>
      </c>
      <c r="AV336" s="5">
        <v>4483.26</v>
      </c>
      <c r="AX336" s="2">
        <v>784052</v>
      </c>
      <c r="AY336" s="2">
        <v>112600</v>
      </c>
      <c r="AZ336" s="2">
        <v>35002.32</v>
      </c>
      <c r="BA336" s="2">
        <v>5026.79</v>
      </c>
      <c r="BB336" s="5">
        <v>8005.82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53799.12</v>
      </c>
      <c r="BI336" s="12">
        <v>48034.93</v>
      </c>
      <c r="BJ336" s="2">
        <v>0</v>
      </c>
      <c r="BK336" s="5">
        <v>4483.26</v>
      </c>
      <c r="BL336" s="1" t="s">
        <v>137</v>
      </c>
    </row>
    <row r="337" spans="1:64" x14ac:dyDescent="0.3">
      <c r="A337" t="s">
        <v>1207</v>
      </c>
      <c r="B337" s="1" t="s">
        <v>1208</v>
      </c>
      <c r="C337" s="9" t="s">
        <v>1209</v>
      </c>
      <c r="D337" s="1" t="s">
        <v>95</v>
      </c>
      <c r="E337" s="1" t="s">
        <v>135</v>
      </c>
      <c r="F337" s="10" t="s">
        <v>136</v>
      </c>
      <c r="G337" s="1">
        <v>4.4999999999999998E-2</v>
      </c>
      <c r="H337" s="1">
        <v>0.05</v>
      </c>
      <c r="I337" s="8">
        <v>44441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525222.5</v>
      </c>
      <c r="AJ337" s="2">
        <v>136801</v>
      </c>
      <c r="AK337" s="2">
        <v>23447.43</v>
      </c>
      <c r="AL337" s="2">
        <v>6107.19</v>
      </c>
      <c r="AM337" s="5">
        <v>5910.92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39721.4</v>
      </c>
      <c r="AT337" s="12">
        <v>35465.54</v>
      </c>
      <c r="AU337" s="2">
        <v>0</v>
      </c>
      <c r="AV337" s="5">
        <v>3310.12</v>
      </c>
      <c r="AX337" s="2">
        <v>525222.5</v>
      </c>
      <c r="AY337" s="2">
        <v>136801</v>
      </c>
      <c r="AZ337" s="2">
        <v>23447.43</v>
      </c>
      <c r="BA337" s="2">
        <v>6107.19</v>
      </c>
      <c r="BB337" s="5">
        <v>5910.92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39721.4</v>
      </c>
      <c r="BI337" s="12">
        <v>35465.54</v>
      </c>
      <c r="BJ337" s="2">
        <v>0</v>
      </c>
      <c r="BK337" s="5">
        <v>3310.12</v>
      </c>
      <c r="BL337" s="1" t="s">
        <v>137</v>
      </c>
    </row>
    <row r="338" spans="1:64" x14ac:dyDescent="0.3">
      <c r="A338" t="s">
        <v>1211</v>
      </c>
      <c r="B338" s="1" t="s">
        <v>1211</v>
      </c>
      <c r="C338" s="9" t="s">
        <v>1212</v>
      </c>
      <c r="D338" s="1" t="s">
        <v>95</v>
      </c>
      <c r="E338" s="1" t="s">
        <v>128</v>
      </c>
      <c r="F338" s="10" t="s">
        <v>988</v>
      </c>
      <c r="G338" s="1">
        <v>4.4999999999999998E-2</v>
      </c>
      <c r="H338" s="1">
        <v>0.05</v>
      </c>
      <c r="I338" s="8">
        <v>44956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266512</v>
      </c>
      <c r="AJ338" s="2">
        <v>23290</v>
      </c>
      <c r="AK338" s="2">
        <v>11897.86</v>
      </c>
      <c r="AL338" s="2">
        <v>1039.73</v>
      </c>
      <c r="AM338" s="5">
        <v>2587.52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17388.12</v>
      </c>
      <c r="AT338" s="12">
        <v>15525.109999999999</v>
      </c>
      <c r="AU338" s="2">
        <v>0</v>
      </c>
      <c r="AV338" s="5">
        <v>1449.02</v>
      </c>
      <c r="AX338" s="2">
        <v>266512</v>
      </c>
      <c r="AY338" s="2">
        <v>23290</v>
      </c>
      <c r="AZ338" s="2">
        <v>11897.86</v>
      </c>
      <c r="BA338" s="2">
        <v>1039.73</v>
      </c>
      <c r="BB338" s="5">
        <v>2587.52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17388.12</v>
      </c>
      <c r="BI338" s="12">
        <v>15525.109999999999</v>
      </c>
      <c r="BJ338" s="2">
        <v>0</v>
      </c>
      <c r="BK338" s="5">
        <v>1449.02</v>
      </c>
      <c r="BL338" s="1" t="s">
        <v>130</v>
      </c>
    </row>
    <row r="339" spans="1:64" x14ac:dyDescent="0.3">
      <c r="A339" t="s">
        <v>1221</v>
      </c>
      <c r="B339" s="1" t="s">
        <v>1222</v>
      </c>
      <c r="C339" s="9" t="s">
        <v>1223</v>
      </c>
      <c r="D339" s="1" t="s">
        <v>95</v>
      </c>
      <c r="E339" s="1" t="s">
        <v>128</v>
      </c>
      <c r="F339" s="10" t="s">
        <v>988</v>
      </c>
      <c r="G339" s="1">
        <v>0</v>
      </c>
      <c r="H339" s="1">
        <v>0.05</v>
      </c>
      <c r="I339" s="8">
        <v>43972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448594</v>
      </c>
      <c r="AJ339" s="2">
        <v>11406</v>
      </c>
      <c r="AK339" s="2">
        <v>20026.52</v>
      </c>
      <c r="AL339" s="2">
        <v>509.2</v>
      </c>
      <c r="AM339" s="5">
        <v>4107.1499999999996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27600.01</v>
      </c>
      <c r="AT339" s="12">
        <v>24642.870000000003</v>
      </c>
      <c r="AU339" s="2">
        <v>0</v>
      </c>
      <c r="AV339" s="5">
        <v>2300</v>
      </c>
      <c r="AX339" s="2">
        <v>448594</v>
      </c>
      <c r="AY339" s="2">
        <v>11406</v>
      </c>
      <c r="AZ339" s="2">
        <v>20026.52</v>
      </c>
      <c r="BA339" s="2">
        <v>509.2</v>
      </c>
      <c r="BB339" s="5">
        <v>4107.1499999999996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27600.01</v>
      </c>
      <c r="BI339" s="12">
        <v>24642.870000000003</v>
      </c>
      <c r="BJ339" s="2">
        <v>0</v>
      </c>
      <c r="BK339" s="5">
        <v>2300</v>
      </c>
      <c r="BL339" s="1" t="s">
        <v>130</v>
      </c>
    </row>
    <row r="340" spans="1:64" x14ac:dyDescent="0.3">
      <c r="A340" t="s">
        <v>1229</v>
      </c>
      <c r="B340" s="1" t="s">
        <v>1229</v>
      </c>
      <c r="C340" s="9" t="s">
        <v>1230</v>
      </c>
      <c r="D340" s="1" t="s">
        <v>95</v>
      </c>
      <c r="E340" s="1" t="s">
        <v>135</v>
      </c>
      <c r="F340" s="10" t="s">
        <v>348</v>
      </c>
      <c r="G340" s="1">
        <v>0</v>
      </c>
      <c r="H340" s="1">
        <v>0.05</v>
      </c>
      <c r="I340" s="8">
        <v>44958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889597</v>
      </c>
      <c r="AJ340" s="2">
        <v>110781</v>
      </c>
      <c r="AK340" s="2">
        <v>39714.15</v>
      </c>
      <c r="AL340" s="2">
        <v>4945.58</v>
      </c>
      <c r="AM340" s="5">
        <v>8931.9500000000007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60022.68</v>
      </c>
      <c r="AT340" s="12">
        <v>53591.680000000008</v>
      </c>
      <c r="AU340" s="2">
        <v>0</v>
      </c>
      <c r="AV340" s="5">
        <v>5001.8900000000003</v>
      </c>
      <c r="AX340" s="2">
        <v>889597</v>
      </c>
      <c r="AY340" s="2">
        <v>110781</v>
      </c>
      <c r="AZ340" s="2">
        <v>39714.15</v>
      </c>
      <c r="BA340" s="2">
        <v>4945.58</v>
      </c>
      <c r="BB340" s="5">
        <v>8931.9500000000007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60022.68</v>
      </c>
      <c r="BI340" s="12">
        <v>53591.680000000008</v>
      </c>
      <c r="BJ340" s="2">
        <v>0</v>
      </c>
      <c r="BK340" s="5">
        <v>5001.8900000000003</v>
      </c>
      <c r="BL340" s="1" t="s">
        <v>302</v>
      </c>
    </row>
    <row r="341" spans="1:64" x14ac:dyDescent="0.3">
      <c r="A341" t="s">
        <v>1231</v>
      </c>
      <c r="B341" s="1" t="s">
        <v>1231</v>
      </c>
      <c r="C341" s="9" t="s">
        <v>1232</v>
      </c>
      <c r="D341" s="1" t="s">
        <v>95</v>
      </c>
      <c r="E341" s="1" t="s">
        <v>135</v>
      </c>
      <c r="F341" s="10" t="s">
        <v>348</v>
      </c>
      <c r="G341" s="1">
        <v>0</v>
      </c>
      <c r="H341" s="1">
        <v>0.05</v>
      </c>
      <c r="I341" s="8">
        <v>44958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930675</v>
      </c>
      <c r="AJ341" s="2">
        <v>129618</v>
      </c>
      <c r="AK341" s="2">
        <v>41547.99</v>
      </c>
      <c r="AL341" s="2">
        <v>5786.52</v>
      </c>
      <c r="AM341" s="5">
        <v>9466.9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63617.58</v>
      </c>
      <c r="AT341" s="12">
        <v>56801.409999999996</v>
      </c>
      <c r="AU341" s="2">
        <v>0</v>
      </c>
      <c r="AV341" s="5">
        <v>5301.46</v>
      </c>
      <c r="AX341" s="2">
        <v>930675</v>
      </c>
      <c r="AY341" s="2">
        <v>129618</v>
      </c>
      <c r="AZ341" s="2">
        <v>41547.99</v>
      </c>
      <c r="BA341" s="2">
        <v>5786.52</v>
      </c>
      <c r="BB341" s="5">
        <v>9466.9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63617.58</v>
      </c>
      <c r="BI341" s="12">
        <v>56801.409999999996</v>
      </c>
      <c r="BJ341" s="2">
        <v>0</v>
      </c>
      <c r="BK341" s="5">
        <v>5301.46</v>
      </c>
      <c r="BL341" s="1" t="s">
        <v>302</v>
      </c>
    </row>
    <row r="342" spans="1:64" x14ac:dyDescent="0.3">
      <c r="A342" t="s">
        <v>1244</v>
      </c>
      <c r="B342" s="1" t="s">
        <v>1244</v>
      </c>
      <c r="C342" s="9" t="s">
        <v>1245</v>
      </c>
      <c r="D342" s="1" t="s">
        <v>95</v>
      </c>
      <c r="E342" s="1" t="s">
        <v>88</v>
      </c>
      <c r="F342" s="10" t="s">
        <v>1170</v>
      </c>
      <c r="G342" s="1">
        <v>0</v>
      </c>
      <c r="H342" s="1">
        <v>0.05</v>
      </c>
      <c r="I342" s="8">
        <v>45036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73382</v>
      </c>
      <c r="AJ342" s="2">
        <v>17278</v>
      </c>
      <c r="AK342" s="2">
        <v>3275.98</v>
      </c>
      <c r="AL342" s="2">
        <v>771.34</v>
      </c>
      <c r="AM342" s="5">
        <v>809.46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5439.59</v>
      </c>
      <c r="AT342" s="12">
        <v>4856.7800000000007</v>
      </c>
      <c r="AU342" s="2">
        <v>0</v>
      </c>
      <c r="AV342" s="5">
        <v>453.3</v>
      </c>
      <c r="AX342" s="2">
        <v>73382</v>
      </c>
      <c r="AY342" s="2">
        <v>17278</v>
      </c>
      <c r="AZ342" s="2">
        <v>3275.98</v>
      </c>
      <c r="BA342" s="2">
        <v>771.34</v>
      </c>
      <c r="BB342" s="5">
        <v>809.46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5439.59</v>
      </c>
      <c r="BI342" s="12">
        <v>4856.7800000000007</v>
      </c>
      <c r="BJ342" s="2">
        <v>0</v>
      </c>
      <c r="BK342" s="5">
        <v>453.3</v>
      </c>
      <c r="BL342" s="1" t="s">
        <v>90</v>
      </c>
    </row>
    <row r="343" spans="1:64" x14ac:dyDescent="0.3">
      <c r="A343" t="s">
        <v>1256</v>
      </c>
      <c r="B343" s="1" t="s">
        <v>1256</v>
      </c>
      <c r="C343" s="9" t="s">
        <v>1257</v>
      </c>
      <c r="D343" s="1" t="s">
        <v>95</v>
      </c>
      <c r="E343" s="1" t="s">
        <v>128</v>
      </c>
      <c r="F343" s="10" t="s">
        <v>129</v>
      </c>
      <c r="G343" s="1">
        <v>0</v>
      </c>
      <c r="H343" s="1">
        <v>0.05</v>
      </c>
      <c r="I343" s="8">
        <v>45062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0</v>
      </c>
      <c r="AJ343" s="2">
        <v>0</v>
      </c>
      <c r="AK343" s="2">
        <v>0</v>
      </c>
      <c r="AL343" s="2">
        <v>0</v>
      </c>
      <c r="AM343" s="5">
        <v>0</v>
      </c>
      <c r="AN343" s="12">
        <v>759934.5</v>
      </c>
      <c r="AO343" s="2">
        <v>32513.1</v>
      </c>
      <c r="AP343" s="2">
        <v>33925.659999999996</v>
      </c>
      <c r="AQ343" s="2">
        <v>1451.49</v>
      </c>
      <c r="AR343" s="5">
        <v>7075.42</v>
      </c>
      <c r="AS343" s="2">
        <v>47546.879999999997</v>
      </c>
      <c r="AT343" s="12">
        <v>42452.569999999992</v>
      </c>
      <c r="AU343" s="2">
        <v>0</v>
      </c>
      <c r="AV343" s="5">
        <v>3962.24</v>
      </c>
      <c r="AX343" s="2">
        <v>0</v>
      </c>
      <c r="AY343" s="2">
        <v>0</v>
      </c>
      <c r="AZ343" s="2">
        <v>0</v>
      </c>
      <c r="BA343" s="2">
        <v>0</v>
      </c>
      <c r="BB343" s="5">
        <v>0</v>
      </c>
      <c r="BC343" s="12">
        <v>759934.5</v>
      </c>
      <c r="BD343" s="2">
        <v>32513.1</v>
      </c>
      <c r="BE343" s="2">
        <v>33925.659999999996</v>
      </c>
      <c r="BF343" s="2">
        <v>1451.49</v>
      </c>
      <c r="BG343" s="5">
        <v>7075.42</v>
      </c>
      <c r="BH343" s="2">
        <v>47546.879999999997</v>
      </c>
      <c r="BI343" s="12">
        <v>42452.569999999992</v>
      </c>
      <c r="BJ343" s="2">
        <v>0</v>
      </c>
      <c r="BK343" s="5">
        <v>3962.24</v>
      </c>
      <c r="BL343" s="1" t="s">
        <v>130</v>
      </c>
    </row>
    <row r="344" spans="1:64" x14ac:dyDescent="0.3">
      <c r="A344" t="s">
        <v>1260</v>
      </c>
      <c r="B344" s="1" t="s">
        <v>1260</v>
      </c>
      <c r="C344" s="9" t="s">
        <v>1261</v>
      </c>
      <c r="D344" s="1" t="s">
        <v>95</v>
      </c>
      <c r="E344" s="1" t="s">
        <v>128</v>
      </c>
      <c r="F344" s="10" t="s">
        <v>129</v>
      </c>
      <c r="G344" s="1">
        <v>0</v>
      </c>
      <c r="H344" s="1">
        <v>0.05</v>
      </c>
      <c r="I344" s="8">
        <v>45085</v>
      </c>
      <c r="J344" s="6">
        <v>381121</v>
      </c>
      <c r="K344" s="6">
        <v>936</v>
      </c>
      <c r="L344" s="6">
        <v>17014.330000000002</v>
      </c>
      <c r="M344" s="6">
        <v>41.79</v>
      </c>
      <c r="N344" s="7">
        <v>3411.22</v>
      </c>
      <c r="O344" s="6">
        <v>-539197.80000000005</v>
      </c>
      <c r="P344" s="6">
        <v>-23571.600000000002</v>
      </c>
      <c r="Q344" s="6">
        <v>-24071.33</v>
      </c>
      <c r="R344" s="6">
        <v>-1052.3</v>
      </c>
      <c r="S344" s="7">
        <v>-5024.72</v>
      </c>
      <c r="T344" s="11">
        <v>-10842.73</v>
      </c>
      <c r="U344" s="6">
        <v>-9681.0099999999984</v>
      </c>
      <c r="V344" s="6">
        <v>0</v>
      </c>
      <c r="W344" s="6">
        <v>-903.56999999999994</v>
      </c>
      <c r="X344" s="46">
        <v>45845</v>
      </c>
      <c r="Y344" s="1">
        <v>25016278</v>
      </c>
      <c r="Z344" s="1">
        <v>25016279</v>
      </c>
      <c r="AI344" s="2">
        <v>381121</v>
      </c>
      <c r="AJ344" s="2">
        <v>936</v>
      </c>
      <c r="AK344" s="2">
        <v>17014.330000000002</v>
      </c>
      <c r="AL344" s="2">
        <v>41.79</v>
      </c>
      <c r="AM344" s="5">
        <v>3411.22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22923.42</v>
      </c>
      <c r="AT344" s="12">
        <v>20467.340000000004</v>
      </c>
      <c r="AU344" s="2">
        <v>0</v>
      </c>
      <c r="AV344" s="5">
        <v>1910.28</v>
      </c>
      <c r="AX344" s="2">
        <v>0</v>
      </c>
      <c r="AY344" s="2">
        <v>0</v>
      </c>
      <c r="AZ344" s="2">
        <v>0</v>
      </c>
      <c r="BA344" s="2">
        <v>0</v>
      </c>
      <c r="BB344" s="5">
        <v>0</v>
      </c>
      <c r="BC344" s="12">
        <v>539197.80000000005</v>
      </c>
      <c r="BD344" s="2">
        <v>23571.600000000002</v>
      </c>
      <c r="BE344" s="2">
        <v>24071.33</v>
      </c>
      <c r="BF344" s="2">
        <v>1052.3</v>
      </c>
      <c r="BG344" s="5">
        <v>5024.72</v>
      </c>
      <c r="BH344" s="2">
        <v>33766.15</v>
      </c>
      <c r="BI344" s="12">
        <v>30148.350000000002</v>
      </c>
      <c r="BJ344" s="2">
        <v>0</v>
      </c>
      <c r="BK344" s="5">
        <v>2813.85</v>
      </c>
      <c r="BL344" s="1" t="s">
        <v>130</v>
      </c>
    </row>
    <row r="345" spans="1:64" x14ac:dyDescent="0.3">
      <c r="A345" t="s">
        <v>1264</v>
      </c>
      <c r="B345" s="1" t="s">
        <v>1264</v>
      </c>
      <c r="C345" s="9" t="s">
        <v>1265</v>
      </c>
      <c r="D345" s="1" t="s">
        <v>95</v>
      </c>
      <c r="E345" s="1" t="s">
        <v>135</v>
      </c>
      <c r="F345" s="10" t="s">
        <v>435</v>
      </c>
      <c r="G345" s="1">
        <v>0</v>
      </c>
      <c r="H345" s="1">
        <v>0.05</v>
      </c>
      <c r="I345" s="8">
        <v>45066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683821</v>
      </c>
      <c r="AJ345" s="2">
        <v>105075</v>
      </c>
      <c r="AK345" s="2">
        <v>30527.72</v>
      </c>
      <c r="AL345" s="2">
        <v>4690.8500000000004</v>
      </c>
      <c r="AM345" s="5">
        <v>7043.71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47333.75</v>
      </c>
      <c r="AT345" s="12">
        <v>42262.28</v>
      </c>
      <c r="AU345" s="2">
        <v>0</v>
      </c>
      <c r="AV345" s="5">
        <v>3944.48</v>
      </c>
      <c r="AX345" s="2">
        <v>683821</v>
      </c>
      <c r="AY345" s="2">
        <v>105075</v>
      </c>
      <c r="AZ345" s="2">
        <v>30527.72</v>
      </c>
      <c r="BA345" s="2">
        <v>4690.8500000000004</v>
      </c>
      <c r="BB345" s="5">
        <v>7043.71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47333.75</v>
      </c>
      <c r="BI345" s="12">
        <v>42262.28</v>
      </c>
      <c r="BJ345" s="2">
        <v>0</v>
      </c>
      <c r="BK345" s="5">
        <v>3944.48</v>
      </c>
      <c r="BL345" s="1" t="s">
        <v>137</v>
      </c>
    </row>
    <row r="346" spans="1:64" x14ac:dyDescent="0.3">
      <c r="A346" t="s">
        <v>1266</v>
      </c>
      <c r="B346" s="1" t="s">
        <v>1266</v>
      </c>
      <c r="C346" s="9" t="s">
        <v>1267</v>
      </c>
      <c r="D346" s="1" t="s">
        <v>95</v>
      </c>
      <c r="E346" s="1" t="s">
        <v>128</v>
      </c>
      <c r="F346" s="10" t="s">
        <v>129</v>
      </c>
      <c r="G346" s="1">
        <v>0</v>
      </c>
      <c r="H346" s="1">
        <v>0.05</v>
      </c>
      <c r="I346" s="8">
        <v>45091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529334</v>
      </c>
      <c r="AJ346" s="2">
        <v>9561</v>
      </c>
      <c r="AK346" s="2">
        <v>23630.98</v>
      </c>
      <c r="AL346" s="2">
        <v>426.83</v>
      </c>
      <c r="AM346" s="5">
        <v>4811.5600000000004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32333.69</v>
      </c>
      <c r="AT346" s="12">
        <v>28869.370000000003</v>
      </c>
      <c r="AU346" s="2">
        <v>0</v>
      </c>
      <c r="AV346" s="5">
        <v>2694.48</v>
      </c>
      <c r="AX346" s="2">
        <v>529334</v>
      </c>
      <c r="AY346" s="2">
        <v>9561</v>
      </c>
      <c r="AZ346" s="2">
        <v>23630.98</v>
      </c>
      <c r="BA346" s="2">
        <v>426.83</v>
      </c>
      <c r="BB346" s="5">
        <v>4811.5600000000004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32333.69</v>
      </c>
      <c r="BI346" s="12">
        <v>28869.370000000003</v>
      </c>
      <c r="BJ346" s="2">
        <v>0</v>
      </c>
      <c r="BK346" s="5">
        <v>2694.48</v>
      </c>
      <c r="BL346" s="1" t="s">
        <v>130</v>
      </c>
    </row>
    <row r="347" spans="1:64" x14ac:dyDescent="0.3">
      <c r="A347" t="s">
        <v>1278</v>
      </c>
      <c r="B347" s="1" t="s">
        <v>1278</v>
      </c>
      <c r="C347" s="9" t="s">
        <v>1279</v>
      </c>
      <c r="D347" s="1" t="s">
        <v>95</v>
      </c>
      <c r="E347" s="1" t="s">
        <v>135</v>
      </c>
      <c r="F347" s="10" t="s">
        <v>193</v>
      </c>
      <c r="G347" s="1">
        <v>0</v>
      </c>
      <c r="H347" s="1">
        <v>0.05</v>
      </c>
      <c r="I347" s="8">
        <v>45107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437178</v>
      </c>
      <c r="AJ347" s="2">
        <v>34211</v>
      </c>
      <c r="AK347" s="2">
        <v>19516.88</v>
      </c>
      <c r="AL347" s="2">
        <v>1527.28</v>
      </c>
      <c r="AM347" s="5">
        <v>4208.83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28283.35</v>
      </c>
      <c r="AT347" s="12">
        <v>25252.989999999998</v>
      </c>
      <c r="AU347" s="2">
        <v>0</v>
      </c>
      <c r="AV347" s="5">
        <v>2356.9499999999998</v>
      </c>
      <c r="AX347" s="2">
        <v>437178</v>
      </c>
      <c r="AY347" s="2">
        <v>34211</v>
      </c>
      <c r="AZ347" s="2">
        <v>19516.88</v>
      </c>
      <c r="BA347" s="2">
        <v>1527.28</v>
      </c>
      <c r="BB347" s="5">
        <v>4208.83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28283.35</v>
      </c>
      <c r="BI347" s="12">
        <v>25252.989999999998</v>
      </c>
      <c r="BJ347" s="2">
        <v>0</v>
      </c>
      <c r="BK347" s="5">
        <v>2356.9499999999998</v>
      </c>
      <c r="BL347" s="1" t="s">
        <v>137</v>
      </c>
    </row>
    <row r="348" spans="1:64" x14ac:dyDescent="0.3">
      <c r="A348" t="s">
        <v>1280</v>
      </c>
      <c r="B348" s="1" t="s">
        <v>1280</v>
      </c>
      <c r="C348" s="9" t="s">
        <v>1281</v>
      </c>
      <c r="D348" s="1" t="s">
        <v>95</v>
      </c>
      <c r="E348" s="1" t="s">
        <v>88</v>
      </c>
      <c r="F348" s="10" t="s">
        <v>1170</v>
      </c>
      <c r="G348" s="1">
        <v>0</v>
      </c>
      <c r="H348" s="1">
        <v>0.05</v>
      </c>
      <c r="I348" s="8">
        <v>45135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97936</v>
      </c>
      <c r="AJ348" s="2">
        <v>23500</v>
      </c>
      <c r="AK348" s="2">
        <v>4372.1400000000003</v>
      </c>
      <c r="AL348" s="2">
        <v>1049.1099999999999</v>
      </c>
      <c r="AM348" s="5">
        <v>1084.25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7286.16</v>
      </c>
      <c r="AT348" s="12">
        <v>6505.5</v>
      </c>
      <c r="AU348" s="2">
        <v>0</v>
      </c>
      <c r="AV348" s="5">
        <v>607.17999999999995</v>
      </c>
      <c r="AX348" s="2">
        <v>97936</v>
      </c>
      <c r="AY348" s="2">
        <v>23500</v>
      </c>
      <c r="AZ348" s="2">
        <v>4372.1400000000003</v>
      </c>
      <c r="BA348" s="2">
        <v>1049.1099999999999</v>
      </c>
      <c r="BB348" s="5">
        <v>1084.25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7286.16</v>
      </c>
      <c r="BI348" s="12">
        <v>6505.5</v>
      </c>
      <c r="BJ348" s="2">
        <v>0</v>
      </c>
      <c r="BK348" s="5">
        <v>607.17999999999995</v>
      </c>
      <c r="BL348" s="1" t="s">
        <v>90</v>
      </c>
    </row>
    <row r="349" spans="1:64" x14ac:dyDescent="0.3">
      <c r="A349" t="s">
        <v>1284</v>
      </c>
      <c r="B349" s="1" t="s">
        <v>1284</v>
      </c>
      <c r="C349" s="9" t="s">
        <v>1285</v>
      </c>
      <c r="D349" s="1" t="s">
        <v>95</v>
      </c>
      <c r="E349" s="1" t="s">
        <v>135</v>
      </c>
      <c r="F349" s="10" t="s">
        <v>348</v>
      </c>
      <c r="G349" s="1">
        <v>0</v>
      </c>
      <c r="H349" s="1">
        <v>0.05</v>
      </c>
      <c r="I349" s="8">
        <v>45107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871394</v>
      </c>
      <c r="AJ349" s="2">
        <v>102127</v>
      </c>
      <c r="AK349" s="2">
        <v>38901.519999999997</v>
      </c>
      <c r="AL349" s="2">
        <v>4559.24</v>
      </c>
      <c r="AM349" s="5">
        <v>8692.15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58411.26</v>
      </c>
      <c r="AT349" s="12">
        <v>52152.909999999996</v>
      </c>
      <c r="AU349" s="2">
        <v>0</v>
      </c>
      <c r="AV349" s="5">
        <v>4867.6099999999997</v>
      </c>
      <c r="AX349" s="2">
        <v>871394</v>
      </c>
      <c r="AY349" s="2">
        <v>102127</v>
      </c>
      <c r="AZ349" s="2">
        <v>38901.519999999997</v>
      </c>
      <c r="BA349" s="2">
        <v>4559.24</v>
      </c>
      <c r="BB349" s="5">
        <v>8692.15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58411.26</v>
      </c>
      <c r="BI349" s="12">
        <v>52152.909999999996</v>
      </c>
      <c r="BJ349" s="2">
        <v>0</v>
      </c>
      <c r="BK349" s="5">
        <v>4867.6099999999997</v>
      </c>
      <c r="BL349" s="1" t="s">
        <v>137</v>
      </c>
    </row>
    <row r="350" spans="1:64" x14ac:dyDescent="0.3">
      <c r="A350" t="s">
        <v>1286</v>
      </c>
      <c r="B350" s="1" t="s">
        <v>1286</v>
      </c>
      <c r="C350" s="9" t="s">
        <v>1287</v>
      </c>
      <c r="D350" s="1" t="s">
        <v>95</v>
      </c>
      <c r="E350" s="1" t="s">
        <v>135</v>
      </c>
      <c r="F350" s="10" t="s">
        <v>435</v>
      </c>
      <c r="G350" s="1">
        <v>0</v>
      </c>
      <c r="H350" s="1">
        <v>0.05</v>
      </c>
      <c r="I350" s="8">
        <v>45122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407904</v>
      </c>
      <c r="AJ350" s="2">
        <v>46319</v>
      </c>
      <c r="AK350" s="2">
        <v>18210</v>
      </c>
      <c r="AL350" s="2">
        <v>2067.81</v>
      </c>
      <c r="AM350" s="5">
        <v>4055.56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27253.37</v>
      </c>
      <c r="AT350" s="12">
        <v>24333.370000000003</v>
      </c>
      <c r="AU350" s="2">
        <v>0</v>
      </c>
      <c r="AV350" s="5">
        <v>2271.12</v>
      </c>
      <c r="AX350" s="2">
        <v>407904</v>
      </c>
      <c r="AY350" s="2">
        <v>46319</v>
      </c>
      <c r="AZ350" s="2">
        <v>18210</v>
      </c>
      <c r="BA350" s="2">
        <v>2067.81</v>
      </c>
      <c r="BB350" s="5">
        <v>4055.56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27253.37</v>
      </c>
      <c r="BI350" s="12">
        <v>24333.370000000003</v>
      </c>
      <c r="BJ350" s="2">
        <v>0</v>
      </c>
      <c r="BK350" s="5">
        <v>2271.12</v>
      </c>
      <c r="BL350" s="1" t="s">
        <v>137</v>
      </c>
    </row>
    <row r="351" spans="1:64" x14ac:dyDescent="0.3">
      <c r="A351" t="s">
        <v>1288</v>
      </c>
      <c r="B351" s="1" t="s">
        <v>1289</v>
      </c>
      <c r="C351" s="9" t="s">
        <v>1290</v>
      </c>
      <c r="D351" s="1" t="s">
        <v>95</v>
      </c>
      <c r="E351" s="1" t="s">
        <v>128</v>
      </c>
      <c r="F351" s="10" t="s">
        <v>401</v>
      </c>
      <c r="G351" s="1">
        <v>3.5000000000000003E-2</v>
      </c>
      <c r="H351" s="1">
        <v>0.05</v>
      </c>
      <c r="I351" s="8">
        <v>45664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1837116</v>
      </c>
      <c r="AJ351" s="2">
        <v>93476</v>
      </c>
      <c r="AK351" s="2">
        <v>82014.11</v>
      </c>
      <c r="AL351" s="2">
        <v>4173.03</v>
      </c>
      <c r="AM351" s="5">
        <v>17237.43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115835.52</v>
      </c>
      <c r="AT351" s="12">
        <v>103424.56999999999</v>
      </c>
      <c r="AU351" s="2">
        <v>0</v>
      </c>
      <c r="AV351" s="5">
        <v>9652.9599999999991</v>
      </c>
      <c r="AX351" s="2">
        <v>1837116</v>
      </c>
      <c r="AY351" s="2">
        <v>93476</v>
      </c>
      <c r="AZ351" s="2">
        <v>82014.11</v>
      </c>
      <c r="BA351" s="2">
        <v>4173.03</v>
      </c>
      <c r="BB351" s="5">
        <v>17237.43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115835.52</v>
      </c>
      <c r="BI351" s="12">
        <v>103424.56999999999</v>
      </c>
      <c r="BJ351" s="2">
        <v>0</v>
      </c>
      <c r="BK351" s="5">
        <v>9652.9599999999991</v>
      </c>
      <c r="BL351" s="1" t="s">
        <v>326</v>
      </c>
    </row>
    <row r="352" spans="1:64" x14ac:dyDescent="0.3">
      <c r="A352" t="s">
        <v>1304</v>
      </c>
      <c r="B352" s="1" t="s">
        <v>1304</v>
      </c>
      <c r="C352" s="9" t="s">
        <v>1305</v>
      </c>
      <c r="D352" s="1" t="s">
        <v>95</v>
      </c>
      <c r="E352" s="1" t="s">
        <v>88</v>
      </c>
      <c r="F352" s="10" t="s">
        <v>1170</v>
      </c>
      <c r="G352" s="1">
        <v>0</v>
      </c>
      <c r="H352" s="1">
        <v>0.05</v>
      </c>
      <c r="I352" s="8">
        <v>45316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321992</v>
      </c>
      <c r="AJ352" s="2">
        <v>41865</v>
      </c>
      <c r="AK352" s="2">
        <v>14374.64</v>
      </c>
      <c r="AL352" s="2">
        <v>1868.97</v>
      </c>
      <c r="AM352" s="5">
        <v>3248.72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21831.41</v>
      </c>
      <c r="AT352" s="12">
        <v>19492.329999999998</v>
      </c>
      <c r="AU352" s="2">
        <v>0</v>
      </c>
      <c r="AV352" s="5">
        <v>1819.28</v>
      </c>
      <c r="AX352" s="2">
        <v>321992</v>
      </c>
      <c r="AY352" s="2">
        <v>41865</v>
      </c>
      <c r="AZ352" s="2">
        <v>14374.64</v>
      </c>
      <c r="BA352" s="2">
        <v>1868.97</v>
      </c>
      <c r="BB352" s="5">
        <v>3248.72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21831.41</v>
      </c>
      <c r="BI352" s="12">
        <v>19492.329999999998</v>
      </c>
      <c r="BJ352" s="2">
        <v>0</v>
      </c>
      <c r="BK352" s="5">
        <v>1819.28</v>
      </c>
      <c r="BL352" s="1" t="s">
        <v>90</v>
      </c>
    </row>
    <row r="353" spans="1:64" x14ac:dyDescent="0.3">
      <c r="A353" t="s">
        <v>1306</v>
      </c>
      <c r="B353" s="1" t="s">
        <v>1306</v>
      </c>
      <c r="C353" s="9" t="s">
        <v>1307</v>
      </c>
      <c r="D353" s="1" t="s">
        <v>95</v>
      </c>
      <c r="E353" s="1" t="s">
        <v>128</v>
      </c>
      <c r="F353" s="10" t="s">
        <v>129</v>
      </c>
      <c r="G353" s="1">
        <v>0</v>
      </c>
      <c r="H353" s="1">
        <v>0.05</v>
      </c>
      <c r="I353" s="8">
        <v>45199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174100</v>
      </c>
      <c r="AJ353" s="2">
        <v>53874</v>
      </c>
      <c r="AK353" s="2">
        <v>7772.32</v>
      </c>
      <c r="AL353" s="2">
        <v>2405.09</v>
      </c>
      <c r="AM353" s="5">
        <v>2035.48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13678.44</v>
      </c>
      <c r="AT353" s="12">
        <v>12212.89</v>
      </c>
      <c r="AU353" s="2">
        <v>0</v>
      </c>
      <c r="AV353" s="5">
        <v>1139.8699999999999</v>
      </c>
      <c r="AX353" s="2">
        <v>174100</v>
      </c>
      <c r="AY353" s="2">
        <v>53874</v>
      </c>
      <c r="AZ353" s="2">
        <v>7772.32</v>
      </c>
      <c r="BA353" s="2">
        <v>2405.09</v>
      </c>
      <c r="BB353" s="5">
        <v>2035.48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13678.44</v>
      </c>
      <c r="BI353" s="12">
        <v>12212.89</v>
      </c>
      <c r="BJ353" s="2">
        <v>0</v>
      </c>
      <c r="BK353" s="5">
        <v>1139.8699999999999</v>
      </c>
      <c r="BL353" s="1" t="s">
        <v>130</v>
      </c>
    </row>
    <row r="354" spans="1:64" x14ac:dyDescent="0.3">
      <c r="A354" t="s">
        <v>1318</v>
      </c>
      <c r="B354" s="1" t="s">
        <v>1318</v>
      </c>
      <c r="C354" s="9" t="s">
        <v>1319</v>
      </c>
      <c r="D354" s="1" t="s">
        <v>95</v>
      </c>
      <c r="E354" s="1" t="s">
        <v>88</v>
      </c>
      <c r="F354" s="10" t="s">
        <v>218</v>
      </c>
      <c r="G354" s="1">
        <v>0</v>
      </c>
      <c r="H354" s="1">
        <v>0.05</v>
      </c>
      <c r="I354" s="8">
        <v>45615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481894</v>
      </c>
      <c r="AJ354" s="2">
        <v>32996</v>
      </c>
      <c r="AK354" s="2">
        <v>21513.119999999999</v>
      </c>
      <c r="AL354" s="2">
        <v>1473.04</v>
      </c>
      <c r="AM354" s="5">
        <v>4597.2299999999996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30893.4</v>
      </c>
      <c r="AT354" s="12">
        <v>27583.39</v>
      </c>
      <c r="AU354" s="2">
        <v>0</v>
      </c>
      <c r="AV354" s="5">
        <v>2574.4499999999998</v>
      </c>
      <c r="AX354" s="2">
        <v>481894</v>
      </c>
      <c r="AY354" s="2">
        <v>32996</v>
      </c>
      <c r="AZ354" s="2">
        <v>21513.119999999999</v>
      </c>
      <c r="BA354" s="2">
        <v>1473.04</v>
      </c>
      <c r="BB354" s="5">
        <v>4597.2299999999996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30893.4</v>
      </c>
      <c r="BI354" s="12">
        <v>27583.39</v>
      </c>
      <c r="BJ354" s="2">
        <v>0</v>
      </c>
      <c r="BK354" s="5">
        <v>2574.4499999999998</v>
      </c>
      <c r="BL354" s="1" t="s">
        <v>90</v>
      </c>
    </row>
    <row r="355" spans="1:64" x14ac:dyDescent="0.3">
      <c r="A355" t="s">
        <v>1320</v>
      </c>
      <c r="B355" s="1" t="s">
        <v>1320</v>
      </c>
      <c r="C355" s="9" t="s">
        <v>1321</v>
      </c>
      <c r="D355" s="1" t="s">
        <v>95</v>
      </c>
      <c r="E355" s="1" t="s">
        <v>88</v>
      </c>
      <c r="F355" s="10" t="s">
        <v>96</v>
      </c>
      <c r="G355" s="1">
        <v>0</v>
      </c>
      <c r="H355" s="1">
        <v>0.05</v>
      </c>
      <c r="I355" s="8">
        <v>45185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294984</v>
      </c>
      <c r="AJ355" s="2">
        <v>112813</v>
      </c>
      <c r="AK355" s="2">
        <v>13168.93</v>
      </c>
      <c r="AL355" s="2">
        <v>5036.29</v>
      </c>
      <c r="AM355" s="5">
        <v>3641.04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24467.81</v>
      </c>
      <c r="AT355" s="12">
        <v>21846.260000000002</v>
      </c>
      <c r="AU355" s="2">
        <v>0</v>
      </c>
      <c r="AV355" s="5">
        <v>2038.98</v>
      </c>
      <c r="AX355" s="2">
        <v>294984</v>
      </c>
      <c r="AY355" s="2">
        <v>112813</v>
      </c>
      <c r="AZ355" s="2">
        <v>13168.93</v>
      </c>
      <c r="BA355" s="2">
        <v>5036.29</v>
      </c>
      <c r="BB355" s="5">
        <v>3641.04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24467.81</v>
      </c>
      <c r="BI355" s="12">
        <v>21846.260000000002</v>
      </c>
      <c r="BJ355" s="2">
        <v>0</v>
      </c>
      <c r="BK355" s="5">
        <v>2038.98</v>
      </c>
      <c r="BL355" s="1" t="s">
        <v>90</v>
      </c>
    </row>
    <row r="356" spans="1:64" x14ac:dyDescent="0.3">
      <c r="A356" t="s">
        <v>1322</v>
      </c>
      <c r="B356" s="1" t="s">
        <v>1322</v>
      </c>
      <c r="C356" s="9" t="s">
        <v>1323</v>
      </c>
      <c r="D356" s="1" t="s">
        <v>95</v>
      </c>
      <c r="E356" s="1" t="s">
        <v>135</v>
      </c>
      <c r="F356" s="10" t="s">
        <v>435</v>
      </c>
      <c r="G356" s="1">
        <v>0</v>
      </c>
      <c r="H356" s="1">
        <v>0.05</v>
      </c>
      <c r="I356" s="8">
        <v>45184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499441</v>
      </c>
      <c r="AJ356" s="2">
        <v>70210</v>
      </c>
      <c r="AK356" s="2">
        <v>22296.47</v>
      </c>
      <c r="AL356" s="2">
        <v>3134.38</v>
      </c>
      <c r="AM356" s="5">
        <v>5086.17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34179.06</v>
      </c>
      <c r="AT356" s="12">
        <v>30517.02</v>
      </c>
      <c r="AU356" s="2">
        <v>0</v>
      </c>
      <c r="AV356" s="5">
        <v>2848.26</v>
      </c>
      <c r="AX356" s="2">
        <v>499441</v>
      </c>
      <c r="AY356" s="2">
        <v>70210</v>
      </c>
      <c r="AZ356" s="2">
        <v>22296.47</v>
      </c>
      <c r="BA356" s="2">
        <v>3134.38</v>
      </c>
      <c r="BB356" s="5">
        <v>5086.17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34179.06</v>
      </c>
      <c r="BI356" s="12">
        <v>30517.02</v>
      </c>
      <c r="BJ356" s="2">
        <v>0</v>
      </c>
      <c r="BK356" s="5">
        <v>2848.26</v>
      </c>
      <c r="BL356" s="1" t="s">
        <v>137</v>
      </c>
    </row>
    <row r="357" spans="1:64" x14ac:dyDescent="0.3">
      <c r="A357" t="s">
        <v>1344</v>
      </c>
      <c r="B357" s="1" t="s">
        <v>1344</v>
      </c>
      <c r="C357" s="9" t="s">
        <v>1345</v>
      </c>
      <c r="D357" s="1" t="s">
        <v>95</v>
      </c>
      <c r="E357" s="1" t="s">
        <v>88</v>
      </c>
      <c r="F357" s="10" t="s">
        <v>1170</v>
      </c>
      <c r="G357" s="1">
        <v>0</v>
      </c>
      <c r="H357" s="1">
        <v>0.05</v>
      </c>
      <c r="I357" s="8">
        <v>45280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45644</v>
      </c>
      <c r="AJ357" s="2">
        <v>15832</v>
      </c>
      <c r="AK357" s="2">
        <v>2037.68</v>
      </c>
      <c r="AL357" s="2">
        <v>706.79</v>
      </c>
      <c r="AM357" s="5">
        <v>548.89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3688.56</v>
      </c>
      <c r="AT357" s="12">
        <v>3293.36</v>
      </c>
      <c r="AU357" s="2">
        <v>0</v>
      </c>
      <c r="AV357" s="5">
        <v>307.38</v>
      </c>
      <c r="AX357" s="2">
        <v>45644</v>
      </c>
      <c r="AY357" s="2">
        <v>15832</v>
      </c>
      <c r="AZ357" s="2">
        <v>2037.68</v>
      </c>
      <c r="BA357" s="2">
        <v>706.79</v>
      </c>
      <c r="BB357" s="5">
        <v>548.89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3688.56</v>
      </c>
      <c r="BI357" s="12">
        <v>3293.36</v>
      </c>
      <c r="BJ357" s="2">
        <v>0</v>
      </c>
      <c r="BK357" s="5">
        <v>307.38</v>
      </c>
      <c r="BL357" s="1" t="s">
        <v>90</v>
      </c>
    </row>
    <row r="358" spans="1:64" x14ac:dyDescent="0.3">
      <c r="A358" t="s">
        <v>1346</v>
      </c>
      <c r="B358" s="1" t="s">
        <v>1346</v>
      </c>
      <c r="C358" s="9" t="s">
        <v>1347</v>
      </c>
      <c r="D358" s="1" t="s">
        <v>95</v>
      </c>
      <c r="E358" s="1" t="s">
        <v>88</v>
      </c>
      <c r="F358" s="10" t="s">
        <v>1348</v>
      </c>
      <c r="G358" s="1">
        <v>0</v>
      </c>
      <c r="H358" s="1">
        <v>0.05</v>
      </c>
      <c r="I358" s="8">
        <v>45270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158704</v>
      </c>
      <c r="AJ358" s="2">
        <v>35464</v>
      </c>
      <c r="AK358" s="2">
        <v>7085</v>
      </c>
      <c r="AL358" s="2">
        <v>1583.21</v>
      </c>
      <c r="AM358" s="5">
        <v>1733.64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11650.07</v>
      </c>
      <c r="AT358" s="12">
        <v>10401.849999999999</v>
      </c>
      <c r="AU358" s="2">
        <v>0</v>
      </c>
      <c r="AV358" s="5">
        <v>970.84</v>
      </c>
      <c r="AX358" s="2">
        <v>158704</v>
      </c>
      <c r="AY358" s="2">
        <v>35464</v>
      </c>
      <c r="AZ358" s="2">
        <v>7085</v>
      </c>
      <c r="BA358" s="2">
        <v>1583.21</v>
      </c>
      <c r="BB358" s="5">
        <v>1733.64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11650.07</v>
      </c>
      <c r="BI358" s="12">
        <v>10401.849999999999</v>
      </c>
      <c r="BJ358" s="2">
        <v>0</v>
      </c>
      <c r="BK358" s="5">
        <v>970.84</v>
      </c>
      <c r="BL358" s="1" t="s">
        <v>90</v>
      </c>
    </row>
    <row r="359" spans="1:64" x14ac:dyDescent="0.3">
      <c r="A359" t="s">
        <v>1349</v>
      </c>
      <c r="B359" s="1" t="s">
        <v>1349</v>
      </c>
      <c r="C359" s="9" t="s">
        <v>1350</v>
      </c>
      <c r="D359" s="1" t="s">
        <v>95</v>
      </c>
      <c r="E359" s="1" t="s">
        <v>135</v>
      </c>
      <c r="F359" s="10" t="s">
        <v>435</v>
      </c>
      <c r="G359" s="1">
        <v>0</v>
      </c>
      <c r="H359" s="1">
        <v>0.05</v>
      </c>
      <c r="I359" s="8">
        <v>45270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355194</v>
      </c>
      <c r="AJ359" s="2">
        <v>98502</v>
      </c>
      <c r="AK359" s="2">
        <v>15856.88</v>
      </c>
      <c r="AL359" s="2">
        <v>4397.41</v>
      </c>
      <c r="AM359" s="5">
        <v>4050.86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27221.77</v>
      </c>
      <c r="AT359" s="12">
        <v>24305.15</v>
      </c>
      <c r="AU359" s="2">
        <v>0</v>
      </c>
      <c r="AV359" s="5">
        <v>2268.48</v>
      </c>
      <c r="AX359" s="2">
        <v>355194</v>
      </c>
      <c r="AY359" s="2">
        <v>98502</v>
      </c>
      <c r="AZ359" s="2">
        <v>15856.88</v>
      </c>
      <c r="BA359" s="2">
        <v>4397.41</v>
      </c>
      <c r="BB359" s="5">
        <v>4050.86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27221.77</v>
      </c>
      <c r="BI359" s="12">
        <v>24305.15</v>
      </c>
      <c r="BJ359" s="2">
        <v>0</v>
      </c>
      <c r="BK359" s="5">
        <v>2268.48</v>
      </c>
      <c r="BL359" s="1" t="s">
        <v>137</v>
      </c>
    </row>
    <row r="360" spans="1:64" x14ac:dyDescent="0.3">
      <c r="A360" t="s">
        <v>1355</v>
      </c>
      <c r="B360" s="1" t="s">
        <v>1355</v>
      </c>
      <c r="C360" s="9" t="s">
        <v>1356</v>
      </c>
      <c r="D360" s="1" t="s">
        <v>95</v>
      </c>
      <c r="E360" s="1" t="s">
        <v>88</v>
      </c>
      <c r="F360" s="10" t="s">
        <v>96</v>
      </c>
      <c r="G360" s="1">
        <v>0</v>
      </c>
      <c r="H360" s="1">
        <v>0.05</v>
      </c>
      <c r="I360" s="8">
        <v>45390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833163.65</v>
      </c>
      <c r="AJ360" s="2">
        <v>105387</v>
      </c>
      <c r="AK360" s="2">
        <v>37194.81</v>
      </c>
      <c r="AL360" s="2">
        <v>4704.78</v>
      </c>
      <c r="AM360" s="5">
        <v>8379.91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56313.04</v>
      </c>
      <c r="AT360" s="12">
        <v>50279.5</v>
      </c>
      <c r="AU360" s="2">
        <v>0</v>
      </c>
      <c r="AV360" s="5">
        <v>4692.75</v>
      </c>
      <c r="AX360" s="2">
        <v>833163.65</v>
      </c>
      <c r="AY360" s="2">
        <v>105387</v>
      </c>
      <c r="AZ360" s="2">
        <v>37194.81</v>
      </c>
      <c r="BA360" s="2">
        <v>4704.78</v>
      </c>
      <c r="BB360" s="5">
        <v>8379.91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56313.04</v>
      </c>
      <c r="BI360" s="12">
        <v>50279.5</v>
      </c>
      <c r="BJ360" s="2">
        <v>0</v>
      </c>
      <c r="BK360" s="5">
        <v>4692.75</v>
      </c>
      <c r="BL360" s="1" t="s">
        <v>90</v>
      </c>
    </row>
    <row r="361" spans="1:64" x14ac:dyDescent="0.3">
      <c r="A361" t="s">
        <v>1359</v>
      </c>
      <c r="B361" s="1" t="s">
        <v>1359</v>
      </c>
      <c r="C361" s="9" t="s">
        <v>1360</v>
      </c>
      <c r="D361" s="1" t="s">
        <v>95</v>
      </c>
      <c r="E361" s="1" t="s">
        <v>135</v>
      </c>
      <c r="F361" s="10" t="s">
        <v>435</v>
      </c>
      <c r="G361" s="1">
        <v>0</v>
      </c>
      <c r="H361" s="1">
        <v>0.05</v>
      </c>
      <c r="I361" s="8">
        <v>45273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465585</v>
      </c>
      <c r="AJ361" s="2">
        <v>90265</v>
      </c>
      <c r="AK361" s="2">
        <v>20785.04</v>
      </c>
      <c r="AL361" s="2">
        <v>4029.69</v>
      </c>
      <c r="AM361" s="5">
        <v>4962.95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33351</v>
      </c>
      <c r="AT361" s="12">
        <v>29777.68</v>
      </c>
      <c r="AU361" s="2">
        <v>0</v>
      </c>
      <c r="AV361" s="5">
        <v>2779.25</v>
      </c>
      <c r="AX361" s="2">
        <v>465585</v>
      </c>
      <c r="AY361" s="2">
        <v>90265</v>
      </c>
      <c r="AZ361" s="2">
        <v>20785.04</v>
      </c>
      <c r="BA361" s="2">
        <v>4029.69</v>
      </c>
      <c r="BB361" s="5">
        <v>4962.95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33351</v>
      </c>
      <c r="BI361" s="12">
        <v>29777.68</v>
      </c>
      <c r="BJ361" s="2">
        <v>0</v>
      </c>
      <c r="BK361" s="5">
        <v>2779.25</v>
      </c>
      <c r="BL361" s="1" t="s">
        <v>137</v>
      </c>
    </row>
    <row r="362" spans="1:64" x14ac:dyDescent="0.3">
      <c r="A362" t="s">
        <v>1361</v>
      </c>
      <c r="B362" s="1" t="s">
        <v>1362</v>
      </c>
      <c r="C362" s="9" t="s">
        <v>1363</v>
      </c>
      <c r="D362" s="1" t="s">
        <v>95</v>
      </c>
      <c r="E362" s="1" t="s">
        <v>128</v>
      </c>
      <c r="F362" s="10" t="s">
        <v>355</v>
      </c>
      <c r="G362" s="1">
        <v>0.04</v>
      </c>
      <c r="H362" s="1">
        <v>0.05</v>
      </c>
      <c r="I362" s="8">
        <v>44679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-38741.5</v>
      </c>
      <c r="P362" s="6">
        <v>0</v>
      </c>
      <c r="Q362" s="6">
        <v>-1729.54</v>
      </c>
      <c r="R362" s="6">
        <v>0</v>
      </c>
      <c r="S362" s="7">
        <v>-345.91</v>
      </c>
      <c r="T362" s="11">
        <v>-2324.5</v>
      </c>
      <c r="U362" s="6">
        <v>-2075.4499999999998</v>
      </c>
      <c r="V362" s="6">
        <v>0</v>
      </c>
      <c r="W362" s="6">
        <v>-193.71000000000004</v>
      </c>
      <c r="X362" s="46">
        <v>45845</v>
      </c>
      <c r="Y362" s="1">
        <v>25016280</v>
      </c>
      <c r="Z362" s="1">
        <v>25016281</v>
      </c>
      <c r="AI362" s="2">
        <v>2791197</v>
      </c>
      <c r="AJ362" s="2">
        <v>314715</v>
      </c>
      <c r="AK362" s="2">
        <v>124607.01000000001</v>
      </c>
      <c r="AL362" s="2">
        <v>14049.78</v>
      </c>
      <c r="AM362" s="5">
        <v>27731.350000000002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186354.72</v>
      </c>
      <c r="AT362" s="12">
        <v>166388.14000000001</v>
      </c>
      <c r="AU362" s="2">
        <v>0</v>
      </c>
      <c r="AV362" s="5">
        <v>15529.57</v>
      </c>
      <c r="AX362" s="2">
        <v>2791197</v>
      </c>
      <c r="AY362" s="2">
        <v>314715</v>
      </c>
      <c r="AZ362" s="2">
        <v>124607.01000000001</v>
      </c>
      <c r="BA362" s="2">
        <v>14049.78</v>
      </c>
      <c r="BB362" s="5">
        <v>27731.350000000002</v>
      </c>
      <c r="BC362" s="12">
        <v>38741.5</v>
      </c>
      <c r="BD362" s="2">
        <v>0</v>
      </c>
      <c r="BE362" s="2">
        <v>1729.54</v>
      </c>
      <c r="BF362" s="2">
        <v>0</v>
      </c>
      <c r="BG362" s="5">
        <v>345.91</v>
      </c>
      <c r="BH362" s="2">
        <v>188679.22</v>
      </c>
      <c r="BI362" s="12">
        <v>168463.59</v>
      </c>
      <c r="BJ362" s="2">
        <v>0</v>
      </c>
      <c r="BK362" s="5">
        <v>15723.280000000002</v>
      </c>
      <c r="BL362" s="1" t="s">
        <v>130</v>
      </c>
    </row>
    <row r="363" spans="1:64" x14ac:dyDescent="0.3">
      <c r="A363" t="s">
        <v>1385</v>
      </c>
      <c r="B363" s="1" t="s">
        <v>1385</v>
      </c>
      <c r="C363" s="9" t="s">
        <v>1386</v>
      </c>
      <c r="D363" s="1" t="s">
        <v>95</v>
      </c>
      <c r="E363" s="1" t="s">
        <v>88</v>
      </c>
      <c r="F363" s="10" t="s">
        <v>534</v>
      </c>
      <c r="G363" s="1">
        <v>0</v>
      </c>
      <c r="H363" s="1">
        <v>0.05</v>
      </c>
      <c r="I363" s="8">
        <v>45292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711711</v>
      </c>
      <c r="AJ363" s="2">
        <v>324935</v>
      </c>
      <c r="AK363" s="2">
        <v>31772.82</v>
      </c>
      <c r="AL363" s="2">
        <v>14506.03</v>
      </c>
      <c r="AM363" s="5">
        <v>9255.77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62198.77</v>
      </c>
      <c r="AT363" s="12">
        <v>55534.62</v>
      </c>
      <c r="AU363" s="2">
        <v>0</v>
      </c>
      <c r="AV363" s="5">
        <v>5183.2299999999996</v>
      </c>
      <c r="AX363" s="2">
        <v>711711</v>
      </c>
      <c r="AY363" s="2">
        <v>324935</v>
      </c>
      <c r="AZ363" s="2">
        <v>31772.82</v>
      </c>
      <c r="BA363" s="2">
        <v>14506.03</v>
      </c>
      <c r="BB363" s="5">
        <v>9255.77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62198.77</v>
      </c>
      <c r="BI363" s="12">
        <v>55534.62</v>
      </c>
      <c r="BJ363" s="2">
        <v>0</v>
      </c>
      <c r="BK363" s="5">
        <v>5183.2299999999996</v>
      </c>
      <c r="BL363" s="1" t="s">
        <v>90</v>
      </c>
    </row>
    <row r="364" spans="1:64" x14ac:dyDescent="0.3">
      <c r="A364" t="s">
        <v>1389</v>
      </c>
      <c r="B364" s="1" t="s">
        <v>1389</v>
      </c>
      <c r="C364" s="9" t="s">
        <v>1390</v>
      </c>
      <c r="D364" s="1" t="s">
        <v>95</v>
      </c>
      <c r="E364" s="1" t="s">
        <v>128</v>
      </c>
      <c r="F364" s="10" t="s">
        <v>325</v>
      </c>
      <c r="G364" s="1">
        <v>0</v>
      </c>
      <c r="H364" s="1">
        <v>0.05</v>
      </c>
      <c r="I364" s="8">
        <v>45382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853759.25</v>
      </c>
      <c r="AJ364" s="2">
        <v>62945</v>
      </c>
      <c r="AK364" s="2">
        <v>38114.25</v>
      </c>
      <c r="AL364" s="2">
        <v>2810.04</v>
      </c>
      <c r="AM364" s="5">
        <v>8184.86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55002.25</v>
      </c>
      <c r="AT364" s="12">
        <v>49109.15</v>
      </c>
      <c r="AU364" s="2">
        <v>0</v>
      </c>
      <c r="AV364" s="5">
        <v>4583.5200000000004</v>
      </c>
      <c r="AX364" s="2">
        <v>853759.25</v>
      </c>
      <c r="AY364" s="2">
        <v>62945</v>
      </c>
      <c r="AZ364" s="2">
        <v>38114.25</v>
      </c>
      <c r="BA364" s="2">
        <v>2810.04</v>
      </c>
      <c r="BB364" s="5">
        <v>8184.86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55002.25</v>
      </c>
      <c r="BI364" s="12">
        <v>49109.15</v>
      </c>
      <c r="BJ364" s="2">
        <v>0</v>
      </c>
      <c r="BK364" s="5">
        <v>4583.5200000000004</v>
      </c>
      <c r="BL364" s="1" t="s">
        <v>326</v>
      </c>
    </row>
    <row r="365" spans="1:64" x14ac:dyDescent="0.3">
      <c r="A365" t="s">
        <v>1391</v>
      </c>
      <c r="B365" s="1" t="s">
        <v>1391</v>
      </c>
      <c r="C365" s="9" t="s">
        <v>1392</v>
      </c>
      <c r="D365" s="1" t="s">
        <v>95</v>
      </c>
      <c r="E365" s="1" t="s">
        <v>88</v>
      </c>
      <c r="F365" s="10" t="s">
        <v>218</v>
      </c>
      <c r="G365" s="1">
        <v>0</v>
      </c>
      <c r="H365" s="1">
        <v>0.05</v>
      </c>
      <c r="I365" s="8">
        <v>45464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603544</v>
      </c>
      <c r="AJ365" s="2">
        <v>81231</v>
      </c>
      <c r="AK365" s="2">
        <v>26943.93</v>
      </c>
      <c r="AL365" s="2">
        <v>3626.38</v>
      </c>
      <c r="AM365" s="5">
        <v>6114.06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41086.49</v>
      </c>
      <c r="AT365" s="12">
        <v>36684.370000000003</v>
      </c>
      <c r="AU365" s="2">
        <v>0</v>
      </c>
      <c r="AV365" s="5">
        <v>3423.88</v>
      </c>
      <c r="AX365" s="2">
        <v>603544</v>
      </c>
      <c r="AY365" s="2">
        <v>81231</v>
      </c>
      <c r="AZ365" s="2">
        <v>26943.93</v>
      </c>
      <c r="BA365" s="2">
        <v>3626.38</v>
      </c>
      <c r="BB365" s="5">
        <v>6114.06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41086.49</v>
      </c>
      <c r="BI365" s="12">
        <v>36684.370000000003</v>
      </c>
      <c r="BJ365" s="2">
        <v>0</v>
      </c>
      <c r="BK365" s="5">
        <v>3423.88</v>
      </c>
      <c r="BL365" s="1" t="s">
        <v>90</v>
      </c>
    </row>
    <row r="366" spans="1:64" x14ac:dyDescent="0.3">
      <c r="A366" t="s">
        <v>1393</v>
      </c>
      <c r="B366" s="1" t="s">
        <v>1393</v>
      </c>
      <c r="C366" s="9" t="s">
        <v>1394</v>
      </c>
      <c r="D366" s="1" t="s">
        <v>95</v>
      </c>
      <c r="E366" s="1" t="s">
        <v>135</v>
      </c>
      <c r="F366" s="10" t="s">
        <v>136</v>
      </c>
      <c r="G366" s="1">
        <v>0</v>
      </c>
      <c r="H366" s="1">
        <v>0.05</v>
      </c>
      <c r="I366" s="8">
        <v>45397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367462</v>
      </c>
      <c r="AJ366" s="2">
        <v>32030</v>
      </c>
      <c r="AK366" s="2">
        <v>16404.55</v>
      </c>
      <c r="AL366" s="2">
        <v>1429.91</v>
      </c>
      <c r="AM366" s="5">
        <v>3566.89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23969.51</v>
      </c>
      <c r="AT366" s="12">
        <v>21401.35</v>
      </c>
      <c r="AU366" s="2">
        <v>0</v>
      </c>
      <c r="AV366" s="5">
        <v>1997.46</v>
      </c>
      <c r="AX366" s="2">
        <v>367462</v>
      </c>
      <c r="AY366" s="2">
        <v>32030</v>
      </c>
      <c r="AZ366" s="2">
        <v>16404.55</v>
      </c>
      <c r="BA366" s="2">
        <v>1429.91</v>
      </c>
      <c r="BB366" s="5">
        <v>3566.89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23969.51</v>
      </c>
      <c r="BI366" s="12">
        <v>21401.35</v>
      </c>
      <c r="BJ366" s="2">
        <v>0</v>
      </c>
      <c r="BK366" s="5">
        <v>1997.46</v>
      </c>
      <c r="BL366" s="1" t="s">
        <v>137</v>
      </c>
    </row>
    <row r="367" spans="1:64" x14ac:dyDescent="0.3">
      <c r="A367" t="s">
        <v>1395</v>
      </c>
      <c r="B367" s="1" t="s">
        <v>1395</v>
      </c>
      <c r="C367" s="9" t="s">
        <v>1396</v>
      </c>
      <c r="D367" s="1" t="s">
        <v>95</v>
      </c>
      <c r="E367" s="1" t="s">
        <v>128</v>
      </c>
      <c r="F367" s="10" t="s">
        <v>309</v>
      </c>
      <c r="G367" s="1">
        <v>0</v>
      </c>
      <c r="H367" s="1">
        <v>0.05</v>
      </c>
      <c r="I367" s="8">
        <v>45367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1252830</v>
      </c>
      <c r="AJ367" s="2">
        <v>41919</v>
      </c>
      <c r="AK367" s="2">
        <v>55929.909999999996</v>
      </c>
      <c r="AL367" s="2">
        <v>1871.3799999999999</v>
      </c>
      <c r="AM367" s="5">
        <v>11560.27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77684.95</v>
      </c>
      <c r="AT367" s="12">
        <v>69361.560000000012</v>
      </c>
      <c r="AU367" s="2">
        <v>0</v>
      </c>
      <c r="AV367" s="5">
        <v>6473.7400000000007</v>
      </c>
      <c r="AX367" s="2">
        <v>1252830</v>
      </c>
      <c r="AY367" s="2">
        <v>41919</v>
      </c>
      <c r="AZ367" s="2">
        <v>55929.909999999996</v>
      </c>
      <c r="BA367" s="2">
        <v>1871.3799999999999</v>
      </c>
      <c r="BB367" s="5">
        <v>11560.27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77684.95</v>
      </c>
      <c r="BI367" s="12">
        <v>69361.560000000012</v>
      </c>
      <c r="BJ367" s="2">
        <v>0</v>
      </c>
      <c r="BK367" s="5">
        <v>6473.7400000000007</v>
      </c>
      <c r="BL367" s="1" t="s">
        <v>130</v>
      </c>
    </row>
    <row r="368" spans="1:64" x14ac:dyDescent="0.3">
      <c r="A368" t="s">
        <v>1405</v>
      </c>
      <c r="B368" s="1" t="s">
        <v>1405</v>
      </c>
      <c r="C368" s="9" t="s">
        <v>1406</v>
      </c>
      <c r="D368" s="1" t="s">
        <v>95</v>
      </c>
      <c r="E368" s="1" t="s">
        <v>135</v>
      </c>
      <c r="F368" s="10" t="s">
        <v>435</v>
      </c>
      <c r="G368" s="1">
        <v>0</v>
      </c>
      <c r="H368" s="1">
        <v>0.05</v>
      </c>
      <c r="I368" s="8">
        <v>45439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1265181</v>
      </c>
      <c r="AJ368" s="2">
        <v>164199</v>
      </c>
      <c r="AK368" s="2">
        <v>56481.3</v>
      </c>
      <c r="AL368" s="2">
        <v>7330.32</v>
      </c>
      <c r="AM368" s="5">
        <v>12762.32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85762.81</v>
      </c>
      <c r="AT368" s="12">
        <v>76573.94</v>
      </c>
      <c r="AU368" s="2">
        <v>0</v>
      </c>
      <c r="AV368" s="5">
        <v>7146.9</v>
      </c>
      <c r="AX368" s="2">
        <v>1265181</v>
      </c>
      <c r="AY368" s="2">
        <v>164199</v>
      </c>
      <c r="AZ368" s="2">
        <v>56481.3</v>
      </c>
      <c r="BA368" s="2">
        <v>7330.32</v>
      </c>
      <c r="BB368" s="5">
        <v>12762.32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85762.81</v>
      </c>
      <c r="BI368" s="12">
        <v>76573.94</v>
      </c>
      <c r="BJ368" s="2">
        <v>0</v>
      </c>
      <c r="BK368" s="5">
        <v>7146.9</v>
      </c>
      <c r="BL368" s="1" t="s">
        <v>302</v>
      </c>
    </row>
    <row r="369" spans="1:64" x14ac:dyDescent="0.3">
      <c r="A369" t="s">
        <v>1409</v>
      </c>
      <c r="B369" s="1" t="s">
        <v>1409</v>
      </c>
      <c r="C369" s="9" t="s">
        <v>1410</v>
      </c>
      <c r="D369" s="1" t="s">
        <v>95</v>
      </c>
      <c r="E369" s="1" t="s">
        <v>128</v>
      </c>
      <c r="F369" s="10" t="s">
        <v>129</v>
      </c>
      <c r="G369" s="1">
        <v>0</v>
      </c>
      <c r="H369" s="1">
        <v>0.05</v>
      </c>
      <c r="I369" s="8">
        <v>0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0</v>
      </c>
      <c r="AJ369" s="2">
        <v>0</v>
      </c>
      <c r="AK369" s="2">
        <v>0</v>
      </c>
      <c r="AL369" s="2">
        <v>0</v>
      </c>
      <c r="AM369" s="5">
        <v>0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0</v>
      </c>
      <c r="AT369" s="12">
        <v>0</v>
      </c>
      <c r="AU369" s="2">
        <v>0</v>
      </c>
      <c r="AV369" s="5">
        <v>0</v>
      </c>
      <c r="AX369" s="2">
        <v>0</v>
      </c>
      <c r="AY369" s="2">
        <v>0</v>
      </c>
      <c r="AZ369" s="2">
        <v>0</v>
      </c>
      <c r="BA369" s="2">
        <v>0</v>
      </c>
      <c r="BB369" s="5">
        <v>0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0</v>
      </c>
      <c r="BI369" s="12">
        <v>0</v>
      </c>
      <c r="BJ369" s="2">
        <v>0</v>
      </c>
      <c r="BK369" s="5">
        <v>0</v>
      </c>
      <c r="BL369" s="1" t="s">
        <v>130</v>
      </c>
    </row>
    <row r="370" spans="1:64" x14ac:dyDescent="0.3">
      <c r="A370" t="s">
        <v>1411</v>
      </c>
      <c r="B370" s="1" t="s">
        <v>1411</v>
      </c>
      <c r="C370" s="9" t="s">
        <v>1412</v>
      </c>
      <c r="D370" s="1" t="s">
        <v>95</v>
      </c>
      <c r="E370" s="1" t="s">
        <v>135</v>
      </c>
      <c r="F370" s="10" t="s">
        <v>348</v>
      </c>
      <c r="G370" s="1">
        <v>0</v>
      </c>
      <c r="H370" s="1">
        <v>0.05</v>
      </c>
      <c r="I370" s="8">
        <v>45430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830072</v>
      </c>
      <c r="AJ370" s="2">
        <v>83826</v>
      </c>
      <c r="AK370" s="2">
        <v>37056.78</v>
      </c>
      <c r="AL370" s="2">
        <v>3742.2299999999996</v>
      </c>
      <c r="AM370" s="5">
        <v>8159.8099999999995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54833.88</v>
      </c>
      <c r="AT370" s="12">
        <v>48958.82</v>
      </c>
      <c r="AU370" s="2">
        <v>0</v>
      </c>
      <c r="AV370" s="5">
        <v>4569.49</v>
      </c>
      <c r="AX370" s="2">
        <v>830072</v>
      </c>
      <c r="AY370" s="2">
        <v>83826</v>
      </c>
      <c r="AZ370" s="2">
        <v>37056.78</v>
      </c>
      <c r="BA370" s="2">
        <v>3742.2299999999996</v>
      </c>
      <c r="BB370" s="5">
        <v>8159.8099999999995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54833.88</v>
      </c>
      <c r="BI370" s="12">
        <v>48958.82</v>
      </c>
      <c r="BJ370" s="2">
        <v>0</v>
      </c>
      <c r="BK370" s="5">
        <v>4569.49</v>
      </c>
      <c r="BL370" s="1" t="s">
        <v>137</v>
      </c>
    </row>
    <row r="371" spans="1:64" x14ac:dyDescent="0.3">
      <c r="A371" t="s">
        <v>1415</v>
      </c>
      <c r="B371" s="1" t="s">
        <v>1415</v>
      </c>
      <c r="C371" s="9" t="s">
        <v>1416</v>
      </c>
      <c r="D371" s="1" t="s">
        <v>95</v>
      </c>
      <c r="E371" s="1" t="s">
        <v>128</v>
      </c>
      <c r="F371" s="10" t="s">
        <v>129</v>
      </c>
      <c r="G371" s="1">
        <v>0</v>
      </c>
      <c r="H371" s="1">
        <v>0.05</v>
      </c>
      <c r="I371" s="8">
        <v>45559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712953.9</v>
      </c>
      <c r="AO371" s="2">
        <v>33530.1</v>
      </c>
      <c r="AP371" s="2">
        <v>31828.3</v>
      </c>
      <c r="AQ371" s="2">
        <v>1496.87</v>
      </c>
      <c r="AR371" s="5">
        <v>6665.04</v>
      </c>
      <c r="AS371" s="2">
        <v>44789.04</v>
      </c>
      <c r="AT371" s="12">
        <v>39990.21</v>
      </c>
      <c r="AU371" s="2">
        <v>0</v>
      </c>
      <c r="AV371" s="5">
        <v>3732.42</v>
      </c>
      <c r="AX371" s="2">
        <v>0</v>
      </c>
      <c r="AY371" s="2">
        <v>0</v>
      </c>
      <c r="AZ371" s="2">
        <v>0</v>
      </c>
      <c r="BA371" s="2">
        <v>0</v>
      </c>
      <c r="BB371" s="5">
        <v>0</v>
      </c>
      <c r="BC371" s="12">
        <v>712953.9</v>
      </c>
      <c r="BD371" s="2">
        <v>33530.1</v>
      </c>
      <c r="BE371" s="2">
        <v>31828.3</v>
      </c>
      <c r="BF371" s="2">
        <v>1496.87</v>
      </c>
      <c r="BG371" s="5">
        <v>6665.04</v>
      </c>
      <c r="BH371" s="2">
        <v>44789.04</v>
      </c>
      <c r="BI371" s="12">
        <v>39990.21</v>
      </c>
      <c r="BJ371" s="2">
        <v>0</v>
      </c>
      <c r="BK371" s="5">
        <v>3732.42</v>
      </c>
      <c r="BL371" s="1" t="s">
        <v>130</v>
      </c>
    </row>
    <row r="372" spans="1:64" x14ac:dyDescent="0.3">
      <c r="A372" t="s">
        <v>1417</v>
      </c>
      <c r="B372" s="1" t="s">
        <v>1417</v>
      </c>
      <c r="C372" s="9" t="s">
        <v>1418</v>
      </c>
      <c r="D372" s="1" t="s">
        <v>95</v>
      </c>
      <c r="E372" s="1" t="s">
        <v>135</v>
      </c>
      <c r="F372" s="10" t="s">
        <v>136</v>
      </c>
      <c r="G372" s="1">
        <v>0</v>
      </c>
      <c r="H372" s="1">
        <v>0.05</v>
      </c>
      <c r="I372" s="8">
        <v>45539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1119418</v>
      </c>
      <c r="AJ372" s="2">
        <v>172284</v>
      </c>
      <c r="AK372" s="2">
        <v>49974.02</v>
      </c>
      <c r="AL372" s="2">
        <v>7691.25</v>
      </c>
      <c r="AM372" s="5">
        <v>11533.05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77502.12</v>
      </c>
      <c r="AT372" s="12">
        <v>69198.319999999992</v>
      </c>
      <c r="AU372" s="2">
        <v>0</v>
      </c>
      <c r="AV372" s="5">
        <v>6458.51</v>
      </c>
      <c r="AX372" s="2">
        <v>1119418</v>
      </c>
      <c r="AY372" s="2">
        <v>172284</v>
      </c>
      <c r="AZ372" s="2">
        <v>49974.02</v>
      </c>
      <c r="BA372" s="2">
        <v>7691.25</v>
      </c>
      <c r="BB372" s="5">
        <v>11533.05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77502.12</v>
      </c>
      <c r="BI372" s="12">
        <v>69198.319999999992</v>
      </c>
      <c r="BJ372" s="2">
        <v>0</v>
      </c>
      <c r="BK372" s="5">
        <v>6458.51</v>
      </c>
      <c r="BL372" s="1" t="s">
        <v>137</v>
      </c>
    </row>
    <row r="373" spans="1:64" x14ac:dyDescent="0.3">
      <c r="A373" t="s">
        <v>1419</v>
      </c>
      <c r="B373" s="1" t="s">
        <v>1419</v>
      </c>
      <c r="C373" s="9" t="s">
        <v>1420</v>
      </c>
      <c r="D373" s="1" t="s">
        <v>95</v>
      </c>
      <c r="E373" s="1" t="s">
        <v>88</v>
      </c>
      <c r="F373" s="10" t="s">
        <v>89</v>
      </c>
      <c r="G373" s="1">
        <v>0</v>
      </c>
      <c r="H373" s="1">
        <v>0</v>
      </c>
      <c r="I373" s="8">
        <v>45621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585076</v>
      </c>
      <c r="AJ373" s="2">
        <v>159298</v>
      </c>
      <c r="AK373" s="2">
        <v>0</v>
      </c>
      <c r="AL373" s="2">
        <v>0</v>
      </c>
      <c r="AM373" s="5">
        <v>6646.2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7443.74</v>
      </c>
      <c r="AT373" s="12">
        <v>6646.2</v>
      </c>
      <c r="AU373" s="2">
        <v>0</v>
      </c>
      <c r="AV373" s="5">
        <v>3721.87</v>
      </c>
      <c r="AX373" s="2">
        <v>585076</v>
      </c>
      <c r="AY373" s="2">
        <v>159298</v>
      </c>
      <c r="AZ373" s="2">
        <v>0</v>
      </c>
      <c r="BA373" s="2">
        <v>0</v>
      </c>
      <c r="BB373" s="5">
        <v>6646.2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7443.74</v>
      </c>
      <c r="BI373" s="12">
        <v>6646.2</v>
      </c>
      <c r="BJ373" s="2">
        <v>0</v>
      </c>
      <c r="BK373" s="5">
        <v>3721.87</v>
      </c>
      <c r="BL373" s="1" t="s">
        <v>90</v>
      </c>
    </row>
    <row r="374" spans="1:64" x14ac:dyDescent="0.3">
      <c r="A374" t="s">
        <v>1421</v>
      </c>
      <c r="B374" s="1" t="s">
        <v>1421</v>
      </c>
      <c r="C374" s="9" t="s">
        <v>1422</v>
      </c>
      <c r="D374" s="1" t="s">
        <v>95</v>
      </c>
      <c r="E374" s="1" t="s">
        <v>128</v>
      </c>
      <c r="F374" s="10" t="s">
        <v>129</v>
      </c>
      <c r="G374" s="1">
        <v>0</v>
      </c>
      <c r="H374" s="1">
        <v>0.05</v>
      </c>
      <c r="I374" s="8">
        <v>45488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157308</v>
      </c>
      <c r="AJ374" s="2">
        <v>6830</v>
      </c>
      <c r="AK374" s="2">
        <v>7022.68</v>
      </c>
      <c r="AL374" s="2">
        <v>304.91000000000003</v>
      </c>
      <c r="AM374" s="5">
        <v>1465.52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9848.2800000000007</v>
      </c>
      <c r="AT374" s="12">
        <v>8793.11</v>
      </c>
      <c r="AU374" s="2">
        <v>0</v>
      </c>
      <c r="AV374" s="5">
        <v>820.69</v>
      </c>
      <c r="AX374" s="2">
        <v>157308</v>
      </c>
      <c r="AY374" s="2">
        <v>6830</v>
      </c>
      <c r="AZ374" s="2">
        <v>7022.68</v>
      </c>
      <c r="BA374" s="2">
        <v>304.91000000000003</v>
      </c>
      <c r="BB374" s="5">
        <v>1465.52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9848.2800000000007</v>
      </c>
      <c r="BI374" s="12">
        <v>8793.11</v>
      </c>
      <c r="BJ374" s="2">
        <v>0</v>
      </c>
      <c r="BK374" s="5">
        <v>820.69</v>
      </c>
      <c r="BL374" s="1" t="s">
        <v>130</v>
      </c>
    </row>
    <row r="375" spans="1:64" x14ac:dyDescent="0.3">
      <c r="A375" t="s">
        <v>1425</v>
      </c>
      <c r="B375" s="1" t="s">
        <v>1425</v>
      </c>
      <c r="C375" s="9" t="s">
        <v>1426</v>
      </c>
      <c r="D375" s="1" t="s">
        <v>95</v>
      </c>
      <c r="E375" s="1" t="s">
        <v>88</v>
      </c>
      <c r="F375" s="10" t="s">
        <v>441</v>
      </c>
      <c r="G375" s="1">
        <v>0</v>
      </c>
      <c r="H375" s="1">
        <v>0.05</v>
      </c>
      <c r="I375" s="8">
        <v>45751</v>
      </c>
      <c r="J375" s="6">
        <v>57328</v>
      </c>
      <c r="K375" s="6">
        <v>7534</v>
      </c>
      <c r="L375" s="6">
        <v>2303.3599999999988</v>
      </c>
      <c r="M375" s="6">
        <v>302.71000000000004</v>
      </c>
      <c r="N375" s="7">
        <v>579.11999999999989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3567.41</v>
      </c>
      <c r="U375" s="6">
        <v>3185.1900000000005</v>
      </c>
      <c r="V375" s="6">
        <v>0</v>
      </c>
      <c r="W375" s="6">
        <v>324.32000000000016</v>
      </c>
      <c r="X375" s="46">
        <v>45845</v>
      </c>
      <c r="Y375" s="1">
        <v>25112765</v>
      </c>
      <c r="Z375" s="1">
        <v>25112766</v>
      </c>
      <c r="AI375" s="2">
        <v>314730</v>
      </c>
      <c r="AJ375" s="2">
        <v>51497</v>
      </c>
      <c r="AK375" s="2">
        <v>12645.4</v>
      </c>
      <c r="AL375" s="2">
        <v>2069.08</v>
      </c>
      <c r="AM375" s="5">
        <v>3269.88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20142.48</v>
      </c>
      <c r="AT375" s="12">
        <v>17984.36</v>
      </c>
      <c r="AU375" s="2">
        <v>0</v>
      </c>
      <c r="AV375" s="5">
        <v>1831.14</v>
      </c>
      <c r="AX375" s="2">
        <v>257402</v>
      </c>
      <c r="AY375" s="2">
        <v>43963</v>
      </c>
      <c r="AZ375" s="2">
        <v>10342.040000000001</v>
      </c>
      <c r="BA375" s="2">
        <v>1766.37</v>
      </c>
      <c r="BB375" s="5">
        <v>2690.76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16575.07</v>
      </c>
      <c r="BI375" s="12">
        <v>14799.17</v>
      </c>
      <c r="BJ375" s="2">
        <v>0</v>
      </c>
      <c r="BK375" s="5">
        <v>1506.82</v>
      </c>
      <c r="BL375" s="1" t="s">
        <v>90</v>
      </c>
    </row>
    <row r="376" spans="1:64" x14ac:dyDescent="0.3">
      <c r="A376" t="s">
        <v>1427</v>
      </c>
      <c r="B376" s="1" t="s">
        <v>1427</v>
      </c>
      <c r="C376" s="9" t="s">
        <v>1428</v>
      </c>
      <c r="D376" s="1" t="s">
        <v>95</v>
      </c>
      <c r="E376" s="1" t="s">
        <v>135</v>
      </c>
      <c r="F376" s="10" t="s">
        <v>193</v>
      </c>
      <c r="G376" s="1">
        <v>0</v>
      </c>
      <c r="H376" s="1">
        <v>0.05</v>
      </c>
      <c r="I376" s="8">
        <v>45616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651641</v>
      </c>
      <c r="AJ376" s="2">
        <v>32170</v>
      </c>
      <c r="AK376" s="2">
        <v>29091.119999999999</v>
      </c>
      <c r="AL376" s="2">
        <v>1436.16</v>
      </c>
      <c r="AM376" s="5">
        <v>6105.46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41028.67</v>
      </c>
      <c r="AT376" s="12">
        <v>36632.74</v>
      </c>
      <c r="AU376" s="2">
        <v>0</v>
      </c>
      <c r="AV376" s="5">
        <v>3419.06</v>
      </c>
      <c r="AX376" s="2">
        <v>651641</v>
      </c>
      <c r="AY376" s="2">
        <v>32170</v>
      </c>
      <c r="AZ376" s="2">
        <v>29091.119999999999</v>
      </c>
      <c r="BA376" s="2">
        <v>1436.16</v>
      </c>
      <c r="BB376" s="5">
        <v>6105.46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41028.67</v>
      </c>
      <c r="BI376" s="12">
        <v>36632.74</v>
      </c>
      <c r="BJ376" s="2">
        <v>0</v>
      </c>
      <c r="BK376" s="5">
        <v>3419.06</v>
      </c>
      <c r="BL376" s="1" t="s">
        <v>137</v>
      </c>
    </row>
    <row r="377" spans="1:64" x14ac:dyDescent="0.3">
      <c r="A377" t="s">
        <v>1429</v>
      </c>
      <c r="B377" s="1" t="s">
        <v>1429</v>
      </c>
      <c r="C377" s="9" t="s">
        <v>1430</v>
      </c>
      <c r="D377" s="1" t="s">
        <v>95</v>
      </c>
      <c r="E377" s="1" t="s">
        <v>88</v>
      </c>
      <c r="F377" s="10" t="s">
        <v>218</v>
      </c>
      <c r="G377" s="1">
        <v>0</v>
      </c>
      <c r="H377" s="1">
        <v>0.05</v>
      </c>
      <c r="I377" s="8">
        <v>45553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449930</v>
      </c>
      <c r="AJ377" s="2">
        <v>213192</v>
      </c>
      <c r="AK377" s="2">
        <v>20086.16</v>
      </c>
      <c r="AL377" s="2">
        <v>9517.5</v>
      </c>
      <c r="AM377" s="5">
        <v>5920.73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39787.32</v>
      </c>
      <c r="AT377" s="12">
        <v>35524.39</v>
      </c>
      <c r="AU377" s="2">
        <v>0</v>
      </c>
      <c r="AV377" s="5">
        <v>3315.61</v>
      </c>
      <c r="AX377" s="2">
        <v>449930</v>
      </c>
      <c r="AY377" s="2">
        <v>213192</v>
      </c>
      <c r="AZ377" s="2">
        <v>20086.16</v>
      </c>
      <c r="BA377" s="2">
        <v>9517.5</v>
      </c>
      <c r="BB377" s="5">
        <v>5920.73</v>
      </c>
      <c r="BC377" s="12">
        <v>0</v>
      </c>
      <c r="BD377" s="2">
        <v>0</v>
      </c>
      <c r="BE377" s="2">
        <v>0</v>
      </c>
      <c r="BF377" s="2">
        <v>0</v>
      </c>
      <c r="BG377" s="5">
        <v>0</v>
      </c>
      <c r="BH377" s="2">
        <v>39787.32</v>
      </c>
      <c r="BI377" s="12">
        <v>35524.39</v>
      </c>
      <c r="BJ377" s="2">
        <v>0</v>
      </c>
      <c r="BK377" s="5">
        <v>3315.61</v>
      </c>
      <c r="BL377" s="1" t="s">
        <v>90</v>
      </c>
    </row>
    <row r="378" spans="1:64" x14ac:dyDescent="0.3">
      <c r="A378" t="s">
        <v>1431</v>
      </c>
      <c r="B378" s="1" t="s">
        <v>1431</v>
      </c>
      <c r="C378" s="9" t="s">
        <v>1432</v>
      </c>
      <c r="D378" s="1" t="s">
        <v>95</v>
      </c>
      <c r="E378" s="1" t="s">
        <v>135</v>
      </c>
      <c r="F378" s="10" t="s">
        <v>485</v>
      </c>
      <c r="G378" s="1">
        <v>0</v>
      </c>
      <c r="H378" s="1">
        <v>0.05</v>
      </c>
      <c r="I378" s="8">
        <v>45639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535205.56000000006</v>
      </c>
      <c r="AJ378" s="2">
        <v>74394</v>
      </c>
      <c r="AK378" s="2">
        <v>23893.11</v>
      </c>
      <c r="AL378" s="2">
        <v>3321.16</v>
      </c>
      <c r="AM378" s="5">
        <v>5442.86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36575.99</v>
      </c>
      <c r="AT378" s="12">
        <v>32657.13</v>
      </c>
      <c r="AU378" s="2">
        <v>0</v>
      </c>
      <c r="AV378" s="5">
        <v>3048</v>
      </c>
      <c r="AX378" s="2">
        <v>535205.56000000006</v>
      </c>
      <c r="AY378" s="2">
        <v>74394</v>
      </c>
      <c r="AZ378" s="2">
        <v>23893.11</v>
      </c>
      <c r="BA378" s="2">
        <v>3321.16</v>
      </c>
      <c r="BB378" s="5">
        <v>5442.86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36575.99</v>
      </c>
      <c r="BI378" s="12">
        <v>32657.13</v>
      </c>
      <c r="BJ378" s="2">
        <v>0</v>
      </c>
      <c r="BK378" s="5">
        <v>3048</v>
      </c>
      <c r="BL378" s="1" t="s">
        <v>302</v>
      </c>
    </row>
    <row r="379" spans="1:64" x14ac:dyDescent="0.3">
      <c r="A379" t="s">
        <v>1433</v>
      </c>
      <c r="B379" s="1" t="s">
        <v>1433</v>
      </c>
      <c r="C379" s="9" t="s">
        <v>1434</v>
      </c>
      <c r="D379" s="1" t="s">
        <v>95</v>
      </c>
      <c r="E379" s="1" t="s">
        <v>128</v>
      </c>
      <c r="F379" s="10" t="s">
        <v>309</v>
      </c>
      <c r="G379" s="1">
        <v>0</v>
      </c>
      <c r="H379" s="1">
        <v>0.05</v>
      </c>
      <c r="I379" s="8">
        <v>45665</v>
      </c>
      <c r="J379" s="6">
        <v>659419.87</v>
      </c>
      <c r="K379" s="6">
        <v>22798</v>
      </c>
      <c r="L379" s="6">
        <v>29438.38</v>
      </c>
      <c r="M379" s="6">
        <v>1017.77</v>
      </c>
      <c r="N379" s="7">
        <v>6091.23</v>
      </c>
      <c r="O379" s="6">
        <v>-513378.30000000005</v>
      </c>
      <c r="P379" s="6">
        <v>-26823.300000000003</v>
      </c>
      <c r="Q379" s="6">
        <v>-22918.68</v>
      </c>
      <c r="R379" s="6">
        <v>-1197.47</v>
      </c>
      <c r="S379" s="7">
        <v>-4823.2299999999996</v>
      </c>
      <c r="T379" s="11">
        <v>8520.9599999999991</v>
      </c>
      <c r="U379" s="6">
        <v>7608.0000000000036</v>
      </c>
      <c r="V379" s="6">
        <v>0</v>
      </c>
      <c r="W379" s="6">
        <v>710.07999999999993</v>
      </c>
      <c r="X379" s="46">
        <v>45845</v>
      </c>
      <c r="Y379" s="1">
        <v>25112767</v>
      </c>
      <c r="Z379" s="1">
        <v>25112768</v>
      </c>
      <c r="AI379" s="2">
        <v>659419.87</v>
      </c>
      <c r="AJ379" s="2">
        <v>22798</v>
      </c>
      <c r="AK379" s="2">
        <v>29438.38</v>
      </c>
      <c r="AL379" s="2">
        <v>1017.77</v>
      </c>
      <c r="AM379" s="5">
        <v>6091.23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40933.07</v>
      </c>
      <c r="AT379" s="12">
        <v>36547.380000000005</v>
      </c>
      <c r="AU379" s="2">
        <v>0</v>
      </c>
      <c r="AV379" s="5">
        <v>3411.09</v>
      </c>
      <c r="AX379" s="2">
        <v>0</v>
      </c>
      <c r="AY379" s="2">
        <v>0</v>
      </c>
      <c r="AZ379" s="2">
        <v>0</v>
      </c>
      <c r="BA379" s="2">
        <v>0</v>
      </c>
      <c r="BB379" s="5">
        <v>0</v>
      </c>
      <c r="BC379" s="12">
        <v>513378.30000000005</v>
      </c>
      <c r="BD379" s="2">
        <v>26823.300000000003</v>
      </c>
      <c r="BE379" s="2">
        <v>22918.68</v>
      </c>
      <c r="BF379" s="2">
        <v>1197.47</v>
      </c>
      <c r="BG379" s="5">
        <v>4823.2299999999996</v>
      </c>
      <c r="BH379" s="2">
        <v>32412.11</v>
      </c>
      <c r="BI379" s="12">
        <v>28939.38</v>
      </c>
      <c r="BJ379" s="2">
        <v>0</v>
      </c>
      <c r="BK379" s="5">
        <v>2701.01</v>
      </c>
      <c r="BL379" s="1" t="s">
        <v>130</v>
      </c>
    </row>
    <row r="380" spans="1:64" x14ac:dyDescent="0.3">
      <c r="A380" t="s">
        <v>1435</v>
      </c>
      <c r="B380" s="1" t="s">
        <v>1435</v>
      </c>
      <c r="C380" s="9" t="s">
        <v>1436</v>
      </c>
      <c r="D380" s="1" t="s">
        <v>95</v>
      </c>
      <c r="E380" s="1" t="s">
        <v>88</v>
      </c>
      <c r="F380" s="10" t="s">
        <v>472</v>
      </c>
      <c r="G380" s="1">
        <v>0</v>
      </c>
      <c r="H380" s="1">
        <v>0</v>
      </c>
      <c r="I380" s="8">
        <v>45586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1088010.5</v>
      </c>
      <c r="AJ380" s="2">
        <v>291919</v>
      </c>
      <c r="AK380" s="2">
        <v>0</v>
      </c>
      <c r="AL380" s="2">
        <v>0</v>
      </c>
      <c r="AM380" s="5">
        <v>12320.8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13799.3</v>
      </c>
      <c r="AT380" s="12">
        <v>12320.8</v>
      </c>
      <c r="AU380" s="2">
        <v>0</v>
      </c>
      <c r="AV380" s="5">
        <v>6899.65</v>
      </c>
      <c r="AX380" s="2">
        <v>1088010.5</v>
      </c>
      <c r="AY380" s="2">
        <v>291919</v>
      </c>
      <c r="AZ380" s="2">
        <v>0</v>
      </c>
      <c r="BA380" s="2">
        <v>0</v>
      </c>
      <c r="BB380" s="5">
        <v>12320.8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13799.3</v>
      </c>
      <c r="BI380" s="12">
        <v>12320.8</v>
      </c>
      <c r="BJ380" s="2">
        <v>0</v>
      </c>
      <c r="BK380" s="5">
        <v>6899.65</v>
      </c>
      <c r="BL380" s="1" t="s">
        <v>90</v>
      </c>
    </row>
    <row r="381" spans="1:64" x14ac:dyDescent="0.3">
      <c r="A381" t="s">
        <v>1437</v>
      </c>
      <c r="B381" s="1" t="s">
        <v>1437</v>
      </c>
      <c r="C381" s="9" t="s">
        <v>1438</v>
      </c>
      <c r="D381" s="1" t="s">
        <v>95</v>
      </c>
      <c r="E381" s="1" t="s">
        <v>135</v>
      </c>
      <c r="F381" s="10" t="s">
        <v>435</v>
      </c>
      <c r="G381" s="1">
        <v>0</v>
      </c>
      <c r="H381" s="1">
        <v>0.05</v>
      </c>
      <c r="I381" s="8">
        <v>45589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701766</v>
      </c>
      <c r="AJ381" s="2">
        <v>75770</v>
      </c>
      <c r="AK381" s="2">
        <v>31328.84</v>
      </c>
      <c r="AL381" s="2">
        <v>3382.59</v>
      </c>
      <c r="AM381" s="5">
        <v>6942.29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46652.17</v>
      </c>
      <c r="AT381" s="12">
        <v>41653.72</v>
      </c>
      <c r="AU381" s="2">
        <v>0</v>
      </c>
      <c r="AV381" s="5">
        <v>3887.68</v>
      </c>
      <c r="AX381" s="2">
        <v>701766</v>
      </c>
      <c r="AY381" s="2">
        <v>75770</v>
      </c>
      <c r="AZ381" s="2">
        <v>31328.84</v>
      </c>
      <c r="BA381" s="2">
        <v>3382.59</v>
      </c>
      <c r="BB381" s="5">
        <v>6942.29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46652.17</v>
      </c>
      <c r="BI381" s="12">
        <v>41653.72</v>
      </c>
      <c r="BJ381" s="2">
        <v>0</v>
      </c>
      <c r="BK381" s="5">
        <v>3887.68</v>
      </c>
      <c r="BL381" s="1" t="s">
        <v>302</v>
      </c>
    </row>
    <row r="382" spans="1:64" x14ac:dyDescent="0.3">
      <c r="A382" t="s">
        <v>1439</v>
      </c>
      <c r="B382" s="1" t="s">
        <v>1439</v>
      </c>
      <c r="C382" s="9" t="s">
        <v>1440</v>
      </c>
      <c r="D382" s="1" t="s">
        <v>95</v>
      </c>
      <c r="E382" s="1" t="s">
        <v>88</v>
      </c>
      <c r="F382" s="10" t="s">
        <v>1348</v>
      </c>
      <c r="G382" s="1">
        <v>0</v>
      </c>
      <c r="H382" s="1">
        <v>0.05</v>
      </c>
      <c r="I382" s="8">
        <v>45596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183844</v>
      </c>
      <c r="AJ382" s="2">
        <v>23460</v>
      </c>
      <c r="AK382" s="2">
        <v>8207.32</v>
      </c>
      <c r="AL382" s="2">
        <v>1047.32</v>
      </c>
      <c r="AM382" s="5">
        <v>1850.93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12438.24</v>
      </c>
      <c r="AT382" s="12">
        <v>11105.57</v>
      </c>
      <c r="AU382" s="2">
        <v>0</v>
      </c>
      <c r="AV382" s="5">
        <v>1036.52</v>
      </c>
      <c r="AX382" s="2">
        <v>183844</v>
      </c>
      <c r="AY382" s="2">
        <v>23460</v>
      </c>
      <c r="AZ382" s="2">
        <v>8207.32</v>
      </c>
      <c r="BA382" s="2">
        <v>1047.32</v>
      </c>
      <c r="BB382" s="5">
        <v>1850.93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12438.24</v>
      </c>
      <c r="BI382" s="12">
        <v>11105.57</v>
      </c>
      <c r="BJ382" s="2">
        <v>0</v>
      </c>
      <c r="BK382" s="5">
        <v>1036.52</v>
      </c>
      <c r="BL382" s="1" t="s">
        <v>90</v>
      </c>
    </row>
    <row r="383" spans="1:64" x14ac:dyDescent="0.3">
      <c r="A383" t="s">
        <v>1441</v>
      </c>
      <c r="B383" s="1" t="s">
        <v>1441</v>
      </c>
      <c r="C383" s="9" t="s">
        <v>1442</v>
      </c>
      <c r="D383" s="1" t="s">
        <v>95</v>
      </c>
      <c r="E383" s="1" t="s">
        <v>88</v>
      </c>
      <c r="F383" s="10" t="s">
        <v>1443</v>
      </c>
      <c r="G383" s="1">
        <v>0</v>
      </c>
      <c r="H383" s="1">
        <v>0.05</v>
      </c>
      <c r="I383" s="8">
        <v>45596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126374.89</v>
      </c>
      <c r="AJ383" s="2">
        <v>21465</v>
      </c>
      <c r="AK383" s="2">
        <v>5641.74</v>
      </c>
      <c r="AL383" s="2">
        <v>958.26</v>
      </c>
      <c r="AM383" s="5">
        <v>1320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8870.4</v>
      </c>
      <c r="AT383" s="12">
        <v>7920</v>
      </c>
      <c r="AU383" s="2">
        <v>0</v>
      </c>
      <c r="AV383" s="5">
        <v>739.19999999999993</v>
      </c>
      <c r="AX383" s="2">
        <v>126374.89</v>
      </c>
      <c r="AY383" s="2">
        <v>21465</v>
      </c>
      <c r="AZ383" s="2">
        <v>5641.74</v>
      </c>
      <c r="BA383" s="2">
        <v>958.26</v>
      </c>
      <c r="BB383" s="5">
        <v>1320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8870.4</v>
      </c>
      <c r="BI383" s="12">
        <v>7920</v>
      </c>
      <c r="BJ383" s="2">
        <v>0</v>
      </c>
      <c r="BK383" s="5">
        <v>739.19999999999993</v>
      </c>
      <c r="BL383" s="1" t="s">
        <v>90</v>
      </c>
    </row>
    <row r="384" spans="1:64" x14ac:dyDescent="0.3">
      <c r="A384" t="s">
        <v>1446</v>
      </c>
      <c r="B384" s="1" t="s">
        <v>1446</v>
      </c>
      <c r="C384" s="9" t="s">
        <v>1447</v>
      </c>
      <c r="D384" s="1" t="s">
        <v>95</v>
      </c>
      <c r="E384" s="1" t="s">
        <v>128</v>
      </c>
      <c r="F384" s="10" t="s">
        <v>401</v>
      </c>
      <c r="G384" s="1">
        <v>0</v>
      </c>
      <c r="H384" s="1">
        <v>0.05</v>
      </c>
      <c r="I384" s="8">
        <v>45026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643586</v>
      </c>
      <c r="AJ384" s="2">
        <v>10776</v>
      </c>
      <c r="AK384" s="2">
        <v>28731.52</v>
      </c>
      <c r="AL384" s="2">
        <v>481.07</v>
      </c>
      <c r="AM384" s="5">
        <v>5842.52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39261.72</v>
      </c>
      <c r="AT384" s="12">
        <v>35055.11</v>
      </c>
      <c r="AU384" s="2">
        <v>0</v>
      </c>
      <c r="AV384" s="5">
        <v>3271.81</v>
      </c>
      <c r="AX384" s="2">
        <v>643586</v>
      </c>
      <c r="AY384" s="2">
        <v>10776</v>
      </c>
      <c r="AZ384" s="2">
        <v>28731.52</v>
      </c>
      <c r="BA384" s="2">
        <v>481.07</v>
      </c>
      <c r="BB384" s="5">
        <v>5842.52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39261.72</v>
      </c>
      <c r="BI384" s="12">
        <v>35055.11</v>
      </c>
      <c r="BJ384" s="2">
        <v>0</v>
      </c>
      <c r="BK384" s="5">
        <v>3271.81</v>
      </c>
      <c r="BL384" s="1" t="s">
        <v>130</v>
      </c>
    </row>
    <row r="385" spans="1:64" x14ac:dyDescent="0.3">
      <c r="A385" t="s">
        <v>1448</v>
      </c>
      <c r="B385" s="1" t="s">
        <v>1448</v>
      </c>
      <c r="C385" s="9" t="s">
        <v>1449</v>
      </c>
      <c r="D385" s="1" t="s">
        <v>95</v>
      </c>
      <c r="E385" s="1" t="s">
        <v>88</v>
      </c>
      <c r="F385" s="10" t="s">
        <v>432</v>
      </c>
      <c r="G385" s="1">
        <v>0</v>
      </c>
      <c r="H385" s="1">
        <v>0.05</v>
      </c>
      <c r="I385" s="8">
        <v>45730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723409</v>
      </c>
      <c r="AJ385" s="2">
        <v>100570</v>
      </c>
      <c r="AK385" s="2">
        <v>32295.040000000001</v>
      </c>
      <c r="AL385" s="2">
        <v>4489.7299999999996</v>
      </c>
      <c r="AM385" s="5">
        <v>7356.96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49438.74</v>
      </c>
      <c r="AT385" s="12">
        <v>44141.73</v>
      </c>
      <c r="AU385" s="2">
        <v>0</v>
      </c>
      <c r="AV385" s="5">
        <v>4119.8999999999996</v>
      </c>
      <c r="AX385" s="2">
        <v>723409</v>
      </c>
      <c r="AY385" s="2">
        <v>100570</v>
      </c>
      <c r="AZ385" s="2">
        <v>32295.040000000001</v>
      </c>
      <c r="BA385" s="2">
        <v>4489.7299999999996</v>
      </c>
      <c r="BB385" s="5">
        <v>7356.96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49438.74</v>
      </c>
      <c r="BI385" s="12">
        <v>44141.73</v>
      </c>
      <c r="BJ385" s="2">
        <v>0</v>
      </c>
      <c r="BK385" s="5">
        <v>4119.8999999999996</v>
      </c>
      <c r="BL385" s="1" t="s">
        <v>90</v>
      </c>
    </row>
    <row r="386" spans="1:64" x14ac:dyDescent="0.3">
      <c r="A386" t="s">
        <v>1451</v>
      </c>
      <c r="B386" s="1" t="s">
        <v>1451</v>
      </c>
      <c r="C386" s="9" t="s">
        <v>1452</v>
      </c>
      <c r="D386" s="1" t="s">
        <v>95</v>
      </c>
      <c r="E386" s="1" t="s">
        <v>88</v>
      </c>
      <c r="F386" s="10" t="s">
        <v>545</v>
      </c>
      <c r="G386" s="1">
        <v>0</v>
      </c>
      <c r="H386" s="1">
        <v>0.05</v>
      </c>
      <c r="I386" s="8">
        <v>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0</v>
      </c>
      <c r="AJ386" s="2">
        <v>0</v>
      </c>
      <c r="AK386" s="2">
        <v>0</v>
      </c>
      <c r="AL386" s="2">
        <v>0</v>
      </c>
      <c r="AM386" s="5">
        <v>0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0</v>
      </c>
      <c r="AT386" s="12">
        <v>0</v>
      </c>
      <c r="AU386" s="2">
        <v>0</v>
      </c>
      <c r="AV386" s="5">
        <v>0</v>
      </c>
      <c r="AX386" s="2">
        <v>0</v>
      </c>
      <c r="AY386" s="2">
        <v>0</v>
      </c>
      <c r="AZ386" s="2">
        <v>0</v>
      </c>
      <c r="BA386" s="2">
        <v>0</v>
      </c>
      <c r="BB386" s="5">
        <v>0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0</v>
      </c>
      <c r="BI386" s="12">
        <v>0</v>
      </c>
      <c r="BJ386" s="2">
        <v>0</v>
      </c>
      <c r="BK386" s="5">
        <v>0</v>
      </c>
      <c r="BL386" s="1" t="s">
        <v>546</v>
      </c>
    </row>
    <row r="387" spans="1:64" x14ac:dyDescent="0.3">
      <c r="A387" t="s">
        <v>1453</v>
      </c>
      <c r="B387" s="1" t="s">
        <v>1453</v>
      </c>
      <c r="C387" s="9" t="s">
        <v>1454</v>
      </c>
      <c r="D387" s="1" t="s">
        <v>95</v>
      </c>
      <c r="E387" s="1" t="s">
        <v>135</v>
      </c>
      <c r="F387" s="10" t="s">
        <v>435</v>
      </c>
      <c r="G387" s="1">
        <v>0</v>
      </c>
      <c r="H387" s="1">
        <v>0.05</v>
      </c>
      <c r="I387" s="8">
        <v>44925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230040</v>
      </c>
      <c r="AJ387" s="2">
        <v>59971</v>
      </c>
      <c r="AK387" s="2">
        <v>10269.64</v>
      </c>
      <c r="AL387" s="2">
        <v>2677.28</v>
      </c>
      <c r="AM387" s="5">
        <v>2589.38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17400.66</v>
      </c>
      <c r="AT387" s="12">
        <v>15536.3</v>
      </c>
      <c r="AU387" s="2">
        <v>0</v>
      </c>
      <c r="AV387" s="5">
        <v>1450.06</v>
      </c>
      <c r="AX387" s="2">
        <v>230040</v>
      </c>
      <c r="AY387" s="2">
        <v>59971</v>
      </c>
      <c r="AZ387" s="2">
        <v>10269.64</v>
      </c>
      <c r="BA387" s="2">
        <v>2677.28</v>
      </c>
      <c r="BB387" s="5">
        <v>2589.38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17400.66</v>
      </c>
      <c r="BI387" s="12">
        <v>15536.3</v>
      </c>
      <c r="BJ387" s="2">
        <v>0</v>
      </c>
      <c r="BK387" s="5">
        <v>1450.06</v>
      </c>
      <c r="BL387" s="1" t="s">
        <v>137</v>
      </c>
    </row>
    <row r="388" spans="1:64" x14ac:dyDescent="0.3">
      <c r="A388" t="s">
        <v>1455</v>
      </c>
      <c r="B388" s="1" t="s">
        <v>1455</v>
      </c>
      <c r="C388" s="9" t="s">
        <v>1456</v>
      </c>
      <c r="D388" s="1" t="s">
        <v>95</v>
      </c>
      <c r="E388" s="1" t="s">
        <v>88</v>
      </c>
      <c r="F388" s="10" t="s">
        <v>472</v>
      </c>
      <c r="G388" s="1">
        <v>0</v>
      </c>
      <c r="H388" s="1">
        <v>0</v>
      </c>
      <c r="I388" s="8">
        <v>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0</v>
      </c>
      <c r="AJ388" s="2">
        <v>0</v>
      </c>
      <c r="AK388" s="2">
        <v>0</v>
      </c>
      <c r="AL388" s="2">
        <v>0</v>
      </c>
      <c r="AM388" s="5">
        <v>0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0</v>
      </c>
      <c r="AT388" s="12">
        <v>0</v>
      </c>
      <c r="AU388" s="2">
        <v>0</v>
      </c>
      <c r="AV388" s="5">
        <v>0</v>
      </c>
      <c r="AX388" s="2">
        <v>0</v>
      </c>
      <c r="AY388" s="2">
        <v>0</v>
      </c>
      <c r="AZ388" s="2">
        <v>0</v>
      </c>
      <c r="BA388" s="2">
        <v>0</v>
      </c>
      <c r="BB388" s="5">
        <v>0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0</v>
      </c>
      <c r="BI388" s="12">
        <v>0</v>
      </c>
      <c r="BJ388" s="2">
        <v>0</v>
      </c>
      <c r="BK388" s="5">
        <v>0</v>
      </c>
      <c r="BL388" s="1" t="s">
        <v>90</v>
      </c>
    </row>
    <row r="389" spans="1:64" x14ac:dyDescent="0.3">
      <c r="A389" t="s">
        <v>1457</v>
      </c>
      <c r="B389" s="1" t="s">
        <v>1457</v>
      </c>
      <c r="C389" s="9" t="s">
        <v>1458</v>
      </c>
      <c r="D389" s="1" t="s">
        <v>95</v>
      </c>
      <c r="E389" s="1" t="s">
        <v>128</v>
      </c>
      <c r="F389" s="10" t="s">
        <v>129</v>
      </c>
      <c r="G389" s="1">
        <v>0</v>
      </c>
      <c r="H389" s="1">
        <v>0.05</v>
      </c>
      <c r="I389" s="8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0</v>
      </c>
      <c r="AT389" s="12">
        <v>0</v>
      </c>
      <c r="AU389" s="2">
        <v>0</v>
      </c>
      <c r="AV389" s="5">
        <v>0</v>
      </c>
      <c r="AX389" s="2">
        <v>0</v>
      </c>
      <c r="AY389" s="2">
        <v>0</v>
      </c>
      <c r="AZ389" s="2">
        <v>0</v>
      </c>
      <c r="BA389" s="2">
        <v>0</v>
      </c>
      <c r="BB389" s="5">
        <v>0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0</v>
      </c>
      <c r="BI389" s="12">
        <v>0</v>
      </c>
      <c r="BJ389" s="2">
        <v>0</v>
      </c>
      <c r="BK389" s="5">
        <v>0</v>
      </c>
      <c r="BL389" s="1" t="s">
        <v>130</v>
      </c>
    </row>
    <row r="390" spans="1:64" x14ac:dyDescent="0.3">
      <c r="A390" t="s">
        <v>1459</v>
      </c>
      <c r="B390" s="1" t="s">
        <v>1459</v>
      </c>
      <c r="C390" s="9" t="s">
        <v>1460</v>
      </c>
      <c r="D390" s="1" t="s">
        <v>95</v>
      </c>
      <c r="E390" s="1" t="s">
        <v>135</v>
      </c>
      <c r="F390" s="10" t="s">
        <v>193</v>
      </c>
      <c r="G390" s="1">
        <v>0</v>
      </c>
      <c r="H390" s="1">
        <v>0.05</v>
      </c>
      <c r="I390" s="8">
        <v>0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0</v>
      </c>
      <c r="AJ390" s="2">
        <v>0</v>
      </c>
      <c r="AK390" s="2">
        <v>0</v>
      </c>
      <c r="AL390" s="2">
        <v>0</v>
      </c>
      <c r="AM390" s="5">
        <v>0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0</v>
      </c>
      <c r="AT390" s="12">
        <v>0</v>
      </c>
      <c r="AU390" s="2">
        <v>0</v>
      </c>
      <c r="AV390" s="5">
        <v>0</v>
      </c>
      <c r="AX390" s="2">
        <v>0</v>
      </c>
      <c r="AY390" s="2">
        <v>0</v>
      </c>
      <c r="AZ390" s="2">
        <v>0</v>
      </c>
      <c r="BA390" s="2">
        <v>0</v>
      </c>
      <c r="BB390" s="5">
        <v>0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0</v>
      </c>
      <c r="BI390" s="12">
        <v>0</v>
      </c>
      <c r="BJ390" s="2">
        <v>0</v>
      </c>
      <c r="BK390" s="5">
        <v>0</v>
      </c>
      <c r="BL390" s="1" t="s">
        <v>137</v>
      </c>
    </row>
    <row r="391" spans="1:64" x14ac:dyDescent="0.3">
      <c r="A391" t="s">
        <v>1461</v>
      </c>
      <c r="B391" s="1" t="s">
        <v>1461</v>
      </c>
      <c r="C391" s="9" t="s">
        <v>1462</v>
      </c>
      <c r="D391" s="1" t="s">
        <v>95</v>
      </c>
      <c r="E391" s="1" t="s">
        <v>88</v>
      </c>
      <c r="F391" s="10" t="s">
        <v>472</v>
      </c>
      <c r="G391" s="1">
        <v>0</v>
      </c>
      <c r="H391" s="1">
        <v>0.02</v>
      </c>
      <c r="I391" s="8">
        <v>0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0</v>
      </c>
      <c r="AJ391" s="2">
        <v>0</v>
      </c>
      <c r="AK391" s="2">
        <v>0</v>
      </c>
      <c r="AL391" s="2">
        <v>0</v>
      </c>
      <c r="AM391" s="5">
        <v>0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0</v>
      </c>
      <c r="AT391" s="12">
        <v>0</v>
      </c>
      <c r="AU391" s="2">
        <v>0</v>
      </c>
      <c r="AV391" s="5">
        <v>0</v>
      </c>
      <c r="AX391" s="2">
        <v>0</v>
      </c>
      <c r="AY391" s="2">
        <v>0</v>
      </c>
      <c r="AZ391" s="2">
        <v>0</v>
      </c>
      <c r="BA391" s="2">
        <v>0</v>
      </c>
      <c r="BB391" s="5">
        <v>0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0</v>
      </c>
      <c r="BI391" s="12">
        <v>0</v>
      </c>
      <c r="BJ391" s="2">
        <v>0</v>
      </c>
      <c r="BK391" s="5">
        <v>0</v>
      </c>
      <c r="BL391" s="1" t="s">
        <v>90</v>
      </c>
    </row>
    <row r="392" spans="1:64" x14ac:dyDescent="0.3">
      <c r="A392" t="s">
        <v>1463</v>
      </c>
      <c r="B392" s="1" t="s">
        <v>1463</v>
      </c>
      <c r="C392" s="9" t="s">
        <v>1464</v>
      </c>
      <c r="D392" s="1" t="s">
        <v>95</v>
      </c>
      <c r="E392" s="1" t="s">
        <v>88</v>
      </c>
      <c r="F392" s="10" t="s">
        <v>472</v>
      </c>
      <c r="G392" s="1">
        <v>0</v>
      </c>
      <c r="H392" s="1">
        <v>0.02</v>
      </c>
      <c r="I392" s="8">
        <v>0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0</v>
      </c>
      <c r="AJ392" s="2">
        <v>0</v>
      </c>
      <c r="AK392" s="2">
        <v>0</v>
      </c>
      <c r="AL392" s="2">
        <v>0</v>
      </c>
      <c r="AM392" s="5">
        <v>0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0</v>
      </c>
      <c r="AT392" s="12">
        <v>0</v>
      </c>
      <c r="AU392" s="2">
        <v>0</v>
      </c>
      <c r="AV392" s="5">
        <v>0</v>
      </c>
      <c r="AX392" s="2">
        <v>0</v>
      </c>
      <c r="AY392" s="2">
        <v>0</v>
      </c>
      <c r="AZ392" s="2">
        <v>0</v>
      </c>
      <c r="BA392" s="2">
        <v>0</v>
      </c>
      <c r="BB392" s="5">
        <v>0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0</v>
      </c>
      <c r="BI392" s="12">
        <v>0</v>
      </c>
      <c r="BJ392" s="2">
        <v>0</v>
      </c>
      <c r="BK392" s="5">
        <v>0</v>
      </c>
      <c r="BL392" s="1" t="s">
        <v>90</v>
      </c>
    </row>
    <row r="393" spans="1:64" x14ac:dyDescent="0.3">
      <c r="A393" t="s">
        <v>1465</v>
      </c>
      <c r="B393" s="1" t="s">
        <v>1465</v>
      </c>
      <c r="C393" s="9" t="s">
        <v>1466</v>
      </c>
      <c r="D393" s="1" t="s">
        <v>95</v>
      </c>
      <c r="E393" s="1" t="s">
        <v>88</v>
      </c>
      <c r="F393" s="10" t="s">
        <v>1170</v>
      </c>
      <c r="G393" s="1">
        <v>0</v>
      </c>
      <c r="H393" s="1">
        <v>0.05</v>
      </c>
      <c r="I393" s="8">
        <v>45755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312764</v>
      </c>
      <c r="AJ393" s="2">
        <v>28243</v>
      </c>
      <c r="AK393" s="2">
        <v>10704.720000000001</v>
      </c>
      <c r="AL393" s="2">
        <v>966.65</v>
      </c>
      <c r="AM393" s="5">
        <v>3044.71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16482.010000000002</v>
      </c>
      <c r="AT393" s="12">
        <v>14716.08</v>
      </c>
      <c r="AU393" s="2">
        <v>0</v>
      </c>
      <c r="AV393" s="5">
        <v>1705.04</v>
      </c>
      <c r="AX393" s="2">
        <v>312764</v>
      </c>
      <c r="AY393" s="2">
        <v>28243</v>
      </c>
      <c r="AZ393" s="2">
        <v>10704.720000000001</v>
      </c>
      <c r="BA393" s="2">
        <v>966.65</v>
      </c>
      <c r="BB393" s="5">
        <v>3044.71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16482.010000000002</v>
      </c>
      <c r="BI393" s="12">
        <v>14716.08</v>
      </c>
      <c r="BJ393" s="2">
        <v>0</v>
      </c>
      <c r="BK393" s="5">
        <v>1705.04</v>
      </c>
      <c r="BL393" s="1" t="s">
        <v>90</v>
      </c>
    </row>
  </sheetData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56"/>
  <sheetViews>
    <sheetView tabSelected="1"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-37667.399999999987</v>
      </c>
      <c r="E5" s="2">
        <v>-33631.609999999986</v>
      </c>
      <c r="I5" s="25"/>
      <c r="J5" s="12"/>
    </row>
    <row r="6" spans="2:13" x14ac:dyDescent="0.3">
      <c r="C6" s="14" t="s">
        <v>36</v>
      </c>
      <c r="D6" s="2">
        <v>-3111.9199999999996</v>
      </c>
      <c r="E6" s="2">
        <v>-3111.9199999999996</v>
      </c>
      <c r="I6" s="25"/>
      <c r="J6" s="12"/>
    </row>
    <row r="7" spans="2:13" ht="15" thickBot="1" x14ac:dyDescent="0.35">
      <c r="C7" t="s">
        <v>45</v>
      </c>
      <c r="D7" s="13">
        <f>SUM(D5:D6)</f>
        <v>-40779.319999999985</v>
      </c>
      <c r="E7" s="13">
        <f>SUM(E5:E6)</f>
        <v>-36743.529999999984</v>
      </c>
      <c r="I7" s="25"/>
      <c r="J7" s="12"/>
    </row>
    <row r="8" spans="2:13" ht="15" thickTop="1" x14ac:dyDescent="0.3">
      <c r="C8" s="14" t="s">
        <v>37</v>
      </c>
      <c r="D8" s="2">
        <v>0</v>
      </c>
      <c r="E8" s="2">
        <v>0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-40779.319999999985</v>
      </c>
      <c r="E9" s="36">
        <f>SUM(E7:E8)</f>
        <v>-36743.529999999984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F12" s="20">
        <v>25112765</v>
      </c>
      <c r="G12" s="20">
        <v>25112764</v>
      </c>
      <c r="I12" s="12"/>
      <c r="L12" s="12"/>
      <c r="M12" s="12"/>
    </row>
    <row r="13" spans="2:13" x14ac:dyDescent="0.3">
      <c r="C13" t="s">
        <v>63</v>
      </c>
      <c r="D13" s="44"/>
      <c r="E13" s="44"/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0</v>
      </c>
      <c r="E14" s="13">
        <f>SUM(E12:E13)</f>
        <v>0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13122.769999999999</v>
      </c>
      <c r="E15" s="2">
        <v>11827.590000000004</v>
      </c>
      <c r="F15" s="20">
        <v>25112765</v>
      </c>
      <c r="G15" s="20">
        <v>25112768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13122.769999999999</v>
      </c>
      <c r="E16" s="18">
        <f>SUM(E14:E15)</f>
        <v>11827.590000000004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53902.09</v>
      </c>
      <c r="E22" s="2">
        <v>48571.12</v>
      </c>
      <c r="F22" s="20">
        <v>25016274</v>
      </c>
      <c r="G22" s="20">
        <v>25016281</v>
      </c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53902.09</v>
      </c>
      <c r="E23" s="18">
        <f>SUM(E21:E22)</f>
        <v>48571.12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-40779.32</v>
      </c>
      <c r="E25" s="36">
        <f>E16-E23</f>
        <v>-36743.53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"/>
  <sheetViews>
    <sheetView workbookViewId="0">
      <selection activeCell="M6" sqref="M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StorSheet-0</vt:lpstr>
      <vt:lpstr>ConsSheet-0</vt:lpstr>
      <vt:lpstr>Summary-0</vt:lpstr>
      <vt:lpstr>StorSheet-1</vt:lpstr>
      <vt:lpstr>ConsSheet-1</vt:lpstr>
      <vt:lpstr>Summary-1</vt:lpstr>
      <vt:lpstr>StorSheet-2</vt:lpstr>
      <vt:lpstr>ConsSheet-2</vt:lpstr>
      <vt:lpstr>Summary-2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Junrey Padilla</cp:lastModifiedBy>
  <dcterms:created xsi:type="dcterms:W3CDTF">2012-01-27T00:26:04Z</dcterms:created>
  <dcterms:modified xsi:type="dcterms:W3CDTF">2025-07-23T15:19:06Z</dcterms:modified>
</cp:coreProperties>
</file>